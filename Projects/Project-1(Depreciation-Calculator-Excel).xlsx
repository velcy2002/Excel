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Home\Documents\"/>
    </mc:Choice>
  </mc:AlternateContent>
  <xr:revisionPtr revIDLastSave="0" documentId="8_{F0069EAE-CEA6-47ED-B7FA-71CCE8DF7F14}" xr6:coauthVersionLast="47" xr6:coauthVersionMax="47" xr10:uidLastSave="{00000000-0000-0000-0000-000000000000}"/>
  <bookViews>
    <workbookView xWindow="-110" yWindow="-110" windowWidth="19420" windowHeight="10420" activeTab="1" xr2:uid="{00000000-000D-0000-FFFF-FFFF00000000}"/>
  </bookViews>
  <sheets>
    <sheet name="Information" sheetId="2" r:id="rId1"/>
    <sheet name="Depreciation Calculator"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7" i="1" l="1"/>
  <c r="N26" i="1"/>
  <c r="M26" i="1"/>
  <c r="I26" i="1"/>
  <c r="D35" i="1"/>
  <c r="D34" i="1"/>
  <c r="D33" i="1"/>
  <c r="D32" i="1"/>
  <c r="D31" i="1"/>
  <c r="D30" i="1"/>
  <c r="D29" i="1"/>
  <c r="D28" i="1"/>
  <c r="D27" i="1"/>
  <c r="D26" i="1"/>
  <c r="C35" i="1"/>
  <c r="C34" i="1"/>
  <c r="C33" i="1"/>
  <c r="C32" i="1"/>
  <c r="C31" i="1"/>
  <c r="C30" i="1"/>
  <c r="C29" i="1"/>
  <c r="C28" i="1"/>
  <c r="C27" i="1"/>
  <c r="C26" i="1"/>
  <c r="J26" i="1"/>
  <c r="H27" i="1" s="1"/>
  <c r="D20" i="1"/>
  <c r="D8" i="1"/>
  <c r="D23" i="1"/>
  <c r="M27" i="1" l="1"/>
  <c r="N27" i="1" s="1"/>
  <c r="L28" i="1" s="1"/>
  <c r="I27" i="1"/>
  <c r="J27" i="1" s="1"/>
  <c r="H28" i="1" s="1"/>
  <c r="D11" i="1"/>
  <c r="D12" i="1" s="1"/>
  <c r="M28" i="1" l="1"/>
  <c r="N28" i="1"/>
  <c r="L29" i="1" s="1"/>
  <c r="M29" i="1" s="1"/>
  <c r="N29" i="1" s="1"/>
  <c r="L30" i="1" s="1"/>
  <c r="I28" i="1"/>
  <c r="J28" i="1" s="1"/>
  <c r="H29" i="1" s="1"/>
  <c r="D13" i="1"/>
  <c r="M30" i="1" l="1"/>
  <c r="N30" i="1"/>
  <c r="L31" i="1" s="1"/>
  <c r="I29" i="1"/>
  <c r="J29" i="1" s="1"/>
  <c r="H30" i="1" s="1"/>
  <c r="D14" i="1"/>
  <c r="D15" i="1" s="1"/>
  <c r="M31" i="1" l="1"/>
  <c r="N31" i="1" s="1"/>
  <c r="L32" i="1" s="1"/>
  <c r="I30" i="1"/>
  <c r="J30" i="1"/>
  <c r="H31" i="1" s="1"/>
  <c r="M32" i="1" l="1"/>
  <c r="N32" i="1" s="1"/>
  <c r="L33" i="1" s="1"/>
  <c r="I31" i="1"/>
  <c r="J31" i="1" s="1"/>
  <c r="H32" i="1" s="1"/>
  <c r="M33" i="1" l="1"/>
  <c r="N33" i="1"/>
  <c r="L34" i="1" s="1"/>
  <c r="I32" i="1"/>
  <c r="J32" i="1" s="1"/>
  <c r="H33" i="1" s="1"/>
  <c r="M34" i="1" l="1"/>
  <c r="N34" i="1" s="1"/>
  <c r="L35" i="1" s="1"/>
  <c r="I33" i="1"/>
  <c r="J33" i="1" s="1"/>
  <c r="H34" i="1" s="1"/>
  <c r="M35" i="1" l="1"/>
  <c r="N35" i="1" s="1"/>
  <c r="I34" i="1"/>
  <c r="J34" i="1"/>
  <c r="H35" i="1" s="1"/>
  <c r="I35" i="1" l="1"/>
  <c r="J35" i="1" s="1"/>
  <c r="C36" i="1" l="1"/>
  <c r="D37" i="1" l="1"/>
  <c r="C37" i="1" s="1"/>
  <c r="D38" i="1" l="1"/>
  <c r="C38" i="1" s="1"/>
  <c r="D39" i="1" l="1"/>
  <c r="C39" i="1" s="1"/>
  <c r="D40" i="1" l="1"/>
  <c r="C40" i="1" s="1"/>
  <c r="D41" i="1" l="1"/>
  <c r="C41" i="1" s="1"/>
  <c r="D42" i="1" l="1"/>
  <c r="C42" i="1" s="1"/>
  <c r="D43" i="1" l="1"/>
  <c r="C43" i="1" s="1"/>
  <c r="D44" i="1" l="1"/>
  <c r="C44" i="1" s="1"/>
  <c r="D45" i="1" l="1"/>
  <c r="C45" i="1" l="1"/>
</calcChain>
</file>

<file path=xl/sharedStrings.xml><?xml version="1.0" encoding="utf-8"?>
<sst xmlns="http://schemas.openxmlformats.org/spreadsheetml/2006/main" count="32" uniqueCount="25">
  <si>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</si>
  <si>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</si>
  <si>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</si>
  <si>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</si>
  <si>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</si>
  <si>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</si>
  <si>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</si>
  <si>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</si>
  <si>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</si>
  <si>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</si>
  <si>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</si>
  <si>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</si>
  <si>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</si>
  <si>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</si>
  <si>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</si>
  <si>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</si>
  <si>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</si>
  <si>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</si>
  <si>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</si>
  <si>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</si>
  <si>
    <t xml:space="preserve">Opening value </t>
  </si>
  <si>
    <t>Depreciation</t>
  </si>
  <si>
    <t>closing value</t>
  </si>
  <si>
    <t>Diminishing</t>
  </si>
  <si>
    <t>straight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</si>
</sst>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_ ;[Red]\-[$$-409]#,##0.00\ "/>
    <numFmt numFmtId="165" formatCode="[$$-409]#,##0.00"/>
    <numFmt numFmtId="166" formatCode="0.0"/>
  </numFmts>
  <fonts count="9" x14ac:knownFonts="1">
    <font>
      <sz val="11"/>
      <color theme="1"/>
      <name val="Calibri"/>
      <family val="2"/>
      <scheme val="minor"/>
    </font>
    <font>
      <sz val="14"/>
      <color theme="1"/>
      <name val="Times New Roman"/>
      <family val="1"/>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s>
  <fills count="6">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rgb="FFFFFF00"/>
        <bgColor indexed="64"/>
      </patternFill>
    </fill>
  </fills>
  <borders count="6">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s>
  <cellStyleXfs count="2">
    <xf numFmtId="0" fontId="0" fillId="0" borderId="0"/>
    <xf numFmtId="0" fontId="2" fillId="0" borderId="0" applyNumberFormat="0" applyFill="0" applyBorder="0" applyAlignment="0" applyProtection="0">
      <alignment vertical="top"/>
      <protection locked="0"/>
    </xf>
  </cellStyleXfs>
  <cellXfs count="26">
    <xf numFmtId="0" fontId="0" fillId="0" borderId="0" xfId="0"/>
    <xf numFmtId="0" fontId="1" fillId="0" borderId="0" xfId="0" applyFont="1" applyAlignment="1">
      <alignment horizontal="center" vertical="center"/>
    </xf>
    <xf numFmtId="0" fontId="3" fillId="2" borderId="1" xfId="0" applyFont="1" applyFill="1" applyBorder="1" applyAlignment="1">
      <alignment horizontal="center" vertical="center"/>
    </xf>
    <xf numFmtId="164" fontId="3" fillId="2" borderId="1" xfId="0" applyNumberFormat="1" applyFont="1" applyFill="1" applyBorder="1" applyAlignment="1">
      <alignment horizontal="center" vertical="center"/>
    </xf>
    <xf numFmtId="164" fontId="5" fillId="2" borderId="1" xfId="0" applyNumberFormat="1" applyFont="1" applyFill="1" applyBorder="1" applyAlignment="1">
      <alignment horizontal="center" vertical="center"/>
    </xf>
    <xf numFmtId="0" fontId="3" fillId="3" borderId="0" xfId="0" applyFont="1" applyFill="1" applyAlignment="1">
      <alignment horizontal="center" vertical="center"/>
    </xf>
    <xf numFmtId="10"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165" fontId="3"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5"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2" fontId="1" fillId="0" borderId="0" xfId="0" applyNumberFormat="1" applyFont="1" applyAlignment="1">
      <alignment horizontal="center" vertical="center"/>
    </xf>
    <xf numFmtId="166" fontId="1" fillId="0" borderId="0" xfId="0" applyNumberFormat="1" applyFont="1" applyAlignment="1">
      <alignment horizontal="center" vertical="center"/>
    </xf>
    <xf numFmtId="0" fontId="1" fillId="5" borderId="0" xfId="0" applyFont="1" applyFill="1" applyAlignment="1">
      <alignment horizontal="center" vertical="center"/>
    </xf>
    <xf numFmtId="165" fontId="1" fillId="5" borderId="1" xfId="0" applyNumberFormat="1" applyFont="1" applyFill="1" applyBorder="1" applyAlignment="1">
      <alignment horizontal="center" vertical="center"/>
    </xf>
    <xf numFmtId="0" fontId="5" fillId="2" borderId="4" xfId="0" applyFont="1" applyFill="1" applyBorder="1" applyAlignment="1">
      <alignment horizontal="right" vertical="center" indent="4"/>
    </xf>
    <xf numFmtId="0" fontId="5" fillId="2" borderId="5" xfId="0" applyFont="1" applyFill="1" applyBorder="1" applyAlignment="1">
      <alignment horizontal="right" vertical="center" indent="4"/>
    </xf>
    <xf numFmtId="0" fontId="7" fillId="2" borderId="1" xfId="0" applyFont="1" applyFill="1" applyBorder="1" applyAlignment="1">
      <alignment horizontal="center" vertical="center"/>
    </xf>
    <xf numFmtId="0" fontId="5" fillId="2" borderId="1" xfId="0" applyFont="1" applyFill="1" applyBorder="1" applyAlignment="1">
      <alignment horizontal="right" vertical="center" indent="4"/>
    </xf>
    <xf numFmtId="0" fontId="6" fillId="2" borderId="1" xfId="1" applyFont="1" applyFill="1" applyBorder="1" applyAlignment="1" applyProtection="1">
      <alignment horizontal="center" vertical="center"/>
    </xf>
    <xf numFmtId="0" fontId="4"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5" fillId="2" borderId="1" xfId="0" applyFont="1" applyFill="1" applyBorder="1" applyAlignment="1">
      <alignment horizontal="right" vertical="center" wrapText="1" indent="4"/>
    </xf>
    <xf numFmtId="0" fontId="8" fillId="2"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B19" sqref="AB19"/>
    </sheetView>
  </sheetViews>
  <sheetFormatPr defaultRowHeight="14.5" x14ac:dyDescent="0.35"/>
  <cols>
    <col min="1" max="1" width="9.089843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6"/>
  <sheetViews>
    <sheetView tabSelected="1" workbookViewId="0">
      <selection activeCell="N26" sqref="N26"/>
    </sheetView>
  </sheetViews>
  <sheetFormatPr defaultColWidth="8.6328125" defaultRowHeight="18" x14ac:dyDescent="0.35"/>
  <cols>
    <col min="1" max="1" width="3.08984375" style="1" customWidth="1"/>
    <col min="2" max="2" width="12.54296875" style="1" customWidth="1"/>
    <col min="3" max="3" width="79.90625" style="1" customWidth="1"/>
    <col min="4" max="4" width="19.08984375" style="1" bestFit="1" customWidth="1"/>
    <col min="5" max="5" width="3.36328125" style="1" customWidth="1"/>
    <col min="6" max="6" width="8.6328125" style="1"/>
    <col min="7" max="7" width="9" style="1" bestFit="1" customWidth="1"/>
    <col min="8" max="8" width="16.90625" style="1" bestFit="1" customWidth="1"/>
    <col min="9" max="9" width="14.453125" style="1" bestFit="1" customWidth="1"/>
    <col min="10" max="10" width="14.6328125" style="1" bestFit="1" customWidth="1"/>
    <col min="11" max="11" width="8.6328125" style="1"/>
    <col min="12" max="12" width="16.90625" style="1" bestFit="1" customWidth="1"/>
    <col min="13" max="13" width="14.453125" style="1" bestFit="1" customWidth="1"/>
    <col min="14" max="14" width="14.6328125" style="1" bestFit="1" customWidth="1"/>
    <col min="15" max="16384" width="8.6328125" style="1"/>
  </cols>
  <sheetData>
    <row r="1" spans="1:5" ht="9.9" customHeight="1" thickBot="1" x14ac:dyDescent="0.4">
      <c r="A1" s="9"/>
      <c r="B1" s="9"/>
      <c r="C1" s="9"/>
      <c r="D1" s="9"/>
      <c r="E1" s="9"/>
    </row>
    <row r="2" spans="1:5" ht="36.5" thickTop="1" thickBot="1" x14ac:dyDescent="0.4">
      <c r="A2" s="9"/>
      <c r="B2" s="22"/>
      <c r="C2" s="20" t="s">
        <v>19</v>
      </c>
      <c r="D2" s="20"/>
      <c r="E2" s="9"/>
    </row>
    <row r="3" spans="1:5" ht="26" thickTop="1" thickBot="1" x14ac:dyDescent="0.4">
      <c r="A3" s="9"/>
      <c r="B3" s="23"/>
      <c r="C3" s="21" t="s">
        <v>8</v>
      </c>
      <c r="D3" s="21"/>
      <c r="E3" s="9"/>
    </row>
    <row r="4" spans="1:5" ht="19" thickTop="1" thickBot="1" x14ac:dyDescent="0.4">
      <c r="A4" s="9"/>
      <c r="B4" s="5"/>
      <c r="C4" s="5"/>
      <c r="D4" s="5"/>
      <c r="E4" s="9"/>
    </row>
    <row r="5" spans="1:5" ht="26" thickTop="1" thickBot="1" x14ac:dyDescent="0.4">
      <c r="A5" s="9"/>
      <c r="B5" s="18" t="s">
        <v>17</v>
      </c>
      <c r="C5" s="18"/>
      <c r="D5" s="18"/>
      <c r="E5" s="9"/>
    </row>
    <row r="6" spans="1:5" ht="19" thickTop="1" thickBot="1" x14ac:dyDescent="0.4">
      <c r="A6" s="9"/>
      <c r="B6" s="16" t="s">
        <v>11</v>
      </c>
      <c r="C6" s="17"/>
      <c r="D6" s="10">
        <v>450000</v>
      </c>
      <c r="E6" s="9"/>
    </row>
    <row r="7" spans="1:5" ht="19" thickTop="1" thickBot="1" x14ac:dyDescent="0.4">
      <c r="A7" s="9"/>
      <c r="B7" s="16" t="s">
        <v>13</v>
      </c>
      <c r="C7" s="17"/>
      <c r="D7" s="10">
        <v>50000</v>
      </c>
      <c r="E7" s="9"/>
    </row>
    <row r="8" spans="1:5" ht="19" thickTop="1" thickBot="1" x14ac:dyDescent="0.4">
      <c r="A8" s="9"/>
      <c r="B8" s="16" t="s">
        <v>0</v>
      </c>
      <c r="C8" s="17"/>
      <c r="D8" s="4">
        <f>SUM(D6:D7)</f>
        <v>500000</v>
      </c>
      <c r="E8" s="9"/>
    </row>
    <row r="9" spans="1:5" ht="19" thickTop="1" thickBot="1" x14ac:dyDescent="0.4">
      <c r="A9" s="9"/>
      <c r="B9" s="16" t="s">
        <v>1</v>
      </c>
      <c r="C9" s="17"/>
      <c r="D9" s="10">
        <v>50000</v>
      </c>
      <c r="E9" s="9"/>
    </row>
    <row r="10" spans="1:5" ht="19" thickTop="1" thickBot="1" x14ac:dyDescent="0.4">
      <c r="A10" s="9"/>
      <c r="B10" s="16" t="s">
        <v>2</v>
      </c>
      <c r="C10" s="17"/>
      <c r="D10" s="11">
        <v>10</v>
      </c>
      <c r="E10" s="9"/>
    </row>
    <row r="11" spans="1:5" ht="19" thickTop="1" thickBot="1" x14ac:dyDescent="0.4">
      <c r="A11" s="9"/>
      <c r="B11" s="19" t="s">
        <v>9</v>
      </c>
      <c r="C11" s="19"/>
      <c r="D11" s="4">
        <f>IF(D8="", "", SLN($D$8,$D$9,$D$10))</f>
        <v>45000</v>
      </c>
      <c r="E11" s="9"/>
    </row>
    <row r="12" spans="1:5" ht="19" thickTop="1" thickBot="1" x14ac:dyDescent="0.4">
      <c r="A12" s="9"/>
      <c r="B12" s="19" t="s">
        <v>12</v>
      </c>
      <c r="C12" s="19"/>
      <c r="D12" s="6">
        <f>IFERROR(D11/D8,"")</f>
        <v>0.09</v>
      </c>
      <c r="E12" s="9"/>
    </row>
    <row r="13" spans="1:5" ht="19" thickTop="1" thickBot="1" x14ac:dyDescent="0.4">
      <c r="A13" s="9"/>
      <c r="B13" s="16" t="s">
        <v>5</v>
      </c>
      <c r="C13" s="17"/>
      <c r="D13" s="3">
        <f>IF(D8="", "", D11*D10)</f>
        <v>450000</v>
      </c>
      <c r="E13" s="9"/>
    </row>
    <row r="14" spans="1:5" ht="19" thickTop="1" thickBot="1" x14ac:dyDescent="0.4">
      <c r="A14" s="9"/>
      <c r="B14" s="16" t="s">
        <v>4</v>
      </c>
      <c r="C14" s="17"/>
      <c r="D14" s="3">
        <f>IF(D8="", "", D8-D13)</f>
        <v>50000</v>
      </c>
      <c r="E14" s="9"/>
    </row>
    <row r="15" spans="1:5" ht="19" thickTop="1" thickBot="1" x14ac:dyDescent="0.4">
      <c r="A15" s="9"/>
      <c r="B15" s="16" t="s">
        <v>6</v>
      </c>
      <c r="C15" s="17"/>
      <c r="D15" s="3">
        <f>IF(D8="", "", D9-D14)</f>
        <v>0</v>
      </c>
      <c r="E15" s="9"/>
    </row>
    <row r="16" spans="1:5" ht="19" thickTop="1" thickBot="1" x14ac:dyDescent="0.4">
      <c r="A16" s="9"/>
      <c r="B16" s="5"/>
      <c r="C16" s="5"/>
      <c r="D16" s="5"/>
      <c r="E16" s="9"/>
    </row>
    <row r="17" spans="1:14" ht="26" thickTop="1" thickBot="1" x14ac:dyDescent="0.4">
      <c r="A17" s="9"/>
      <c r="B17" s="18" t="s">
        <v>16</v>
      </c>
      <c r="C17" s="18"/>
      <c r="D17" s="18"/>
      <c r="E17" s="9"/>
    </row>
    <row r="18" spans="1:14" ht="18.899999999999999" customHeight="1" thickTop="1" thickBot="1" x14ac:dyDescent="0.4">
      <c r="A18" s="9"/>
      <c r="B18" s="19" t="s">
        <v>11</v>
      </c>
      <c r="C18" s="19"/>
      <c r="D18" s="10">
        <v>450000</v>
      </c>
      <c r="E18" s="9"/>
    </row>
    <row r="19" spans="1:14" ht="18.899999999999999" customHeight="1" thickTop="1" thickBot="1" x14ac:dyDescent="0.4">
      <c r="A19" s="9"/>
      <c r="B19" s="19" t="s">
        <v>14</v>
      </c>
      <c r="C19" s="19"/>
      <c r="D19" s="10">
        <v>50000</v>
      </c>
      <c r="E19" s="9"/>
    </row>
    <row r="20" spans="1:14" ht="18.899999999999999" customHeight="1" thickTop="1" thickBot="1" x14ac:dyDescent="0.4">
      <c r="A20" s="9"/>
      <c r="B20" s="19" t="s">
        <v>0</v>
      </c>
      <c r="C20" s="19"/>
      <c r="D20" s="4">
        <f>SUM(D18:D19)</f>
        <v>500000</v>
      </c>
      <c r="E20" s="9"/>
    </row>
    <row r="21" spans="1:14" ht="18.899999999999999" customHeight="1" thickTop="1" thickBot="1" x14ac:dyDescent="0.4">
      <c r="A21" s="9"/>
      <c r="B21" s="19" t="s">
        <v>1</v>
      </c>
      <c r="C21" s="19"/>
      <c r="D21" s="10">
        <v>50000</v>
      </c>
      <c r="E21" s="9"/>
    </row>
    <row r="22" spans="1:14" ht="18.899999999999999" customHeight="1" thickTop="1" thickBot="1" x14ac:dyDescent="0.4">
      <c r="A22" s="9"/>
      <c r="B22" s="19" t="s">
        <v>2</v>
      </c>
      <c r="C22" s="19"/>
      <c r="D22" s="11">
        <v>10</v>
      </c>
      <c r="E22" s="9"/>
    </row>
    <row r="23" spans="1:14" ht="18.899999999999999" customHeight="1" thickTop="1" thickBot="1" x14ac:dyDescent="0.4">
      <c r="A23" s="9"/>
      <c r="B23" s="24" t="s">
        <v>10</v>
      </c>
      <c r="C23" s="24"/>
      <c r="D23" s="6">
        <f>IF(D20="","",1-(D21/D20)^(1/D22))</f>
        <v>0.20567176527571851</v>
      </c>
      <c r="E23" s="9"/>
      <c r="I23" s="14" t="s">
        <v>23</v>
      </c>
      <c r="M23" s="14" t="s">
        <v>24</v>
      </c>
    </row>
    <row r="24" spans="1:14" ht="23.5" thickTop="1" thickBot="1" x14ac:dyDescent="0.4">
      <c r="A24" s="9"/>
      <c r="B24" s="25" t="s">
        <v>15</v>
      </c>
      <c r="C24" s="25"/>
      <c r="D24" s="25"/>
      <c r="E24" s="9"/>
    </row>
    <row r="25" spans="1:14" ht="19" thickTop="1" thickBot="1" x14ac:dyDescent="0.4">
      <c r="A25" s="9"/>
      <c r="B25" s="7" t="s">
        <v>7</v>
      </c>
      <c r="C25" s="7" t="s">
        <v>18</v>
      </c>
      <c r="D25" s="7" t="s">
        <v>3</v>
      </c>
      <c r="E25" s="9"/>
      <c r="H25" s="8" t="s">
        <v>20</v>
      </c>
      <c r="I25" s="8" t="s">
        <v>21</v>
      </c>
      <c r="J25" s="8" t="s">
        <v>22</v>
      </c>
      <c r="L25" s="8" t="s">
        <v>20</v>
      </c>
      <c r="M25" s="8" t="s">
        <v>21</v>
      </c>
      <c r="N25" s="8" t="s">
        <v>22</v>
      </c>
    </row>
    <row r="26" spans="1:14" ht="19" thickTop="1" thickBot="1" x14ac:dyDescent="0.4">
      <c r="A26" s="9"/>
      <c r="B26" s="2">
        <v>1</v>
      </c>
      <c r="C26" s="8">
        <f t="shared" ref="C26:C35" si="0">I26</f>
        <v>102850</v>
      </c>
      <c r="D26" s="8">
        <f t="shared" ref="D26:D35" si="1">J26</f>
        <v>397150</v>
      </c>
      <c r="E26" s="9"/>
      <c r="H26" s="8">
        <v>500000</v>
      </c>
      <c r="I26" s="8">
        <f t="shared" ref="I26:I35" si="2">H26*20.57%</f>
        <v>102850</v>
      </c>
      <c r="J26" s="8">
        <f t="shared" ref="J26:J35" si="3">H26-I26</f>
        <v>397150</v>
      </c>
      <c r="L26" s="8">
        <v>500000</v>
      </c>
      <c r="M26" s="8">
        <f t="shared" ref="M26:M35" si="4">L26*9%</f>
        <v>45000</v>
      </c>
      <c r="N26" s="8">
        <f t="shared" ref="N26:N35" si="5">L26-M26</f>
        <v>455000</v>
      </c>
    </row>
    <row r="27" spans="1:14" ht="19" thickTop="1" thickBot="1" x14ac:dyDescent="0.4">
      <c r="A27" s="9"/>
      <c r="B27" s="2">
        <v>2</v>
      </c>
      <c r="C27" s="8">
        <f t="shared" si="0"/>
        <v>81693.755000000005</v>
      </c>
      <c r="D27" s="8">
        <f t="shared" si="1"/>
        <v>315456.245</v>
      </c>
      <c r="E27" s="9"/>
      <c r="H27" s="8">
        <f t="shared" ref="H27:H35" si="6">J26</f>
        <v>397150</v>
      </c>
      <c r="I27" s="8">
        <f t="shared" si="2"/>
        <v>81693.755000000005</v>
      </c>
      <c r="J27" s="8">
        <f t="shared" si="3"/>
        <v>315456.245</v>
      </c>
      <c r="L27" s="8">
        <f t="shared" ref="L27:L35" si="7">N26</f>
        <v>455000</v>
      </c>
      <c r="M27" s="8">
        <f t="shared" si="4"/>
        <v>40950</v>
      </c>
      <c r="N27" s="8">
        <f t="shared" si="5"/>
        <v>414050</v>
      </c>
    </row>
    <row r="28" spans="1:14" ht="19" thickTop="1" thickBot="1" x14ac:dyDescent="0.4">
      <c r="A28" s="9"/>
      <c r="B28" s="2">
        <v>3</v>
      </c>
      <c r="C28" s="8">
        <f t="shared" si="0"/>
        <v>64889.349596499997</v>
      </c>
      <c r="D28" s="8">
        <f t="shared" si="1"/>
        <v>250566.89540350001</v>
      </c>
      <c r="E28" s="9"/>
      <c r="H28" s="8">
        <f t="shared" si="6"/>
        <v>315456.245</v>
      </c>
      <c r="I28" s="8">
        <f t="shared" si="2"/>
        <v>64889.349596499997</v>
      </c>
      <c r="J28" s="8">
        <f t="shared" si="3"/>
        <v>250566.89540350001</v>
      </c>
      <c r="L28" s="8">
        <f t="shared" si="7"/>
        <v>414050</v>
      </c>
      <c r="M28" s="8">
        <f t="shared" si="4"/>
        <v>37264.5</v>
      </c>
      <c r="N28" s="8">
        <f t="shared" si="5"/>
        <v>376785.5</v>
      </c>
    </row>
    <row r="29" spans="1:14" ht="19" thickTop="1" thickBot="1" x14ac:dyDescent="0.4">
      <c r="A29" s="9"/>
      <c r="B29" s="2"/>
      <c r="C29" s="8">
        <f t="shared" si="0"/>
        <v>51541.610384499952</v>
      </c>
      <c r="D29" s="8">
        <f t="shared" si="1"/>
        <v>199025.28501900006</v>
      </c>
      <c r="E29" s="9"/>
      <c r="H29" s="8">
        <f t="shared" si="6"/>
        <v>250566.89540350001</v>
      </c>
      <c r="I29" s="8">
        <f t="shared" si="2"/>
        <v>51541.610384499952</v>
      </c>
      <c r="J29" s="8">
        <f t="shared" si="3"/>
        <v>199025.28501900006</v>
      </c>
      <c r="L29" s="8">
        <f t="shared" si="7"/>
        <v>376785.5</v>
      </c>
      <c r="M29" s="8">
        <f t="shared" si="4"/>
        <v>33910.695</v>
      </c>
      <c r="N29" s="8">
        <f t="shared" si="5"/>
        <v>342874.80499999999</v>
      </c>
    </row>
    <row r="30" spans="1:14" ht="19" thickTop="1" thickBot="1" x14ac:dyDescent="0.4">
      <c r="A30" s="9"/>
      <c r="B30" s="2"/>
      <c r="C30" s="8">
        <f t="shared" si="0"/>
        <v>40939.501128408308</v>
      </c>
      <c r="D30" s="8">
        <f t="shared" si="1"/>
        <v>158085.78389059176</v>
      </c>
      <c r="E30" s="9"/>
      <c r="H30" s="8">
        <f t="shared" si="6"/>
        <v>199025.28501900006</v>
      </c>
      <c r="I30" s="8">
        <f t="shared" si="2"/>
        <v>40939.501128408308</v>
      </c>
      <c r="J30" s="8">
        <f t="shared" si="3"/>
        <v>158085.78389059176</v>
      </c>
      <c r="L30" s="8">
        <f t="shared" si="7"/>
        <v>342874.80499999999</v>
      </c>
      <c r="M30" s="8">
        <f t="shared" si="4"/>
        <v>30858.73245</v>
      </c>
      <c r="N30" s="8">
        <f t="shared" si="5"/>
        <v>312016.07254999998</v>
      </c>
    </row>
    <row r="31" spans="1:14" ht="19" thickTop="1" thickBot="1" x14ac:dyDescent="0.4">
      <c r="A31" s="9"/>
      <c r="B31" s="2"/>
      <c r="C31" s="8">
        <f t="shared" si="0"/>
        <v>32518.245746294724</v>
      </c>
      <c r="D31" s="8">
        <f t="shared" si="1"/>
        <v>125567.53814429704</v>
      </c>
      <c r="E31" s="9"/>
      <c r="H31" s="8">
        <f t="shared" si="6"/>
        <v>158085.78389059176</v>
      </c>
      <c r="I31" s="8">
        <f t="shared" si="2"/>
        <v>32518.245746294724</v>
      </c>
      <c r="J31" s="8">
        <f t="shared" si="3"/>
        <v>125567.53814429704</v>
      </c>
      <c r="L31" s="8">
        <f t="shared" si="7"/>
        <v>312016.07254999998</v>
      </c>
      <c r="M31" s="8">
        <f t="shared" si="4"/>
        <v>28081.446529499997</v>
      </c>
      <c r="N31" s="8">
        <f t="shared" si="5"/>
        <v>283934.62602049997</v>
      </c>
    </row>
    <row r="32" spans="1:14" ht="19" thickTop="1" thickBot="1" x14ac:dyDescent="0.4">
      <c r="A32" s="9"/>
      <c r="B32" s="2"/>
      <c r="C32" s="8">
        <f t="shared" si="0"/>
        <v>25829.2425962819</v>
      </c>
      <c r="D32" s="8">
        <f t="shared" si="1"/>
        <v>99738.295548015143</v>
      </c>
      <c r="E32" s="9"/>
      <c r="H32" s="8">
        <f t="shared" si="6"/>
        <v>125567.53814429704</v>
      </c>
      <c r="I32" s="8">
        <f t="shared" si="2"/>
        <v>25829.2425962819</v>
      </c>
      <c r="J32" s="8">
        <f t="shared" si="3"/>
        <v>99738.295548015143</v>
      </c>
      <c r="L32" s="8">
        <f t="shared" si="7"/>
        <v>283934.62602049997</v>
      </c>
      <c r="M32" s="8">
        <f t="shared" si="4"/>
        <v>25554.116341844998</v>
      </c>
      <c r="N32" s="8">
        <f t="shared" si="5"/>
        <v>258380.50967865498</v>
      </c>
    </row>
    <row r="33" spans="1:14" ht="19" thickTop="1" thickBot="1" x14ac:dyDescent="0.4">
      <c r="A33" s="9"/>
      <c r="B33" s="2"/>
      <c r="C33" s="8">
        <f t="shared" si="0"/>
        <v>20516.167394226715</v>
      </c>
      <c r="D33" s="8">
        <f t="shared" si="1"/>
        <v>79222.128153788421</v>
      </c>
      <c r="E33" s="9"/>
      <c r="H33" s="8">
        <f t="shared" si="6"/>
        <v>99738.295548015143</v>
      </c>
      <c r="I33" s="8">
        <f t="shared" si="2"/>
        <v>20516.167394226715</v>
      </c>
      <c r="J33" s="8">
        <f t="shared" si="3"/>
        <v>79222.128153788421</v>
      </c>
      <c r="L33" s="8">
        <f t="shared" si="7"/>
        <v>258380.50967865498</v>
      </c>
      <c r="M33" s="8">
        <f t="shared" si="4"/>
        <v>23254.245871078947</v>
      </c>
      <c r="N33" s="8">
        <f t="shared" si="5"/>
        <v>235126.26380757603</v>
      </c>
    </row>
    <row r="34" spans="1:14" ht="19" thickTop="1" thickBot="1" x14ac:dyDescent="0.4">
      <c r="A34" s="9"/>
      <c r="B34" s="2"/>
      <c r="C34" s="8">
        <f t="shared" si="0"/>
        <v>16295.991761234278</v>
      </c>
      <c r="D34" s="8">
        <f t="shared" si="1"/>
        <v>62926.136392554145</v>
      </c>
      <c r="E34" s="9"/>
      <c r="H34" s="8">
        <f t="shared" si="6"/>
        <v>79222.128153788421</v>
      </c>
      <c r="I34" s="8">
        <f t="shared" si="2"/>
        <v>16295.991761234278</v>
      </c>
      <c r="J34" s="8">
        <f t="shared" si="3"/>
        <v>62926.136392554145</v>
      </c>
      <c r="L34" s="8">
        <f t="shared" si="7"/>
        <v>235126.26380757603</v>
      </c>
      <c r="M34" s="8">
        <f t="shared" si="4"/>
        <v>21161.363742681842</v>
      </c>
      <c r="N34" s="8">
        <f t="shared" si="5"/>
        <v>213964.9000648942</v>
      </c>
    </row>
    <row r="35" spans="1:14" ht="19" thickTop="1" thickBot="1" x14ac:dyDescent="0.4">
      <c r="A35" s="9"/>
      <c r="B35" s="2"/>
      <c r="C35" s="8">
        <f t="shared" si="0"/>
        <v>12943.906255948386</v>
      </c>
      <c r="D35" s="8">
        <f t="shared" si="1"/>
        <v>49982.230136605758</v>
      </c>
      <c r="E35" s="9"/>
      <c r="H35" s="8">
        <f t="shared" si="6"/>
        <v>62926.136392554145</v>
      </c>
      <c r="I35" s="8">
        <f t="shared" si="2"/>
        <v>12943.906255948386</v>
      </c>
      <c r="J35" s="15">
        <f t="shared" si="3"/>
        <v>49982.230136605758</v>
      </c>
      <c r="L35" s="8">
        <f t="shared" si="7"/>
        <v>213964.9000648942</v>
      </c>
      <c r="M35" s="8">
        <f t="shared" si="4"/>
        <v>19256.841005840477</v>
      </c>
      <c r="N35" s="15">
        <f t="shared" si="5"/>
        <v>194708.05905905372</v>
      </c>
    </row>
    <row r="36" spans="1:14" ht="19" thickTop="1" thickBot="1" x14ac:dyDescent="0.4">
      <c r="A36" s="9"/>
      <c r="B36" s="2"/>
      <c r="C36" s="8" t="str">
        <f t="shared" ref="C36:C45" si="8">IFERROR(IF(D36&gt;$D$21, (D36*$D$23), ""),"")</f>
        <v/>
      </c>
      <c r="D36" s="8"/>
      <c r="E36" s="9"/>
      <c r="I36" s="13"/>
      <c r="J36" s="12"/>
    </row>
    <row r="37" spans="1:14" ht="19" thickTop="1" thickBot="1" x14ac:dyDescent="0.4">
      <c r="A37" s="9"/>
      <c r="B37" s="2"/>
      <c r="C37" s="8" t="str">
        <f t="shared" si="8"/>
        <v/>
      </c>
      <c r="D37" s="8" t="str">
        <f t="shared" ref="D37:D45" si="9">IFERROR(D36-C36, "")</f>
        <v/>
      </c>
      <c r="E37" s="9"/>
      <c r="I37" s="13"/>
      <c r="J37" s="12"/>
    </row>
    <row r="38" spans="1:14" ht="19" thickTop="1" thickBot="1" x14ac:dyDescent="0.4">
      <c r="A38" s="9"/>
      <c r="B38" s="2"/>
      <c r="C38" s="8" t="str">
        <f t="shared" si="8"/>
        <v/>
      </c>
      <c r="D38" s="8" t="str">
        <f t="shared" si="9"/>
        <v/>
      </c>
      <c r="E38" s="9"/>
    </row>
    <row r="39" spans="1:14" ht="19" thickTop="1" thickBot="1" x14ac:dyDescent="0.4">
      <c r="A39" s="9"/>
      <c r="B39" s="2"/>
      <c r="C39" s="8" t="str">
        <f t="shared" si="8"/>
        <v/>
      </c>
      <c r="D39" s="8" t="str">
        <f t="shared" si="9"/>
        <v/>
      </c>
      <c r="E39" s="9"/>
    </row>
    <row r="40" spans="1:14" ht="19" thickTop="1" thickBot="1" x14ac:dyDescent="0.4">
      <c r="A40" s="9"/>
      <c r="B40" s="2"/>
      <c r="C40" s="8" t="str">
        <f t="shared" si="8"/>
        <v/>
      </c>
      <c r="D40" s="8" t="str">
        <f t="shared" si="9"/>
        <v/>
      </c>
      <c r="E40" s="9"/>
    </row>
    <row r="41" spans="1:14" ht="19" thickTop="1" thickBot="1" x14ac:dyDescent="0.4">
      <c r="A41" s="9"/>
      <c r="B41" s="2"/>
      <c r="C41" s="8" t="str">
        <f t="shared" si="8"/>
        <v/>
      </c>
      <c r="D41" s="8" t="str">
        <f t="shared" si="9"/>
        <v/>
      </c>
      <c r="E41" s="9"/>
    </row>
    <row r="42" spans="1:14" ht="19" thickTop="1" thickBot="1" x14ac:dyDescent="0.4">
      <c r="A42" s="9"/>
      <c r="B42" s="2"/>
      <c r="C42" s="8" t="str">
        <f t="shared" si="8"/>
        <v/>
      </c>
      <c r="D42" s="8" t="str">
        <f t="shared" si="9"/>
        <v/>
      </c>
      <c r="E42" s="9"/>
    </row>
    <row r="43" spans="1:14" ht="19" thickTop="1" thickBot="1" x14ac:dyDescent="0.4">
      <c r="A43" s="9"/>
      <c r="B43" s="2"/>
      <c r="C43" s="8" t="str">
        <f t="shared" si="8"/>
        <v/>
      </c>
      <c r="D43" s="8" t="str">
        <f t="shared" si="9"/>
        <v/>
      </c>
      <c r="E43" s="9"/>
    </row>
    <row r="44" spans="1:14" ht="19" thickTop="1" thickBot="1" x14ac:dyDescent="0.4">
      <c r="A44" s="9"/>
      <c r="B44" s="2"/>
      <c r="C44" s="8" t="str">
        <f t="shared" si="8"/>
        <v/>
      </c>
      <c r="D44" s="8" t="str">
        <f t="shared" si="9"/>
        <v/>
      </c>
      <c r="E44" s="9"/>
    </row>
    <row r="45" spans="1:14" ht="19" thickTop="1" thickBot="1" x14ac:dyDescent="0.4">
      <c r="A45" s="9"/>
      <c r="B45" s="2"/>
      <c r="C45" s="8" t="str">
        <f t="shared" si="8"/>
        <v/>
      </c>
      <c r="D45" s="8" t="str">
        <f t="shared" si="9"/>
        <v/>
      </c>
      <c r="E45" s="9"/>
    </row>
    <row r="46" spans="1:14" ht="18.5" thickTop="1" x14ac:dyDescent="0.35">
      <c r="A46" s="9"/>
      <c r="B46" s="9"/>
      <c r="C46" s="9"/>
      <c r="D46" s="9"/>
      <c r="E46" s="9"/>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Depreciation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Home</cp:lastModifiedBy>
  <cp:lastPrinted>2019-12-30T11:34:18Z</cp:lastPrinted>
  <dcterms:created xsi:type="dcterms:W3CDTF">2019-12-30T10:28:43Z</dcterms:created>
  <dcterms:modified xsi:type="dcterms:W3CDTF">2025-09-04T04:00:52Z</dcterms:modified>
</cp:coreProperties>
</file>