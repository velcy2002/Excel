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 ANALYSIS\Excel\"/>
    </mc:Choice>
  </mc:AlternateContent>
  <xr:revisionPtr revIDLastSave="0" documentId="13_ncr:1_{18EB7730-E490-4B15-8D3D-1B1D27C790ED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Sales report" sheetId="1" r:id="rId1"/>
    <sheet name="Online Sales Tracker" sheetId="5" r:id="rId2"/>
  </sheets>
  <externalReferences>
    <externalReference r:id="rId3"/>
  </externalReferences>
  <definedNames>
    <definedName name="_xlnm._FilterDatabase" localSheetId="0" hidden="1">'Sales report'!$B$7:$L$35</definedName>
    <definedName name="_xlchart.v1.0" hidden="1">'Online Sales Tracker'!$B$7:$B$12</definedName>
    <definedName name="_xlchart.v1.1" hidden="1">'Online Sales Tracker'!$C$6</definedName>
    <definedName name="_xlchart.v1.2" hidden="1">'Online Sales Tracker'!$C$7:$C$12</definedName>
    <definedName name="_xlchart.v1.3" hidden="1">'Online Sales Tracker'!$D$6</definedName>
    <definedName name="_xlchart.v1.4" hidden="1">'Online Sales Tracker'!$D$7:$D$12</definedName>
    <definedName name="_xlchart.v1.5" hidden="1">'Online Sales Tracker'!$E$6</definedName>
    <definedName name="_xlchart.v1.6" hidden="1">'Online Sales Tracker'!$E$7:$E$12</definedName>
    <definedName name="_xlchart.v1.7" hidden="1">'Online Sales Tracker'!$F$6</definedName>
    <definedName name="_xlchart.v1.8" hidden="1">'Online Sales Tracker'!$F$7:$F$12</definedName>
  </definedNames>
  <calcPr calcId="191029"/>
</workbook>
</file>

<file path=xl/calcChain.xml><?xml version="1.0" encoding="utf-8"?>
<calcChain xmlns="http://schemas.openxmlformats.org/spreadsheetml/2006/main">
  <c r="J8" i="1" l="1"/>
  <c r="F10" i="5" l="1"/>
  <c r="G11" i="5"/>
  <c r="C7" i="5"/>
  <c r="G8" i="5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8" i="1"/>
  <c r="I9" i="1"/>
  <c r="J9" i="1" s="1"/>
  <c r="I10" i="1"/>
  <c r="K10" i="1" s="1"/>
  <c r="I11" i="1"/>
  <c r="J11" i="1" s="1"/>
  <c r="I12" i="1"/>
  <c r="K12" i="1" s="1"/>
  <c r="I13" i="1"/>
  <c r="J13" i="1" s="1"/>
  <c r="I14" i="1"/>
  <c r="K14" i="1" s="1"/>
  <c r="I15" i="1"/>
  <c r="K15" i="1" s="1"/>
  <c r="I16" i="1"/>
  <c r="K16" i="1" s="1"/>
  <c r="I17" i="1"/>
  <c r="J17" i="1" s="1"/>
  <c r="I18" i="1"/>
  <c r="K18" i="1" s="1"/>
  <c r="I19" i="1"/>
  <c r="J19" i="1" s="1"/>
  <c r="I20" i="1"/>
  <c r="K20" i="1" s="1"/>
  <c r="I21" i="1"/>
  <c r="J21" i="1" s="1"/>
  <c r="I22" i="1"/>
  <c r="J22" i="1" s="1"/>
  <c r="I23" i="1"/>
  <c r="K23" i="1" s="1"/>
  <c r="I24" i="1"/>
  <c r="K24" i="1" s="1"/>
  <c r="I25" i="1"/>
  <c r="J25" i="1" s="1"/>
  <c r="I26" i="1"/>
  <c r="K26" i="1" s="1"/>
  <c r="I27" i="1"/>
  <c r="J27" i="1" s="1"/>
  <c r="I28" i="1"/>
  <c r="K28" i="1" s="1"/>
  <c r="I29" i="1"/>
  <c r="J29" i="1" s="1"/>
  <c r="I30" i="1"/>
  <c r="K30" i="1" s="1"/>
  <c r="I31" i="1"/>
  <c r="J31" i="1" s="1"/>
  <c r="I32" i="1"/>
  <c r="K32" i="1" s="1"/>
  <c r="I33" i="1"/>
  <c r="J33" i="1" s="1"/>
  <c r="I34" i="1"/>
  <c r="K34" i="1" s="1"/>
  <c r="I35" i="1"/>
  <c r="J35" i="1" s="1"/>
  <c r="I8" i="1"/>
  <c r="K8" i="1" s="1"/>
  <c r="G19" i="5"/>
  <c r="E19" i="5"/>
  <c r="C19" i="5"/>
  <c r="E17" i="5"/>
  <c r="F15" i="5"/>
  <c r="G9" i="5"/>
  <c r="J23" i="1" l="1"/>
  <c r="K31" i="1"/>
  <c r="J15" i="1"/>
  <c r="J32" i="1"/>
  <c r="J16" i="1"/>
  <c r="K19" i="1"/>
  <c r="J24" i="1"/>
  <c r="K35" i="1"/>
  <c r="J28" i="1"/>
  <c r="J20" i="1"/>
  <c r="J12" i="1"/>
  <c r="K27" i="1"/>
  <c r="K11" i="1"/>
  <c r="K22" i="1"/>
  <c r="J34" i="1"/>
  <c r="J30" i="1"/>
  <c r="J26" i="1"/>
  <c r="J18" i="1"/>
  <c r="J14" i="1"/>
  <c r="J10" i="1"/>
  <c r="K33" i="1"/>
  <c r="K29" i="1"/>
  <c r="K25" i="1"/>
  <c r="K21" i="1"/>
  <c r="K17" i="1"/>
  <c r="K13" i="1"/>
  <c r="K9" i="1"/>
  <c r="C15" i="5" s="1"/>
  <c r="G7" i="5"/>
  <c r="F9" i="5"/>
  <c r="D9" i="5"/>
  <c r="D11" i="5"/>
  <c r="F11" i="5"/>
  <c r="C8" i="5"/>
  <c r="C10" i="5"/>
  <c r="D7" i="5"/>
  <c r="H7" i="5" s="1"/>
  <c r="E8" i="5"/>
  <c r="F7" i="5"/>
  <c r="F8" i="5"/>
  <c r="E10" i="5"/>
  <c r="G10" i="5"/>
  <c r="C9" i="5"/>
  <c r="C11" i="5"/>
  <c r="D8" i="5"/>
  <c r="D10" i="5"/>
  <c r="E7" i="5"/>
  <c r="E9" i="5"/>
  <c r="E11" i="5"/>
  <c r="H11" i="5" l="1"/>
  <c r="H10" i="5"/>
  <c r="H9" i="5"/>
  <c r="H8" i="5"/>
  <c r="C12" i="5"/>
  <c r="E12" i="5"/>
  <c r="G12" i="5"/>
  <c r="D12" i="5"/>
  <c r="F12" i="5"/>
  <c r="H12" i="5" l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D18" i="5"/>
  <c r="G15" i="5"/>
  <c r="G16" i="5"/>
  <c r="D16" i="5"/>
  <c r="F17" i="5"/>
  <c r="F16" i="5"/>
  <c r="G18" i="5"/>
  <c r="G17" i="5"/>
  <c r="C16" i="5"/>
  <c r="D17" i="5"/>
  <c r="E18" i="5"/>
  <c r="F19" i="5" l="1"/>
  <c r="C18" i="5"/>
  <c r="F18" i="5"/>
  <c r="D19" i="5"/>
  <c r="C17" i="5"/>
  <c r="H17" i="5" s="1"/>
  <c r="E16" i="5"/>
  <c r="H16" i="5" s="1"/>
  <c r="D15" i="5"/>
  <c r="H15" i="5" l="1"/>
  <c r="H18" i="5"/>
  <c r="H19" i="5"/>
  <c r="E15" i="5"/>
</calcChain>
</file>

<file path=xl/sharedStrings.xml><?xml version="1.0" encoding="utf-8"?>
<sst xmlns="http://schemas.openxmlformats.org/spreadsheetml/2006/main" count="98" uniqueCount="30">
  <si>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</si>
  <si>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</si>
  <si>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</si>
  <si>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</si>
  <si>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</si>
  <si>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</si>
  <si>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</si>
  <si>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</si>
  <si>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</si>
  <si>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</si>
  <si>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</si>
  <si>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</si>
  <si>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</si>
  <si>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</si>
  <si>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</si>
  <si>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</si>
  <si>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</si>
  <si>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</si>
  <si>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</si>
  <si>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</si>
  <si>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Cost Price</t>
  </si>
  <si>
    <t>Quantity</t>
  </si>
  <si>
    <t>Sales channel</t>
  </si>
  <si>
    <t>Sales Summary</t>
  </si>
  <si>
    <t>Online Sales Tracker</t>
  </si>
  <si>
    <t>Volume Breakup</t>
  </si>
  <si>
    <t>Product-wise Profit Breakup</t>
  </si>
  <si>
    <t>Monthly Sales Report</t>
  </si>
  <si>
    <t>Sell Price</t>
  </si>
  <si>
    <t>TIPS:--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</si>
</sst>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1" fillId="3" borderId="1" xfId="2" applyNumberFormat="1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8A0E1"/>
      <color rgb="FFDCEEF2"/>
      <color rgb="FF333300"/>
      <color rgb="FFFFCC99"/>
      <color rgb="FFFF7C8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Sales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r>
              <a:rPr lang="en-US">
                <a:solidFill>
                  <a:schemeClr val="bg1"/>
                </a:solidFill>
              </a:rPr>
              <a:t>Volume Against Each Sales</a:t>
            </a:r>
            <a:r>
              <a:rPr lang="en-US" baseline="0">
                <a:solidFill>
                  <a:schemeClr val="bg1"/>
                </a:solidFill>
              </a:rPr>
              <a:t> Channel</a:t>
            </a:r>
            <a:endParaRPr lang="en-US">
              <a:solidFill>
                <a:schemeClr val="bg1"/>
              </a:solidFill>
            </a:endParaRP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20039280805273738"/>
          <c:y val="0.32545512025524009"/>
          <c:w val="0.40195646891122988"/>
          <c:h val="0.46542430836427234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'Online Sales Tracker'!$C$6</c:f>
              <c:strCache>
                <c:ptCount val="1"/>
                <c:pt idx="0">
                  <c:v>Website</c:v>
                </c:pt>
              </c:strCache>
            </c:strRef>
          </c:tx>
          <c:invertIfNegative val="0"/>
          <c:cat>
            <c:strRef>
              <c:f>'Online Sales Tracker'!$B$7:$B$12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</c:strCache>
            </c:strRef>
          </c:cat>
          <c:val>
            <c:numRef>
              <c:f>'Online Sales Tracker'!$C$7:$C$12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  <c:pt idx="5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F9-4A88-A739-2122A0A4A4D4}"/>
            </c:ext>
          </c:extLst>
        </c:ser>
        <c:ser>
          <c:idx val="1"/>
          <c:order val="1"/>
          <c:tx>
            <c:strRef>
              <c:f>'Online Sales Tracker'!$D$6</c:f>
              <c:strCache>
                <c:ptCount val="1"/>
                <c:pt idx="0">
                  <c:v>Amazon</c:v>
                </c:pt>
              </c:strCache>
            </c:strRef>
          </c:tx>
          <c:invertIfNegative val="0"/>
          <c:cat>
            <c:strRef>
              <c:f>'Online Sales Tracker'!$B$7:$B$12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</c:strCache>
            </c:strRef>
          </c:cat>
          <c:val>
            <c:numRef>
              <c:f>'Online Sales Tracker'!$D$7:$D$12</c:f>
              <c:numCache>
                <c:formatCode>General</c:formatCode>
                <c:ptCount val="6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CF9-4A88-A739-2122A0A4A4D4}"/>
            </c:ext>
          </c:extLst>
        </c:ser>
        <c:ser>
          <c:idx val="2"/>
          <c:order val="2"/>
          <c:tx>
            <c:strRef>
              <c:f>'Online Sales Tracker'!$E$6</c:f>
              <c:strCache>
                <c:ptCount val="1"/>
                <c:pt idx="0">
                  <c:v>Big basket</c:v>
                </c:pt>
              </c:strCache>
            </c:strRef>
          </c:tx>
          <c:invertIfNegative val="0"/>
          <c:cat>
            <c:strRef>
              <c:f>'Online Sales Tracker'!$B$7:$B$12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</c:strCache>
            </c:strRef>
          </c:cat>
          <c:val>
            <c:numRef>
              <c:f>'Online Sales Tracker'!$E$7:$E$12</c:f>
              <c:numCache>
                <c:formatCode>General</c:formatCode>
                <c:ptCount val="6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F9-4A88-A739-2122A0A4A4D4}"/>
            </c:ext>
          </c:extLst>
        </c:ser>
        <c:ser>
          <c:idx val="3"/>
          <c:order val="3"/>
          <c:tx>
            <c:strRef>
              <c:f>'Online Sales Tracker'!$F$6</c:f>
              <c:strCache>
                <c:ptCount val="1"/>
                <c:pt idx="0">
                  <c:v>Flipkart</c:v>
                </c:pt>
              </c:strCache>
            </c:strRef>
          </c:tx>
          <c:invertIfNegative val="0"/>
          <c:cat>
            <c:strRef>
              <c:f>'Online Sales Tracker'!$B$7:$B$12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</c:strCache>
            </c:strRef>
          </c:cat>
          <c:val>
            <c:numRef>
              <c:f>'Online Sales Tracker'!$F$7:$F$12</c:f>
              <c:numCache>
                <c:formatCode>General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CF9-4A88-A739-2122A0A4A4D4}"/>
            </c:ext>
          </c:extLst>
        </c:ser>
        <c:ser>
          <c:idx val="4"/>
          <c:order val="4"/>
          <c:tx>
            <c:strRef>
              <c:f>'Online Sales Tracker'!$G$6</c:f>
              <c:strCache>
                <c:ptCount val="1"/>
                <c:pt idx="0">
                  <c:v>Shopclues</c:v>
                </c:pt>
              </c:strCache>
            </c:strRef>
          </c:tx>
          <c:invertIfNegative val="0"/>
          <c:cat>
            <c:strRef>
              <c:f>'Online Sales Tracker'!$B$7:$B$12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</c:strCache>
            </c:strRef>
          </c:cat>
          <c:val>
            <c:numRef>
              <c:f>'Online Sales Tracker'!$G$7:$G$12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  <c:pt idx="5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CF9-4A88-A739-2122A0A4A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609344"/>
        <c:axId val="173610880"/>
        <c:axId val="0"/>
      </c:bar3DChart>
      <c:catAx>
        <c:axId val="17360934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3610880"/>
        <c:crosses val="autoZero"/>
        <c:auto val="1"/>
        <c:lblAlgn val="ctr"/>
        <c:lblOffset val="100"/>
        <c:noMultiLvlLbl val="0"/>
      </c:catAx>
      <c:valAx>
        <c:axId val="1736108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36093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baseline="0"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 w="19050">
      <a:solidFill>
        <a:schemeClr val="bg1">
          <a:alpha val="99000"/>
        </a:schemeClr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j-lt"/>
              <a:ea typeface="Tahoma" pitchFamily="34" charset="0"/>
              <a:cs typeface="Tahoma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Tracker'!$C$6</c:f>
              <c:strCache>
                <c:ptCount val="1"/>
                <c:pt idx="0">
                  <c:v>Website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A6-4E38-956A-1A32253D50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A6-4E38-956A-1A32253D50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A6-4E38-956A-1A32253D50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2A6-4E38-956A-1A32253D50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2A6-4E38-956A-1A32253D50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2A6-4E38-956A-1A32253D50D0}"/>
              </c:ext>
            </c:extLst>
          </c:dPt>
          <c:cat>
            <c:strRef>
              <c:f>'Online Sales Tracker'!$B$7:$B$12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</c:strCache>
            </c:strRef>
          </c:cat>
          <c:val>
            <c:numRef>
              <c:f>'Online Sales Tracker'!$C$7:$C$12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  <c:pt idx="5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81-4634-9FAC-D2C78597B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86143639175757"/>
          <c:y val="0.27226731394456488"/>
          <c:w val="0.18513844276519928"/>
          <c:h val="0.63397333611444262"/>
        </c:manualLayout>
      </c:layout>
      <c:overlay val="0"/>
      <c:spPr>
        <a:noFill/>
        <a:ln w="19050"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 cap="flat" cmpd="sng" algn="ctr">
      <a:solidFill>
        <a:sysClr val="window" lastClr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8997E-2"/>
          <c:w val="0.62895789833736993"/>
          <c:h val="0.88845409985229185"/>
        </c:manualLayout>
      </c:layout>
      <c:pieChart>
        <c:varyColors val="1"/>
        <c:ser>
          <c:idx val="0"/>
          <c:order val="0"/>
          <c:tx>
            <c:strRef>
              <c:f>'Online Sales Tracker'!$D$6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Tracker'!$B$7:$B$12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</c:strCache>
            </c:strRef>
          </c:cat>
          <c:val>
            <c:numRef>
              <c:f>'Online Sales Tracker'!$D$7:$D$12</c:f>
              <c:numCache>
                <c:formatCode>General</c:formatCode>
                <c:ptCount val="6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4-4CDD-9D80-AAC9C4AB8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34"/>
          <c:y val="0.27226731394456488"/>
          <c:w val="0.18513841878362489"/>
          <c:h val="0.62162320619013534"/>
        </c:manualLayout>
      </c:layout>
      <c:overlay val="0"/>
      <c:spPr>
        <a:ln w="19050"/>
      </c:spPr>
      <c:txPr>
        <a:bodyPr/>
        <a:lstStyle/>
        <a:p>
          <a:pPr rtl="0"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Tracker'!$E$6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Tracker'!$B$7:$B$12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</c:strCache>
            </c:strRef>
          </c:cat>
          <c:val>
            <c:numRef>
              <c:f>'Online Sales Tracker'!$E$7:$E$12</c:f>
              <c:numCache>
                <c:formatCode>General</c:formatCode>
                <c:ptCount val="6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1-49B9-ABA7-FB1F32EE7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8513853501657562"/>
          <c:h val="0.62980289390999722"/>
        </c:manualLayout>
      </c:layout>
      <c:overlay val="0"/>
      <c:spPr>
        <a:ln w="19050"/>
      </c:spPr>
      <c:txPr>
        <a:bodyPr/>
        <a:lstStyle/>
        <a:p>
          <a:pPr rtl="0"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Tracker'!$F$6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Tracker'!$B$7:$B$12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</c:strCache>
            </c:strRef>
          </c:cat>
          <c:val>
            <c:numRef>
              <c:f>'Online Sales Tracker'!$F$7:$F$12</c:f>
              <c:numCache>
                <c:formatCode>General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  <c:pt idx="5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B-4D96-8D5A-6AB5EB312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8513852435112277"/>
          <c:h val="0.6381998250218722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Tracker'!$G$6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Tracker'!$B$7:$B$12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TOTAL</c:v>
                </c:pt>
              </c:strCache>
            </c:strRef>
          </c:cat>
          <c:val>
            <c:numRef>
              <c:f>'Online Sales Tracker'!$G$7:$G$12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  <c:pt idx="5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7-458E-A324-124612A8D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8513844551545938"/>
          <c:h val="0.6339733361144426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351044469962608E-2"/>
          <c:y val="0.1717101186095483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  <cx:data id="2">
      <cx:strDim type="cat">
        <cx:f>_xlchart.v1.0</cx:f>
      </cx:strDim>
      <cx:numDim type="size">
        <cx:f>_xlchart.v1.6</cx:f>
      </cx:numDim>
    </cx:data>
    <cx:data id="3">
      <cx:strDim type="cat">
        <cx:f>_xlchart.v1.0</cx:f>
      </cx:strDim>
      <cx:numDim type="size">
        <cx:f>_xlchart.v1.8</cx:f>
      </cx:numDim>
    </cx:data>
  </cx:chartData>
  <cx:chart>
    <cx:title pos="t" align="ctr" overlay="0">
      <cx:tx>
        <cx:txData>
          <cx:v>Sales volume against each sales  Product wise</cx:v>
        </cx:txData>
      </cx:tx>
      <cx:spPr>
        <a:solidFill>
          <a:srgbClr val="92D050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Sales volume against each sales  Product wise</a:t>
          </a:r>
        </a:p>
      </cx:txPr>
    </cx:title>
    <cx:plotArea>
      <cx:plotAreaRegion>
        <cx:series layoutId="sunburst" uniqueId="{5842BF5C-AFF1-45D9-8C4E-F75C857538DC}" formatIdx="0">
          <cx:tx>
            <cx:txData>
              <cx:f>_xlchart.v1.1</cx:f>
              <cx:v>Website</cx:v>
            </cx:txData>
          </cx:tx>
          <cx:dataLabels pos="ctr">
            <cx:visibility seriesName="0" categoryName="1" value="0"/>
          </cx:dataLabels>
          <cx:dataId val="0"/>
        </cx:series>
        <cx:series layoutId="sunburst" hidden="1" uniqueId="{3A37FB54-D3FE-410D-A65C-917316C6FFC7}" formatIdx="1">
          <cx:tx>
            <cx:txData>
              <cx:f>_xlchart.v1.3</cx:f>
              <cx:v>Amazon</cx:v>
            </cx:txData>
          </cx:tx>
          <cx:dataLabels pos="ctr">
            <cx:visibility seriesName="0" categoryName="1" value="0"/>
          </cx:dataLabels>
          <cx:dataId val="1"/>
        </cx:series>
        <cx:series layoutId="sunburst" hidden="1" uniqueId="{6D1CF06F-02F5-4962-B97F-91DD586F73D8}" formatIdx="2">
          <cx:tx>
            <cx:txData>
              <cx:f>_xlchart.v1.5</cx:f>
              <cx:v>Big basket</cx:v>
            </cx:txData>
          </cx:tx>
          <cx:dataLabels pos="ctr">
            <cx:visibility seriesName="0" categoryName="1" value="0"/>
          </cx:dataLabels>
          <cx:dataId val="2"/>
        </cx:series>
        <cx:series layoutId="sunburst" hidden="1" uniqueId="{560E514A-1080-4E3A-B907-533084D86781}" formatIdx="3">
          <cx:tx>
            <cx:txData>
              <cx:f>_xlchart.v1.7</cx:f>
              <cx:v>Flipkart</cx:v>
            </cx:txData>
          </cx:tx>
          <cx:dataLabels pos="ctr">
            <cx:visibility seriesName="0" categoryName="1" value="0"/>
          </cx:dataLabels>
          <cx:dataId val="3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6">
  <cs:axisTitle>
    <cs:lnRef idx="0"/>
    <cs:fillRef idx="0"/>
    <cs:effectRef idx="0"/>
    <cs:fontRef idx="major">
      <a:schemeClr val="dk1">
        <a:lumMod val="50000"/>
        <a:lumOff val="50000"/>
      </a:schemeClr>
    </cs:fontRef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31769-30CD-41C7-BFE6-84D31DBA2873}"/>
            </a:ext>
          </a:extLst>
        </xdr:cNvPr>
        <xdr:cNvSpPr txBox="1"/>
      </xdr:nvSpPr>
      <xdr:spPr>
        <a:xfrm>
          <a:off x="9877426" y="742950"/>
          <a:ext cx="6038850" cy="5114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29FF0-4505-4146-82E5-3DF907403601}"/>
            </a:ext>
          </a:extLst>
        </xdr:cNvPr>
        <xdr:cNvSpPr txBox="1"/>
      </xdr:nvSpPr>
      <xdr:spPr>
        <a:xfrm>
          <a:off x="142875" y="142875"/>
          <a:ext cx="140779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20</xdr:row>
      <xdr:rowOff>45721</xdr:rowOff>
    </xdr:from>
    <xdr:to>
      <xdr:col>8</xdr:col>
      <xdr:colOff>3266</xdr:colOff>
      <xdr:row>34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35</xdr:row>
      <xdr:rowOff>7620</xdr:rowOff>
    </xdr:from>
    <xdr:to>
      <xdr:col>2</xdr:col>
      <xdr:colOff>1045020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95250</xdr:colOff>
      <xdr:row>2</xdr:row>
      <xdr:rowOff>49530</xdr:rowOff>
    </xdr:from>
    <xdr:to>
      <xdr:col>20</xdr:col>
      <xdr:colOff>520065</xdr:colOff>
      <xdr:row>15</xdr:row>
      <xdr:rowOff>47625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E245D5-E8DC-42C8-B086-AC60580C0015}"/>
            </a:ext>
          </a:extLst>
        </xdr:cNvPr>
        <xdr:cNvSpPr txBox="1"/>
      </xdr:nvSpPr>
      <xdr:spPr>
        <a:xfrm>
          <a:off x="9124950" y="868680"/>
          <a:ext cx="8054340" cy="331279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</a:p>
        <a:p>
          <a:r>
            <a:rPr lang="en-US" sz="1100" baseline="0"/>
            <a:t>Website + Amazon + BigBasket + Flipkart + Shopclues</a:t>
          </a:r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2</xdr:col>
      <xdr:colOff>819150</xdr:colOff>
      <xdr:row>22</xdr:row>
      <xdr:rowOff>133350</xdr:rowOff>
    </xdr:from>
    <xdr:to>
      <xdr:col>5</xdr:col>
      <xdr:colOff>1062990</xdr:colOff>
      <xdr:row>24</xdr:row>
      <xdr:rowOff>82550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F9C367-CEC6-4019-B5E0-7749C7568105}"/>
            </a:ext>
          </a:extLst>
        </xdr:cNvPr>
        <xdr:cNvSpPr txBox="1"/>
      </xdr:nvSpPr>
      <xdr:spPr>
        <a:xfrm>
          <a:off x="2127250" y="5607050"/>
          <a:ext cx="3520440" cy="31750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Volume Against Each Sales Channel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266700</xdr:colOff>
      <xdr:row>35</xdr:row>
      <xdr:rowOff>123826</xdr:rowOff>
    </xdr:from>
    <xdr:to>
      <xdr:col>2</xdr:col>
      <xdr:colOff>1000125</xdr:colOff>
      <xdr:row>36</xdr:row>
      <xdr:rowOff>180976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DE083F9-C07C-45D3-96FF-60380FAF2409}"/>
            </a:ext>
          </a:extLst>
        </xdr:cNvPr>
        <xdr:cNvSpPr txBox="1"/>
      </xdr:nvSpPr>
      <xdr:spPr>
        <a:xfrm>
          <a:off x="1524000" y="8277226"/>
          <a:ext cx="7334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Websites</a:t>
          </a:r>
        </a:p>
      </xdr:txBody>
    </xdr:sp>
    <xdr:clientData/>
  </xdr:twoCellAnchor>
  <xdr:twoCellAnchor>
    <xdr:from>
      <xdr:col>8</xdr:col>
      <xdr:colOff>81917</xdr:colOff>
      <xdr:row>20</xdr:row>
      <xdr:rowOff>129540</xdr:rowOff>
    </xdr:from>
    <xdr:to>
      <xdr:col>12</xdr:col>
      <xdr:colOff>158116</xdr:colOff>
      <xdr:row>32</xdr:row>
      <xdr:rowOff>67627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90193FC7-BE12-E3A4-9144-CB1ED87DBA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43217" y="5234940"/>
              <a:ext cx="3568699" cy="21478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0.55781</cdr:x>
      <cdr:y>0.06367</cdr:y>
    </cdr:from>
    <cdr:to>
      <cdr:x>0.98689</cdr:x>
      <cdr:y>0.23769</cdr:y>
    </cdr:to>
    <cdr:sp macro="" textlink="">
      <cdr:nvSpPr>
        <cdr:cNvPr id="3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188720" y="95249"/>
          <a:ext cx="914400" cy="2603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     Amazon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0.57095</cdr:x>
      <cdr:y>0.03333</cdr:y>
    </cdr:from>
    <cdr:to>
      <cdr:x>0.99028</cdr:x>
      <cdr:y>0.20259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78467" y="49102"/>
          <a:ext cx="938954" cy="24934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   Big Basket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0.62369</cdr:x>
      <cdr:y>0.03384</cdr:y>
    </cdr:from>
    <cdr:to>
      <cdr:x>0.97666</cdr:x>
      <cdr:y>0.20837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357630" y="49294"/>
          <a:ext cx="768350" cy="25423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   Flipkart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0.57862</cdr:x>
      <cdr:y>0.03384</cdr:y>
    </cdr:from>
    <cdr:to>
      <cdr:x>0.98605</cdr:x>
      <cdr:y>0.20052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70636" y="49294"/>
          <a:ext cx="894714" cy="24280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  Shopclues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36"/>
  <sheetViews>
    <sheetView tabSelected="1" topLeftCell="F4" workbookViewId="0">
      <selection activeCell="P5" sqref="P5"/>
    </sheetView>
  </sheetViews>
  <sheetFormatPr defaultColWidth="9.08984375" defaultRowHeight="14" x14ac:dyDescent="0.35"/>
  <cols>
    <col min="1" max="1" width="3.08984375" style="3" customWidth="1"/>
    <col min="2" max="3" width="11.36328125" style="3" bestFit="1" customWidth="1"/>
    <col min="4" max="4" width="10.54296875" style="3" bestFit="1" customWidth="1"/>
    <col min="5" max="5" width="11.453125" style="3" bestFit="1" customWidth="1"/>
    <col min="6" max="6" width="17.453125" style="3" customWidth="1"/>
    <col min="7" max="7" width="13.6328125" style="3" bestFit="1" customWidth="1"/>
    <col min="8" max="8" width="12.54296875" style="3" bestFit="1" customWidth="1"/>
    <col min="9" max="9" width="8.453125" style="3" bestFit="1" customWidth="1"/>
    <col min="10" max="10" width="10" style="3" bestFit="1" customWidth="1"/>
    <col min="11" max="11" width="14.90625" style="3" bestFit="1" customWidth="1"/>
    <col min="12" max="12" width="11.6328125" style="3" customWidth="1"/>
    <col min="13" max="13" width="3.08984375" style="3" customWidth="1"/>
    <col min="14" max="16" width="10.36328125" style="3" customWidth="1"/>
    <col min="17" max="17" width="12.36328125" style="3" bestFit="1" customWidth="1"/>
    <col min="18" max="18" width="10.54296875" style="3" bestFit="1" customWidth="1"/>
    <col min="19" max="19" width="12.08984375" style="3" bestFit="1" customWidth="1"/>
    <col min="20" max="16384" width="9.08984375" style="3"/>
  </cols>
  <sheetData>
    <row r="5" spans="1:14" ht="14.5" thickBot="1" x14ac:dyDescent="0.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31.5" thickBot="1" x14ac:dyDescent="0.4">
      <c r="A6" s="5"/>
      <c r="B6" s="32" t="s">
        <v>27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6"/>
    </row>
    <row r="7" spans="1:14" ht="18" thickBot="1" x14ac:dyDescent="0.4">
      <c r="A7" s="5"/>
      <c r="B7" s="22" t="s">
        <v>13</v>
      </c>
      <c r="C7" s="22" t="s">
        <v>17</v>
      </c>
      <c r="D7" s="22" t="s">
        <v>0</v>
      </c>
      <c r="E7" s="22" t="s">
        <v>21</v>
      </c>
      <c r="F7" s="22" t="s">
        <v>22</v>
      </c>
      <c r="G7" s="22" t="s">
        <v>20</v>
      </c>
      <c r="H7" s="22" t="s">
        <v>28</v>
      </c>
      <c r="I7" s="22" t="s">
        <v>6</v>
      </c>
      <c r="J7" s="22" t="s">
        <v>7</v>
      </c>
      <c r="K7" s="22" t="s">
        <v>8</v>
      </c>
      <c r="L7" s="22" t="s">
        <v>15</v>
      </c>
      <c r="M7" s="4"/>
    </row>
    <row r="8" spans="1:14" ht="14.5" thickBot="1" x14ac:dyDescent="0.4">
      <c r="A8" s="5"/>
      <c r="B8" s="25">
        <v>43009</v>
      </c>
      <c r="C8" s="26" t="str">
        <f>TEXT(B8,"dddd")</f>
        <v>Sunday</v>
      </c>
      <c r="D8" s="27" t="s">
        <v>1</v>
      </c>
      <c r="E8" s="27">
        <v>25</v>
      </c>
      <c r="F8" s="28" t="s">
        <v>10</v>
      </c>
      <c r="G8" s="29">
        <v>10</v>
      </c>
      <c r="H8" s="29">
        <v>15</v>
      </c>
      <c r="I8" s="29">
        <f>(H8-G8)</f>
        <v>5</v>
      </c>
      <c r="J8" s="30">
        <f>I8/E8</f>
        <v>0.2</v>
      </c>
      <c r="K8" s="29">
        <f>I8*E8</f>
        <v>125</v>
      </c>
      <c r="L8" s="29">
        <f>H8*E8</f>
        <v>375</v>
      </c>
      <c r="M8" s="4"/>
    </row>
    <row r="9" spans="1:14" ht="14.5" thickBot="1" x14ac:dyDescent="0.4">
      <c r="A9" s="5"/>
      <c r="B9" s="25">
        <v>43009</v>
      </c>
      <c r="C9" s="26" t="str">
        <f t="shared" ref="C9:C35" si="0">TEXT(B9,"dddd")</f>
        <v>Sunday</v>
      </c>
      <c r="D9" s="27" t="s">
        <v>1</v>
      </c>
      <c r="E9" s="27">
        <v>10</v>
      </c>
      <c r="F9" s="28" t="s">
        <v>9</v>
      </c>
      <c r="G9" s="29">
        <v>10</v>
      </c>
      <c r="H9" s="29">
        <v>15</v>
      </c>
      <c r="I9" s="29">
        <f t="shared" ref="I9:I35" si="1">(H9-G9)</f>
        <v>5</v>
      </c>
      <c r="J9" s="30">
        <f t="shared" ref="J9:J35" si="2">I9/E9</f>
        <v>0.5</v>
      </c>
      <c r="K9" s="29">
        <f t="shared" ref="K9:K35" si="3">I9*E9</f>
        <v>50</v>
      </c>
      <c r="L9" s="29">
        <f t="shared" ref="L9:L35" si="4">H9*E9</f>
        <v>150</v>
      </c>
      <c r="M9" s="4"/>
    </row>
    <row r="10" spans="1:14" ht="14.5" thickBot="1" x14ac:dyDescent="0.4">
      <c r="A10" s="5"/>
      <c r="B10" s="25">
        <v>43009</v>
      </c>
      <c r="C10" s="26" t="str">
        <f t="shared" si="0"/>
        <v>Sunday</v>
      </c>
      <c r="D10" s="27" t="s">
        <v>5</v>
      </c>
      <c r="E10" s="27">
        <v>50</v>
      </c>
      <c r="F10" s="28" t="s">
        <v>10</v>
      </c>
      <c r="G10" s="29">
        <v>8</v>
      </c>
      <c r="H10" s="29">
        <v>10</v>
      </c>
      <c r="I10" s="29">
        <f t="shared" si="1"/>
        <v>2</v>
      </c>
      <c r="J10" s="30">
        <f t="shared" si="2"/>
        <v>0.04</v>
      </c>
      <c r="K10" s="29">
        <f t="shared" si="3"/>
        <v>100</v>
      </c>
      <c r="L10" s="29">
        <f t="shared" si="4"/>
        <v>500</v>
      </c>
      <c r="M10" s="4"/>
    </row>
    <row r="11" spans="1:14" ht="14.5" thickBot="1" x14ac:dyDescent="0.4">
      <c r="A11" s="5"/>
      <c r="B11" s="25">
        <v>43010</v>
      </c>
      <c r="C11" s="26" t="str">
        <f t="shared" si="0"/>
        <v>Monday</v>
      </c>
      <c r="D11" s="27" t="s">
        <v>2</v>
      </c>
      <c r="E11" s="27">
        <v>25</v>
      </c>
      <c r="F11" s="28" t="s">
        <v>16</v>
      </c>
      <c r="G11" s="29">
        <v>5</v>
      </c>
      <c r="H11" s="29">
        <v>10</v>
      </c>
      <c r="I11" s="29">
        <f t="shared" si="1"/>
        <v>5</v>
      </c>
      <c r="J11" s="30">
        <f t="shared" si="2"/>
        <v>0.2</v>
      </c>
      <c r="K11" s="29">
        <f t="shared" si="3"/>
        <v>125</v>
      </c>
      <c r="L11" s="29">
        <f t="shared" si="4"/>
        <v>250</v>
      </c>
      <c r="M11" s="4"/>
    </row>
    <row r="12" spans="1:14" ht="14.5" thickBot="1" x14ac:dyDescent="0.4">
      <c r="A12" s="5"/>
      <c r="B12" s="25">
        <v>43010</v>
      </c>
      <c r="C12" s="26" t="str">
        <f t="shared" si="0"/>
        <v>Monday</v>
      </c>
      <c r="D12" s="27" t="s">
        <v>3</v>
      </c>
      <c r="E12" s="27">
        <v>25</v>
      </c>
      <c r="F12" s="28" t="s">
        <v>9</v>
      </c>
      <c r="G12" s="29">
        <v>12</v>
      </c>
      <c r="H12" s="29">
        <v>20</v>
      </c>
      <c r="I12" s="29">
        <f t="shared" si="1"/>
        <v>8</v>
      </c>
      <c r="J12" s="30">
        <f t="shared" si="2"/>
        <v>0.32</v>
      </c>
      <c r="K12" s="29">
        <f t="shared" si="3"/>
        <v>200</v>
      </c>
      <c r="L12" s="29">
        <f t="shared" si="4"/>
        <v>500</v>
      </c>
      <c r="M12" s="4"/>
    </row>
    <row r="13" spans="1:14" ht="14.5" thickBot="1" x14ac:dyDescent="0.4">
      <c r="A13" s="5"/>
      <c r="B13" s="25">
        <v>43012</v>
      </c>
      <c r="C13" s="26" t="str">
        <f t="shared" si="0"/>
        <v>Wednesday</v>
      </c>
      <c r="D13" s="27" t="s">
        <v>5</v>
      </c>
      <c r="E13" s="27">
        <v>10</v>
      </c>
      <c r="F13" s="28" t="s">
        <v>10</v>
      </c>
      <c r="G13" s="29">
        <v>8</v>
      </c>
      <c r="H13" s="29">
        <v>10</v>
      </c>
      <c r="I13" s="29">
        <f t="shared" si="1"/>
        <v>2</v>
      </c>
      <c r="J13" s="30">
        <f t="shared" si="2"/>
        <v>0.2</v>
      </c>
      <c r="K13" s="29">
        <f t="shared" si="3"/>
        <v>20</v>
      </c>
      <c r="L13" s="29">
        <f t="shared" si="4"/>
        <v>100</v>
      </c>
      <c r="M13" s="4"/>
    </row>
    <row r="14" spans="1:14" ht="14.5" thickBot="1" x14ac:dyDescent="0.4">
      <c r="A14" s="5"/>
      <c r="B14" s="25">
        <v>43012</v>
      </c>
      <c r="C14" s="26" t="str">
        <f t="shared" si="0"/>
        <v>Wednesday</v>
      </c>
      <c r="D14" s="27" t="s">
        <v>4</v>
      </c>
      <c r="E14" s="27">
        <v>20</v>
      </c>
      <c r="F14" s="28" t="s">
        <v>11</v>
      </c>
      <c r="G14" s="29">
        <v>20</v>
      </c>
      <c r="H14" s="29">
        <v>30</v>
      </c>
      <c r="I14" s="29">
        <f t="shared" si="1"/>
        <v>10</v>
      </c>
      <c r="J14" s="30">
        <f t="shared" si="2"/>
        <v>0.5</v>
      </c>
      <c r="K14" s="29">
        <f t="shared" si="3"/>
        <v>200</v>
      </c>
      <c r="L14" s="29">
        <f t="shared" si="4"/>
        <v>600</v>
      </c>
      <c r="M14" s="4"/>
    </row>
    <row r="15" spans="1:14" ht="14.5" thickBot="1" x14ac:dyDescent="0.4">
      <c r="A15" s="5"/>
      <c r="B15" s="25">
        <v>43013</v>
      </c>
      <c r="C15" s="26" t="str">
        <f t="shared" si="0"/>
        <v>Thursday</v>
      </c>
      <c r="D15" s="27" t="s">
        <v>3</v>
      </c>
      <c r="E15" s="27">
        <v>40</v>
      </c>
      <c r="F15" s="28" t="s">
        <v>10</v>
      </c>
      <c r="G15" s="29">
        <v>12</v>
      </c>
      <c r="H15" s="29">
        <v>20</v>
      </c>
      <c r="I15" s="29">
        <f t="shared" si="1"/>
        <v>8</v>
      </c>
      <c r="J15" s="30">
        <f t="shared" si="2"/>
        <v>0.2</v>
      </c>
      <c r="K15" s="29">
        <f t="shared" si="3"/>
        <v>320</v>
      </c>
      <c r="L15" s="29">
        <f t="shared" si="4"/>
        <v>800</v>
      </c>
      <c r="M15" s="4"/>
      <c r="N15" s="7"/>
    </row>
    <row r="16" spans="1:14" ht="14.5" thickBot="1" x14ac:dyDescent="0.4">
      <c r="A16" s="5"/>
      <c r="B16" s="25">
        <v>43013</v>
      </c>
      <c r="C16" s="26" t="str">
        <f t="shared" si="0"/>
        <v>Thursday</v>
      </c>
      <c r="D16" s="27" t="s">
        <v>4</v>
      </c>
      <c r="E16" s="27">
        <v>50</v>
      </c>
      <c r="F16" s="28" t="s">
        <v>11</v>
      </c>
      <c r="G16" s="29">
        <v>20</v>
      </c>
      <c r="H16" s="29">
        <v>30</v>
      </c>
      <c r="I16" s="29">
        <f t="shared" si="1"/>
        <v>10</v>
      </c>
      <c r="J16" s="30">
        <f t="shared" si="2"/>
        <v>0.2</v>
      </c>
      <c r="K16" s="29">
        <f t="shared" si="3"/>
        <v>500</v>
      </c>
      <c r="L16" s="29">
        <f t="shared" si="4"/>
        <v>1500</v>
      </c>
      <c r="M16" s="4"/>
    </row>
    <row r="17" spans="1:13" ht="14.5" thickBot="1" x14ac:dyDescent="0.4">
      <c r="A17" s="5"/>
      <c r="B17" s="25">
        <v>43014</v>
      </c>
      <c r="C17" s="26" t="str">
        <f t="shared" si="0"/>
        <v>Friday</v>
      </c>
      <c r="D17" s="27" t="s">
        <v>5</v>
      </c>
      <c r="E17" s="27">
        <v>100</v>
      </c>
      <c r="F17" s="28" t="s">
        <v>11</v>
      </c>
      <c r="G17" s="29">
        <v>8</v>
      </c>
      <c r="H17" s="29">
        <v>10</v>
      </c>
      <c r="I17" s="29">
        <f t="shared" si="1"/>
        <v>2</v>
      </c>
      <c r="J17" s="30">
        <f t="shared" si="2"/>
        <v>0.02</v>
      </c>
      <c r="K17" s="29">
        <f t="shared" si="3"/>
        <v>200</v>
      </c>
      <c r="L17" s="29">
        <f t="shared" si="4"/>
        <v>1000</v>
      </c>
      <c r="M17" s="4"/>
    </row>
    <row r="18" spans="1:13" ht="14.5" thickBot="1" x14ac:dyDescent="0.4">
      <c r="A18" s="5"/>
      <c r="B18" s="25">
        <v>43015</v>
      </c>
      <c r="C18" s="26" t="str">
        <f t="shared" si="0"/>
        <v>Saturday</v>
      </c>
      <c r="D18" s="27" t="s">
        <v>4</v>
      </c>
      <c r="E18" s="27">
        <v>25</v>
      </c>
      <c r="F18" s="28" t="s">
        <v>16</v>
      </c>
      <c r="G18" s="29">
        <v>20</v>
      </c>
      <c r="H18" s="29">
        <v>30</v>
      </c>
      <c r="I18" s="29">
        <f t="shared" si="1"/>
        <v>10</v>
      </c>
      <c r="J18" s="30">
        <f t="shared" si="2"/>
        <v>0.4</v>
      </c>
      <c r="K18" s="29">
        <f t="shared" si="3"/>
        <v>250</v>
      </c>
      <c r="L18" s="29">
        <f t="shared" si="4"/>
        <v>750</v>
      </c>
      <c r="M18" s="4"/>
    </row>
    <row r="19" spans="1:13" ht="14.5" thickBot="1" x14ac:dyDescent="0.4">
      <c r="A19" s="5"/>
      <c r="B19" s="25">
        <v>43016</v>
      </c>
      <c r="C19" s="26" t="str">
        <f t="shared" si="0"/>
        <v>Sunday</v>
      </c>
      <c r="D19" s="27" t="s">
        <v>1</v>
      </c>
      <c r="E19" s="27">
        <v>40</v>
      </c>
      <c r="F19" s="28" t="s">
        <v>16</v>
      </c>
      <c r="G19" s="29">
        <v>10</v>
      </c>
      <c r="H19" s="29">
        <v>15</v>
      </c>
      <c r="I19" s="29">
        <f t="shared" si="1"/>
        <v>5</v>
      </c>
      <c r="J19" s="30">
        <f t="shared" si="2"/>
        <v>0.125</v>
      </c>
      <c r="K19" s="29">
        <f t="shared" si="3"/>
        <v>200</v>
      </c>
      <c r="L19" s="29">
        <f t="shared" si="4"/>
        <v>600</v>
      </c>
      <c r="M19" s="4"/>
    </row>
    <row r="20" spans="1:13" ht="14.5" thickBot="1" x14ac:dyDescent="0.4">
      <c r="A20" s="5"/>
      <c r="B20" s="25">
        <v>43018</v>
      </c>
      <c r="C20" s="26" t="str">
        <f t="shared" si="0"/>
        <v>Tuesday</v>
      </c>
      <c r="D20" s="27" t="s">
        <v>2</v>
      </c>
      <c r="E20" s="27">
        <v>20</v>
      </c>
      <c r="F20" s="28" t="s">
        <v>9</v>
      </c>
      <c r="G20" s="29">
        <v>5</v>
      </c>
      <c r="H20" s="29">
        <v>10</v>
      </c>
      <c r="I20" s="29">
        <f t="shared" si="1"/>
        <v>5</v>
      </c>
      <c r="J20" s="30">
        <f t="shared" si="2"/>
        <v>0.25</v>
      </c>
      <c r="K20" s="29">
        <f t="shared" si="3"/>
        <v>100</v>
      </c>
      <c r="L20" s="29">
        <f t="shared" si="4"/>
        <v>200</v>
      </c>
      <c r="M20" s="4"/>
    </row>
    <row r="21" spans="1:13" ht="14.5" thickBot="1" x14ac:dyDescent="0.4">
      <c r="A21" s="5"/>
      <c r="B21" s="25">
        <v>43018</v>
      </c>
      <c r="C21" s="26" t="str">
        <f t="shared" si="0"/>
        <v>Tuesday</v>
      </c>
      <c r="D21" s="27" t="s">
        <v>3</v>
      </c>
      <c r="E21" s="27">
        <v>100</v>
      </c>
      <c r="F21" s="28" t="s">
        <v>12</v>
      </c>
      <c r="G21" s="29">
        <v>12</v>
      </c>
      <c r="H21" s="29">
        <v>20</v>
      </c>
      <c r="I21" s="29">
        <f t="shared" si="1"/>
        <v>8</v>
      </c>
      <c r="J21" s="30">
        <f t="shared" si="2"/>
        <v>0.08</v>
      </c>
      <c r="K21" s="29">
        <f t="shared" si="3"/>
        <v>800</v>
      </c>
      <c r="L21" s="29">
        <f t="shared" si="4"/>
        <v>2000</v>
      </c>
      <c r="M21" s="4"/>
    </row>
    <row r="22" spans="1:13" ht="14.5" thickBot="1" x14ac:dyDescent="0.4">
      <c r="A22" s="5"/>
      <c r="B22" s="25">
        <v>43019</v>
      </c>
      <c r="C22" s="26" t="str">
        <f t="shared" si="0"/>
        <v>Wednesday</v>
      </c>
      <c r="D22" s="27" t="s">
        <v>3</v>
      </c>
      <c r="E22" s="27">
        <v>25</v>
      </c>
      <c r="F22" s="28" t="s">
        <v>9</v>
      </c>
      <c r="G22" s="29">
        <v>12</v>
      </c>
      <c r="H22" s="29">
        <v>20</v>
      </c>
      <c r="I22" s="29">
        <f t="shared" si="1"/>
        <v>8</v>
      </c>
      <c r="J22" s="30">
        <f t="shared" si="2"/>
        <v>0.32</v>
      </c>
      <c r="K22" s="29">
        <f t="shared" si="3"/>
        <v>200</v>
      </c>
      <c r="L22" s="29">
        <f t="shared" si="4"/>
        <v>500</v>
      </c>
      <c r="M22" s="4"/>
    </row>
    <row r="23" spans="1:13" ht="14.5" thickBot="1" x14ac:dyDescent="0.4">
      <c r="A23" s="5"/>
      <c r="B23" s="25">
        <v>43021</v>
      </c>
      <c r="C23" s="26" t="str">
        <f t="shared" si="0"/>
        <v>Friday</v>
      </c>
      <c r="D23" s="27" t="s">
        <v>2</v>
      </c>
      <c r="E23" s="27">
        <v>40</v>
      </c>
      <c r="F23" s="28" t="s">
        <v>16</v>
      </c>
      <c r="G23" s="29">
        <v>5</v>
      </c>
      <c r="H23" s="29">
        <v>10</v>
      </c>
      <c r="I23" s="29">
        <f t="shared" si="1"/>
        <v>5</v>
      </c>
      <c r="J23" s="30">
        <f t="shared" si="2"/>
        <v>0.125</v>
      </c>
      <c r="K23" s="29">
        <f t="shared" si="3"/>
        <v>200</v>
      </c>
      <c r="L23" s="29">
        <f t="shared" si="4"/>
        <v>400</v>
      </c>
      <c r="M23" s="4"/>
    </row>
    <row r="24" spans="1:13" ht="14.5" thickBot="1" x14ac:dyDescent="0.4">
      <c r="A24" s="5"/>
      <c r="B24" s="25">
        <v>43022</v>
      </c>
      <c r="C24" s="26" t="str">
        <f t="shared" si="0"/>
        <v>Saturday</v>
      </c>
      <c r="D24" s="27" t="s">
        <v>4</v>
      </c>
      <c r="E24" s="27">
        <v>25</v>
      </c>
      <c r="F24" s="28" t="s">
        <v>9</v>
      </c>
      <c r="G24" s="29">
        <v>20</v>
      </c>
      <c r="H24" s="29">
        <v>30</v>
      </c>
      <c r="I24" s="29">
        <f t="shared" si="1"/>
        <v>10</v>
      </c>
      <c r="J24" s="30">
        <f t="shared" si="2"/>
        <v>0.4</v>
      </c>
      <c r="K24" s="29">
        <f t="shared" si="3"/>
        <v>250</v>
      </c>
      <c r="L24" s="29">
        <f t="shared" si="4"/>
        <v>750</v>
      </c>
      <c r="M24" s="4"/>
    </row>
    <row r="25" spans="1:13" ht="14.5" thickBot="1" x14ac:dyDescent="0.4">
      <c r="A25" s="5"/>
      <c r="B25" s="25">
        <v>43024</v>
      </c>
      <c r="C25" s="26" t="str">
        <f t="shared" si="0"/>
        <v>Monday</v>
      </c>
      <c r="D25" s="27" t="s">
        <v>2</v>
      </c>
      <c r="E25" s="27">
        <v>50</v>
      </c>
      <c r="F25" s="28" t="s">
        <v>11</v>
      </c>
      <c r="G25" s="29">
        <v>5</v>
      </c>
      <c r="H25" s="29">
        <v>10</v>
      </c>
      <c r="I25" s="29">
        <f t="shared" si="1"/>
        <v>5</v>
      </c>
      <c r="J25" s="30">
        <f t="shared" si="2"/>
        <v>0.1</v>
      </c>
      <c r="K25" s="29">
        <f t="shared" si="3"/>
        <v>250</v>
      </c>
      <c r="L25" s="29">
        <f t="shared" si="4"/>
        <v>500</v>
      </c>
      <c r="M25" s="4"/>
    </row>
    <row r="26" spans="1:13" ht="14.5" thickBot="1" x14ac:dyDescent="0.4">
      <c r="A26" s="5"/>
      <c r="B26" s="25">
        <v>43024</v>
      </c>
      <c r="C26" s="26" t="str">
        <f t="shared" si="0"/>
        <v>Monday</v>
      </c>
      <c r="D26" s="27" t="s">
        <v>3</v>
      </c>
      <c r="E26" s="27">
        <v>30</v>
      </c>
      <c r="F26" s="28" t="s">
        <v>9</v>
      </c>
      <c r="G26" s="29">
        <v>12</v>
      </c>
      <c r="H26" s="29">
        <v>20</v>
      </c>
      <c r="I26" s="29">
        <f t="shared" si="1"/>
        <v>8</v>
      </c>
      <c r="J26" s="30">
        <f t="shared" si="2"/>
        <v>0.26666666666666666</v>
      </c>
      <c r="K26" s="29">
        <f t="shared" si="3"/>
        <v>240</v>
      </c>
      <c r="L26" s="29">
        <f t="shared" si="4"/>
        <v>600</v>
      </c>
      <c r="M26" s="4"/>
    </row>
    <row r="27" spans="1:13" ht="14.5" thickBot="1" x14ac:dyDescent="0.4">
      <c r="A27" s="5"/>
      <c r="B27" s="25">
        <v>43025</v>
      </c>
      <c r="C27" s="26" t="str">
        <f t="shared" si="0"/>
        <v>Tuesday</v>
      </c>
      <c r="D27" s="27" t="s">
        <v>4</v>
      </c>
      <c r="E27" s="27">
        <v>25</v>
      </c>
      <c r="F27" s="28" t="s">
        <v>12</v>
      </c>
      <c r="G27" s="29">
        <v>20</v>
      </c>
      <c r="H27" s="29">
        <v>30</v>
      </c>
      <c r="I27" s="29">
        <f t="shared" si="1"/>
        <v>10</v>
      </c>
      <c r="J27" s="30">
        <f t="shared" si="2"/>
        <v>0.4</v>
      </c>
      <c r="K27" s="29">
        <f t="shared" si="3"/>
        <v>250</v>
      </c>
      <c r="L27" s="29">
        <f t="shared" si="4"/>
        <v>750</v>
      </c>
      <c r="M27" s="4"/>
    </row>
    <row r="28" spans="1:13" ht="14.5" thickBot="1" x14ac:dyDescent="0.4">
      <c r="A28" s="5"/>
      <c r="B28" s="25">
        <v>43029</v>
      </c>
      <c r="C28" s="26" t="str">
        <f t="shared" si="0"/>
        <v>Saturday</v>
      </c>
      <c r="D28" s="27" t="s">
        <v>2</v>
      </c>
      <c r="E28" s="27">
        <v>60</v>
      </c>
      <c r="F28" s="28" t="s">
        <v>10</v>
      </c>
      <c r="G28" s="29">
        <v>5</v>
      </c>
      <c r="H28" s="29">
        <v>10</v>
      </c>
      <c r="I28" s="29">
        <f t="shared" si="1"/>
        <v>5</v>
      </c>
      <c r="J28" s="30">
        <f t="shared" si="2"/>
        <v>8.3333333333333329E-2</v>
      </c>
      <c r="K28" s="29">
        <f t="shared" si="3"/>
        <v>300</v>
      </c>
      <c r="L28" s="29">
        <f t="shared" si="4"/>
        <v>600</v>
      </c>
      <c r="M28" s="4"/>
    </row>
    <row r="29" spans="1:13" ht="14.5" thickBot="1" x14ac:dyDescent="0.4">
      <c r="A29" s="5"/>
      <c r="B29" s="25">
        <v>43030</v>
      </c>
      <c r="C29" s="26" t="str">
        <f t="shared" si="0"/>
        <v>Sunday</v>
      </c>
      <c r="D29" s="27" t="s">
        <v>5</v>
      </c>
      <c r="E29" s="27">
        <v>100</v>
      </c>
      <c r="F29" s="28" t="s">
        <v>11</v>
      </c>
      <c r="G29" s="29">
        <v>8</v>
      </c>
      <c r="H29" s="29">
        <v>10</v>
      </c>
      <c r="I29" s="29">
        <f t="shared" si="1"/>
        <v>2</v>
      </c>
      <c r="J29" s="30">
        <f t="shared" si="2"/>
        <v>0.02</v>
      </c>
      <c r="K29" s="29">
        <f t="shared" si="3"/>
        <v>200</v>
      </c>
      <c r="L29" s="29">
        <f t="shared" si="4"/>
        <v>1000</v>
      </c>
      <c r="M29" s="4"/>
    </row>
    <row r="30" spans="1:13" ht="14.5" thickBot="1" x14ac:dyDescent="0.4">
      <c r="A30" s="5"/>
      <c r="B30" s="25">
        <v>43032</v>
      </c>
      <c r="C30" s="26" t="str">
        <f t="shared" si="0"/>
        <v>Tuesday</v>
      </c>
      <c r="D30" s="27" t="s">
        <v>4</v>
      </c>
      <c r="E30" s="27">
        <v>20</v>
      </c>
      <c r="F30" s="28" t="s">
        <v>9</v>
      </c>
      <c r="G30" s="29">
        <v>20</v>
      </c>
      <c r="H30" s="29">
        <v>30</v>
      </c>
      <c r="I30" s="29">
        <f t="shared" si="1"/>
        <v>10</v>
      </c>
      <c r="J30" s="30">
        <f t="shared" si="2"/>
        <v>0.5</v>
      </c>
      <c r="K30" s="29">
        <f t="shared" si="3"/>
        <v>200</v>
      </c>
      <c r="L30" s="29">
        <f t="shared" si="4"/>
        <v>600</v>
      </c>
      <c r="M30" s="4"/>
    </row>
    <row r="31" spans="1:13" ht="14.5" thickBot="1" x14ac:dyDescent="0.4">
      <c r="A31" s="5"/>
      <c r="B31" s="25">
        <v>43032</v>
      </c>
      <c r="C31" s="26" t="str">
        <f t="shared" si="0"/>
        <v>Tuesday</v>
      </c>
      <c r="D31" s="27" t="s">
        <v>3</v>
      </c>
      <c r="E31" s="27">
        <v>40</v>
      </c>
      <c r="F31" s="28" t="s">
        <v>11</v>
      </c>
      <c r="G31" s="29">
        <v>12</v>
      </c>
      <c r="H31" s="29">
        <v>20</v>
      </c>
      <c r="I31" s="29">
        <f t="shared" si="1"/>
        <v>8</v>
      </c>
      <c r="J31" s="30">
        <f t="shared" si="2"/>
        <v>0.2</v>
      </c>
      <c r="K31" s="29">
        <f t="shared" si="3"/>
        <v>320</v>
      </c>
      <c r="L31" s="29">
        <f t="shared" si="4"/>
        <v>800</v>
      </c>
      <c r="M31" s="4"/>
    </row>
    <row r="32" spans="1:13" ht="14.5" thickBot="1" x14ac:dyDescent="0.4">
      <c r="A32" s="5"/>
      <c r="B32" s="25">
        <v>43035</v>
      </c>
      <c r="C32" s="26" t="str">
        <f t="shared" si="0"/>
        <v>Friday</v>
      </c>
      <c r="D32" s="27" t="s">
        <v>2</v>
      </c>
      <c r="E32" s="27">
        <v>50</v>
      </c>
      <c r="F32" s="28" t="s">
        <v>12</v>
      </c>
      <c r="G32" s="29">
        <v>5</v>
      </c>
      <c r="H32" s="29">
        <v>10</v>
      </c>
      <c r="I32" s="29">
        <f t="shared" si="1"/>
        <v>5</v>
      </c>
      <c r="J32" s="30">
        <f t="shared" si="2"/>
        <v>0.1</v>
      </c>
      <c r="K32" s="29">
        <f t="shared" si="3"/>
        <v>250</v>
      </c>
      <c r="L32" s="29">
        <f t="shared" si="4"/>
        <v>500</v>
      </c>
      <c r="M32" s="4"/>
    </row>
    <row r="33" spans="1:13" ht="14.5" thickBot="1" x14ac:dyDescent="0.4">
      <c r="A33" s="5"/>
      <c r="B33" s="25">
        <v>43036</v>
      </c>
      <c r="C33" s="26" t="str">
        <f t="shared" si="0"/>
        <v>Saturday</v>
      </c>
      <c r="D33" s="27" t="s">
        <v>2</v>
      </c>
      <c r="E33" s="27">
        <v>50</v>
      </c>
      <c r="F33" s="28" t="s">
        <v>16</v>
      </c>
      <c r="G33" s="29">
        <v>5</v>
      </c>
      <c r="H33" s="29">
        <v>10</v>
      </c>
      <c r="I33" s="29">
        <f t="shared" si="1"/>
        <v>5</v>
      </c>
      <c r="J33" s="30">
        <f t="shared" si="2"/>
        <v>0.1</v>
      </c>
      <c r="K33" s="29">
        <f t="shared" si="3"/>
        <v>250</v>
      </c>
      <c r="L33" s="29">
        <f t="shared" si="4"/>
        <v>500</v>
      </c>
      <c r="M33" s="4"/>
    </row>
    <row r="34" spans="1:13" ht="14.5" thickBot="1" x14ac:dyDescent="0.4">
      <c r="A34" s="5"/>
      <c r="B34" s="25">
        <v>43038</v>
      </c>
      <c r="C34" s="26" t="str">
        <f t="shared" si="0"/>
        <v>Monday</v>
      </c>
      <c r="D34" s="27" t="s">
        <v>1</v>
      </c>
      <c r="E34" s="27">
        <v>50</v>
      </c>
      <c r="F34" s="28" t="s">
        <v>12</v>
      </c>
      <c r="G34" s="29">
        <v>10</v>
      </c>
      <c r="H34" s="29">
        <v>15</v>
      </c>
      <c r="I34" s="29">
        <f t="shared" si="1"/>
        <v>5</v>
      </c>
      <c r="J34" s="30">
        <f t="shared" si="2"/>
        <v>0.1</v>
      </c>
      <c r="K34" s="29">
        <f t="shared" si="3"/>
        <v>250</v>
      </c>
      <c r="L34" s="29">
        <f t="shared" si="4"/>
        <v>750</v>
      </c>
      <c r="M34" s="4"/>
    </row>
    <row r="35" spans="1:13" ht="14.5" thickBot="1" x14ac:dyDescent="0.4">
      <c r="A35" s="5"/>
      <c r="B35" s="25">
        <v>43038</v>
      </c>
      <c r="C35" s="26" t="str">
        <f t="shared" si="0"/>
        <v>Monday</v>
      </c>
      <c r="D35" s="27" t="s">
        <v>4</v>
      </c>
      <c r="E35" s="27">
        <v>20</v>
      </c>
      <c r="F35" s="28" t="s">
        <v>10</v>
      </c>
      <c r="G35" s="29">
        <v>20</v>
      </c>
      <c r="H35" s="29">
        <v>30</v>
      </c>
      <c r="I35" s="29">
        <f t="shared" si="1"/>
        <v>10</v>
      </c>
      <c r="J35" s="30">
        <f t="shared" si="2"/>
        <v>0.5</v>
      </c>
      <c r="K35" s="29">
        <f t="shared" si="3"/>
        <v>200</v>
      </c>
      <c r="L35" s="29">
        <f t="shared" si="4"/>
        <v>600</v>
      </c>
      <c r="M35" s="4"/>
    </row>
    <row r="36" spans="1:13" x14ac:dyDescent="0.35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1">
    <mergeCell ref="B6:L6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Database!#REF!</xm:f>
          </x14:formula1>
          <xm:sqref>C7:C34 E7:E34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topLeftCell="A3" workbookViewId="0">
      <selection activeCell="J20" sqref="J20"/>
    </sheetView>
  </sheetViews>
  <sheetFormatPr defaultColWidth="9.08984375" defaultRowHeight="14.5" x14ac:dyDescent="0.35"/>
  <cols>
    <col min="1" max="1" width="3.08984375" style="2" customWidth="1"/>
    <col min="2" max="8" width="15.6328125" style="2" customWidth="1"/>
    <col min="9" max="9" width="3.08984375" style="2" customWidth="1"/>
    <col min="10" max="13" width="15.6328125" style="2" customWidth="1"/>
    <col min="14" max="16384" width="9.08984375" style="2"/>
  </cols>
  <sheetData>
    <row r="1" spans="1:11" ht="15" thickBot="1" x14ac:dyDescent="0.4">
      <c r="A1" s="1"/>
      <c r="B1" s="1"/>
      <c r="C1" s="1"/>
      <c r="D1" s="1"/>
      <c r="E1" s="1"/>
      <c r="F1" s="1"/>
      <c r="G1" s="1"/>
      <c r="H1" s="1"/>
      <c r="I1" s="1"/>
    </row>
    <row r="2" spans="1:11" ht="50.25" customHeight="1" thickBot="1" x14ac:dyDescent="0.4">
      <c r="A2" s="1"/>
      <c r="B2" s="37"/>
      <c r="C2" s="37"/>
      <c r="D2" s="37"/>
      <c r="E2" s="37"/>
      <c r="F2" s="37"/>
      <c r="G2" s="37"/>
      <c r="H2" s="39"/>
      <c r="I2" s="1"/>
    </row>
    <row r="3" spans="1:11" ht="32.25" customHeight="1" thickBot="1" x14ac:dyDescent="0.4">
      <c r="A3" s="1"/>
      <c r="B3" s="38" t="s">
        <v>24</v>
      </c>
      <c r="C3" s="38"/>
      <c r="D3" s="38"/>
      <c r="E3" s="38"/>
      <c r="F3" s="38"/>
      <c r="G3" s="38"/>
      <c r="H3" s="39"/>
      <c r="I3" s="1"/>
      <c r="K3" s="31" t="s">
        <v>29</v>
      </c>
    </row>
    <row r="4" spans="1:11" ht="32.25" customHeight="1" thickBot="1" x14ac:dyDescent="0.4">
      <c r="A4" s="1"/>
      <c r="B4" s="40" t="s">
        <v>23</v>
      </c>
      <c r="C4" s="41"/>
      <c r="D4" s="41"/>
      <c r="E4" s="41"/>
      <c r="F4" s="41"/>
      <c r="G4" s="41"/>
      <c r="H4" s="42"/>
      <c r="I4" s="1"/>
    </row>
    <row r="5" spans="1:11" ht="25.5" thickBot="1" x14ac:dyDescent="0.4">
      <c r="A5" s="1"/>
      <c r="B5" s="33" t="s">
        <v>25</v>
      </c>
      <c r="C5" s="34"/>
      <c r="D5" s="34"/>
      <c r="E5" s="34"/>
      <c r="F5" s="34"/>
      <c r="G5" s="34"/>
      <c r="H5" s="35"/>
      <c r="I5" s="1"/>
    </row>
    <row r="6" spans="1:11" ht="19.5" thickBot="1" x14ac:dyDescent="0.4">
      <c r="A6" s="1"/>
      <c r="B6" s="23" t="s">
        <v>0</v>
      </c>
      <c r="C6" s="23" t="s">
        <v>9</v>
      </c>
      <c r="D6" s="23" t="s">
        <v>10</v>
      </c>
      <c r="E6" s="23" t="s">
        <v>16</v>
      </c>
      <c r="F6" s="23" t="s">
        <v>11</v>
      </c>
      <c r="G6" s="23" t="s">
        <v>12</v>
      </c>
      <c r="H6" s="24" t="s">
        <v>14</v>
      </c>
      <c r="I6" s="1"/>
    </row>
    <row r="7" spans="1:11" ht="15" thickBot="1" x14ac:dyDescent="0.4">
      <c r="A7" s="1"/>
      <c r="B7" s="8" t="s">
        <v>1</v>
      </c>
      <c r="C7" s="8">
        <f>SUMIFS('Sales report'!$E$8:E$35,'Sales report'!$D$8:$D$35,B7,'Sales report'!$F$8:$F$35,C6)</f>
        <v>10</v>
      </c>
      <c r="D7" s="8">
        <f>SUMIFS('Sales report'!$E$8:$E$35,'Sales report'!$D$8:$D$35,B7,'Sales report'!$F$8:$F$35,D6)</f>
        <v>25</v>
      </c>
      <c r="E7" s="8">
        <f>SUMIFS('Sales report'!$E$8:$E$35,'Sales report'!$D$8:$D$35,B7,'Sales report'!$F$8:$F$35,E6)</f>
        <v>40</v>
      </c>
      <c r="F7" s="8">
        <f>SUMIFS('Sales report'!$E$8:$E$35,'Sales report'!$D$8:$D$35,B7,'Sales report'!$F$8:$F$35,F6)</f>
        <v>0</v>
      </c>
      <c r="G7" s="8">
        <f>SUMIFS('Sales report'!$E$8:$E$35,'Sales report'!$D$8:$D$35,B7,'Sales report'!$F$8:$F$35,G6)</f>
        <v>50</v>
      </c>
      <c r="H7" s="9">
        <f>SUM(C7:G7)</f>
        <v>125</v>
      </c>
      <c r="I7" s="1"/>
    </row>
    <row r="8" spans="1:11" ht="15" thickBot="1" x14ac:dyDescent="0.4">
      <c r="A8" s="1"/>
      <c r="B8" s="8" t="s">
        <v>2</v>
      </c>
      <c r="C8" s="8">
        <f>SUMIFS('Sales report'!$E$8:$E$35,'Sales report'!$D$8:$D$35,B8,'Sales report'!$F$8:$F$35,C6)</f>
        <v>20</v>
      </c>
      <c r="D8" s="8">
        <f>SUMIFS('Sales report'!$E$8:$E$35,'Sales report'!$D$8:$D$35,B8,'Sales report'!$F$8:$F$35,D6)</f>
        <v>60</v>
      </c>
      <c r="E8" s="8">
        <f>SUMIFS('Sales report'!$E$8:$E$35,'Sales report'!$D$8:$D$35,B8,'Sales report'!$F$8:$F$35,E6)</f>
        <v>115</v>
      </c>
      <c r="F8" s="8">
        <f>SUMIFS('Sales report'!$E$8:$E$35,'Sales report'!$D$8:$D$35,B8,'Sales report'!$F$8:$F$35,F6)</f>
        <v>50</v>
      </c>
      <c r="G8" s="8">
        <f>SUMIFS('Sales report'!$E$8:$E$35,'Sales report'!$D$8:$D$35,B8,'Sales report'!$F$8:$F$35,G6)</f>
        <v>50</v>
      </c>
      <c r="H8" s="9">
        <f t="shared" ref="H8:H12" si="0">SUM(C8:G8)</f>
        <v>295</v>
      </c>
      <c r="I8" s="1"/>
    </row>
    <row r="9" spans="1:11" ht="15" thickBot="1" x14ac:dyDescent="0.4">
      <c r="A9" s="1"/>
      <c r="B9" s="8" t="s">
        <v>3</v>
      </c>
      <c r="C9" s="8">
        <f>SUMIFS('Sales report'!$E$8:$E$35,'Sales report'!$D$8:$D$35,B9,'Sales report'!$F$8:$F$35,C6)</f>
        <v>80</v>
      </c>
      <c r="D9" s="8">
        <f>SUMIFS('Sales report'!$E$8:$E$35,'Sales report'!$D$8:$D$35,B9,'Sales report'!$F$8:$F$35,D6)</f>
        <v>40</v>
      </c>
      <c r="E9" s="8">
        <f>SUMIFS('Sales report'!$E$8:$E$35,'Sales report'!$D$8:$D$35,B9,'Sales report'!$F$8:$F$35,E6)</f>
        <v>0</v>
      </c>
      <c r="F9" s="8">
        <f>SUMIFS('Sales report'!$E$8:$E$35,'Sales report'!$D$8:$D$35,B9,'Sales report'!$F$8:$F$35,F6)</f>
        <v>40</v>
      </c>
      <c r="G9" s="8">
        <f>SUMIFS('Sales report'!$E$8:$E$35,'Sales report'!$D$8:$D$35,B9,'Sales report'!$F$8:$F$35,G6)</f>
        <v>100</v>
      </c>
      <c r="H9" s="9">
        <f t="shared" si="0"/>
        <v>260</v>
      </c>
      <c r="I9" s="1"/>
    </row>
    <row r="10" spans="1:11" ht="15" thickBot="1" x14ac:dyDescent="0.4">
      <c r="A10" s="1"/>
      <c r="B10" s="8" t="s">
        <v>4</v>
      </c>
      <c r="C10" s="8">
        <f>SUMIFS('Sales report'!$E$8:$E$35,'Sales report'!$D$8:$D$35,B10,'Sales report'!$F$8:$F$35,C6)</f>
        <v>45</v>
      </c>
      <c r="D10" s="8">
        <f>SUMIFS('Sales report'!$E$8:$E$35,'Sales report'!$D$8:$D$35,B10,'Sales report'!$F$8:$F$35,D6)</f>
        <v>20</v>
      </c>
      <c r="E10" s="8">
        <f>SUMIFS('Sales report'!$E$8:$E$35,'Sales report'!$D$8:$D$35,B10,'Sales report'!$F$8:$F$35,E6)</f>
        <v>25</v>
      </c>
      <c r="F10" s="8">
        <f>SUMIFS('Sales report'!$E$8:$E$35,'Sales report'!$D$8:$D$35,B10,'Sales report'!$F$8:$F$35,F6)</f>
        <v>70</v>
      </c>
      <c r="G10" s="8">
        <f>SUMIFS('Sales report'!$E$8:$E$35,'Sales report'!$D$8:$D$35,B10,'Sales report'!$F$8:$F$35,G6)</f>
        <v>25</v>
      </c>
      <c r="H10" s="9">
        <f t="shared" si="0"/>
        <v>185</v>
      </c>
      <c r="I10" s="1"/>
    </row>
    <row r="11" spans="1:11" ht="15" thickBot="1" x14ac:dyDescent="0.4">
      <c r="A11" s="1"/>
      <c r="B11" s="8" t="s">
        <v>5</v>
      </c>
      <c r="C11" s="8">
        <f>SUMIFS('Sales report'!$E$8:$E$35,'Sales report'!$D$8:$D$35,B11,'Sales report'!$F$8:$F$35,C6)</f>
        <v>0</v>
      </c>
      <c r="D11" s="8">
        <f>SUMIFS('Sales report'!$E$8:$E$35,'Sales report'!$D$8:$D$35,B11,'Sales report'!$F$8:$F$35,D6)</f>
        <v>60</v>
      </c>
      <c r="E11" s="8">
        <f>SUMIFS('Sales report'!$E$8:$E$35,'Sales report'!$D$8:$D$35,B11,'Sales report'!$F$8:$F$35,E6)</f>
        <v>0</v>
      </c>
      <c r="F11" s="8">
        <f>SUMIFS('Sales report'!$E$8:$E$35,'Sales report'!$D$8:$D$35,B11,'Sales report'!$F$8:$F$35,F6)</f>
        <v>200</v>
      </c>
      <c r="G11" s="8">
        <f>SUMIFS('Sales report'!$E$8:$E$35,'Sales report'!$D$8:$D$35,B11,'Sales report'!$F$8:$F$35,G6)</f>
        <v>0</v>
      </c>
      <c r="H11" s="9">
        <f t="shared" si="0"/>
        <v>260</v>
      </c>
      <c r="I11" s="1"/>
    </row>
    <row r="12" spans="1:11" ht="18" thickBot="1" x14ac:dyDescent="0.4">
      <c r="A12" s="1"/>
      <c r="B12" s="22" t="s">
        <v>18</v>
      </c>
      <c r="C12" s="22">
        <f t="shared" ref="C12:G12" si="1">SUM(C7:C11)</f>
        <v>155</v>
      </c>
      <c r="D12" s="22">
        <f t="shared" si="1"/>
        <v>205</v>
      </c>
      <c r="E12" s="22">
        <f t="shared" si="1"/>
        <v>180</v>
      </c>
      <c r="F12" s="22">
        <f t="shared" si="1"/>
        <v>360</v>
      </c>
      <c r="G12" s="22">
        <f t="shared" si="1"/>
        <v>225</v>
      </c>
      <c r="H12" s="9">
        <f t="shared" si="0"/>
        <v>1125</v>
      </c>
      <c r="I12" s="1"/>
    </row>
    <row r="13" spans="1:11" ht="25.5" thickBot="1" x14ac:dyDescent="0.4">
      <c r="A13" s="1"/>
      <c r="B13" s="36" t="s">
        <v>26</v>
      </c>
      <c r="C13" s="36"/>
      <c r="D13" s="36"/>
      <c r="E13" s="36"/>
      <c r="F13" s="36"/>
      <c r="G13" s="36"/>
      <c r="H13" s="36"/>
      <c r="I13" s="1"/>
    </row>
    <row r="14" spans="1:11" ht="19.5" thickBot="1" x14ac:dyDescent="0.4">
      <c r="A14" s="1"/>
      <c r="B14" s="23" t="s">
        <v>0</v>
      </c>
      <c r="C14" s="23" t="s">
        <v>9</v>
      </c>
      <c r="D14" s="23" t="s">
        <v>10</v>
      </c>
      <c r="E14" s="23" t="s">
        <v>19</v>
      </c>
      <c r="F14" s="23" t="s">
        <v>11</v>
      </c>
      <c r="G14" s="23" t="s">
        <v>12</v>
      </c>
      <c r="H14" s="24" t="s">
        <v>6</v>
      </c>
      <c r="I14" s="1"/>
    </row>
    <row r="15" spans="1:11" ht="15" thickBot="1" x14ac:dyDescent="0.4">
      <c r="A15" s="1"/>
      <c r="B15" s="8" t="s">
        <v>1</v>
      </c>
      <c r="C15" s="8">
        <f>SUMIFS('Sales report'!$K$8:$K$35,'Sales report'!$D$8:$D$35,B15,'Sales report'!$F$8:$F$35,C14)</f>
        <v>50</v>
      </c>
      <c r="D15" s="8">
        <f>SUMIFS('Sales report'!$K$8:$K$35,'Sales report'!$D$8:$D$35,B15,'Sales report'!$F$8:$F$35,D6)</f>
        <v>125</v>
      </c>
      <c r="E15" s="8">
        <f>SUMIFS('Sales report'!$K$8:$K$35,'Sales report'!$D$8:$D$35,B15,'Sales report'!$F$8:$F$35,E6)</f>
        <v>200</v>
      </c>
      <c r="F15" s="8">
        <f>SUMIFS('Sales report'!$K$8:$K$35,'Sales report'!$D$8:$D$35,B15,'Sales report'!$F$8:$F$35,F6)</f>
        <v>0</v>
      </c>
      <c r="G15" s="8">
        <f>SUMIFS('Sales report'!$K$8:$K$35,'Sales report'!$D$8:$D$35,B15,'Sales report'!$F$8:$F$35,G6)</f>
        <v>250</v>
      </c>
      <c r="H15" s="9">
        <f>SUM(C15:G15)</f>
        <v>625</v>
      </c>
      <c r="I15" s="1"/>
    </row>
    <row r="16" spans="1:11" ht="15" thickBot="1" x14ac:dyDescent="0.4">
      <c r="A16" s="1"/>
      <c r="B16" s="8" t="s">
        <v>2</v>
      </c>
      <c r="C16" s="8">
        <f>SUMIFS('Sales report'!$K$8:$K$35,'Sales report'!$D$8:$D$35,B16,'Sales report'!$F$8:$F$35,C14)</f>
        <v>100</v>
      </c>
      <c r="D16" s="8">
        <f>SUMIFS('Sales report'!$K$8:$K$35,'Sales report'!$D$8:$D$35,B16,'Sales report'!$F$8:$F$35,D6)</f>
        <v>300</v>
      </c>
      <c r="E16" s="8">
        <f>SUMIFS('Sales report'!$K$8:$K$35,'Sales report'!$D$8:$D$35,B16,'Sales report'!$F$8:$F$35,E6)</f>
        <v>575</v>
      </c>
      <c r="F16" s="8">
        <f>SUMIFS('Sales report'!$K$8:$K$35,'Sales report'!$D$8:$D$35,B16,'Sales report'!$F$8:$F$35,F6)</f>
        <v>250</v>
      </c>
      <c r="G16" s="8">
        <f>SUMIFS('Sales report'!$K$8:$K$35,'Sales report'!$D$8:$D$35,B16,'Sales report'!$F$8:$F$35,G6)</f>
        <v>250</v>
      </c>
      <c r="H16" s="9">
        <f t="shared" ref="H16:H19" si="2">SUM(C16:G16)</f>
        <v>1475</v>
      </c>
      <c r="I16" s="1"/>
    </row>
    <row r="17" spans="1:9" ht="15" thickBot="1" x14ac:dyDescent="0.4">
      <c r="A17" s="1"/>
      <c r="B17" s="8" t="s">
        <v>3</v>
      </c>
      <c r="C17" s="8">
        <f>SUMIFS('Sales report'!$K$8:$K$35,'Sales report'!$D$8:$D$35,B17,'Sales report'!$F$8:$F$35,C14)</f>
        <v>640</v>
      </c>
      <c r="D17" s="8">
        <f>SUMIFS('Sales report'!$K$8:$K$35,'Sales report'!$D$8:$D$35,B17,'Sales report'!$F$8:$F$35,D6)</f>
        <v>320</v>
      </c>
      <c r="E17" s="8">
        <f>SUMIFS('Sales report'!$K$8:$K$35,'Sales report'!$D$8:$D$35,B17,'Sales report'!$F$8:$F$35,E6)</f>
        <v>0</v>
      </c>
      <c r="F17" s="8">
        <f>SUMIFS('Sales report'!$K$8:$K$35,'Sales report'!$D$8:$D$35,B17,'Sales report'!$F$8:$F$35,F6)</f>
        <v>320</v>
      </c>
      <c r="G17" s="8">
        <f>SUMIFS('Sales report'!$K$8:$K$35,'Sales report'!$D$8:$D$35,B17,'Sales report'!$F$8:$F$35,G6)</f>
        <v>800</v>
      </c>
      <c r="H17" s="9">
        <f t="shared" si="2"/>
        <v>2080</v>
      </c>
      <c r="I17" s="1"/>
    </row>
    <row r="18" spans="1:9" ht="15" thickBot="1" x14ac:dyDescent="0.4">
      <c r="A18" s="1"/>
      <c r="B18" s="8" t="s">
        <v>4</v>
      </c>
      <c r="C18" s="8">
        <f>SUMIFS('Sales report'!$K$8:$K$35,'Sales report'!$D$8:$D$35,B18,'Sales report'!$F$8:$F$35,C14)</f>
        <v>450</v>
      </c>
      <c r="D18" s="8">
        <f>SUMIFS('Sales report'!$K$8:$K$35,'Sales report'!$D$8:$D$35,B18,'Sales report'!$F$8:$F$35,D6)</f>
        <v>200</v>
      </c>
      <c r="E18" s="8">
        <f>SUMIFS('Sales report'!$K$8:$K$35,'Sales report'!$D$8:$D$35,B18,'Sales report'!$F$8:$F$35,E6)</f>
        <v>250</v>
      </c>
      <c r="F18" s="8">
        <f>SUMIFS('Sales report'!$K$8:$K$35,'Sales report'!$D$8:$D$35,B18,'Sales report'!$F$8:$F$35,F6)</f>
        <v>700</v>
      </c>
      <c r="G18" s="8">
        <f>SUMIFS('Sales report'!$K$8:$K$35,'Sales report'!$D$8:$D$35,B18,'Sales report'!$F$8:$F$35,G6)</f>
        <v>250</v>
      </c>
      <c r="H18" s="9">
        <f t="shared" si="2"/>
        <v>1850</v>
      </c>
      <c r="I18" s="1"/>
    </row>
    <row r="19" spans="1:9" ht="15" thickBot="1" x14ac:dyDescent="0.4">
      <c r="A19" s="1"/>
      <c r="B19" s="8" t="s">
        <v>5</v>
      </c>
      <c r="C19" s="8">
        <f>SUMIFS('Sales report'!$K$8:$K$35,'Sales report'!$D$8:$D$35,B19,'Sales report'!$F$8:$F$35,C14)</f>
        <v>0</v>
      </c>
      <c r="D19" s="8">
        <f>SUMIFS('Sales report'!$K$8:$K$35,'Sales report'!$D$8:$D$35,B19,'Sales report'!$F$8:$F$35,D6)</f>
        <v>120</v>
      </c>
      <c r="E19" s="8">
        <f>SUMIFS('Sales report'!$K$8:$K$35,'Sales report'!$D$8:$D$35,B19,'Sales report'!$F$8:$F$35,E6)</f>
        <v>0</v>
      </c>
      <c r="F19" s="8">
        <f>SUMIFS('Sales report'!$K$8:$K$35,'Sales report'!$D$8:$D$35,B19,'Sales report'!$F$8:$F$35,F6)</f>
        <v>400</v>
      </c>
      <c r="G19" s="8">
        <f>SUMIFS('Sales report'!$K$8:$K$35,'Sales report'!$D$8:$D$35,B19,'Sales report'!$F$8:$F$35,G6)</f>
        <v>0</v>
      </c>
      <c r="H19" s="9">
        <f t="shared" si="2"/>
        <v>520</v>
      </c>
      <c r="I19" s="1"/>
    </row>
    <row r="20" spans="1:9" ht="15" thickBot="1" x14ac:dyDescent="0.4">
      <c r="A20" s="10"/>
      <c r="B20" s="11"/>
      <c r="C20" s="12"/>
      <c r="D20" s="12"/>
      <c r="E20" s="12"/>
      <c r="F20" s="12"/>
      <c r="G20" s="12"/>
      <c r="H20" s="13"/>
      <c r="I20" s="1"/>
    </row>
    <row r="21" spans="1:9" x14ac:dyDescent="0.35">
      <c r="A21" s="10"/>
      <c r="B21" s="14"/>
      <c r="C21" s="15"/>
      <c r="D21" s="15"/>
      <c r="E21" s="15"/>
      <c r="F21" s="15"/>
      <c r="G21" s="15"/>
      <c r="H21" s="16"/>
      <c r="I21" s="1"/>
    </row>
    <row r="22" spans="1:9" x14ac:dyDescent="0.35">
      <c r="A22" s="10"/>
      <c r="B22" s="17"/>
      <c r="C22" s="5"/>
      <c r="D22" s="5"/>
      <c r="E22" s="5"/>
      <c r="F22" s="5"/>
      <c r="G22" s="5"/>
      <c r="H22" s="18"/>
      <c r="I22" s="1"/>
    </row>
    <row r="23" spans="1:9" x14ac:dyDescent="0.35">
      <c r="A23" s="10"/>
      <c r="B23" s="17"/>
      <c r="C23" s="5"/>
      <c r="D23" s="5"/>
      <c r="E23" s="5"/>
      <c r="F23" s="5"/>
      <c r="G23" s="5"/>
      <c r="H23" s="18"/>
      <c r="I23" s="1"/>
    </row>
    <row r="24" spans="1:9" x14ac:dyDescent="0.35">
      <c r="A24" s="10"/>
      <c r="B24" s="17"/>
      <c r="C24" s="5"/>
      <c r="D24" s="5"/>
      <c r="E24" s="5"/>
      <c r="F24" s="5"/>
      <c r="G24" s="5"/>
      <c r="H24" s="18"/>
      <c r="I24" s="1"/>
    </row>
    <row r="25" spans="1:9" x14ac:dyDescent="0.35">
      <c r="A25" s="10"/>
      <c r="B25" s="17"/>
      <c r="C25" s="5"/>
      <c r="D25" s="5"/>
      <c r="E25" s="5"/>
      <c r="F25" s="5"/>
      <c r="G25" s="5"/>
      <c r="H25" s="18"/>
      <c r="I25" s="1"/>
    </row>
    <row r="26" spans="1:9" x14ac:dyDescent="0.35">
      <c r="A26" s="10"/>
      <c r="B26" s="17"/>
      <c r="C26" s="5"/>
      <c r="D26" s="5"/>
      <c r="E26" s="5"/>
      <c r="F26" s="5"/>
      <c r="G26" s="5"/>
      <c r="H26" s="18"/>
      <c r="I26" s="1"/>
    </row>
    <row r="27" spans="1:9" x14ac:dyDescent="0.35">
      <c r="A27" s="10"/>
      <c r="B27" s="17"/>
      <c r="C27" s="5"/>
      <c r="D27" s="5"/>
      <c r="E27" s="5"/>
      <c r="F27" s="5"/>
      <c r="G27" s="5"/>
      <c r="H27" s="18"/>
      <c r="I27" s="1"/>
    </row>
    <row r="28" spans="1:9" x14ac:dyDescent="0.35">
      <c r="A28" s="10"/>
      <c r="B28" s="17"/>
      <c r="C28" s="5"/>
      <c r="D28" s="5"/>
      <c r="E28" s="5"/>
      <c r="F28" s="5"/>
      <c r="G28" s="5"/>
      <c r="H28" s="18"/>
      <c r="I28" s="1"/>
    </row>
    <row r="29" spans="1:9" x14ac:dyDescent="0.35">
      <c r="A29" s="10"/>
      <c r="B29" s="17"/>
      <c r="C29" s="5"/>
      <c r="D29" s="5"/>
      <c r="E29" s="5"/>
      <c r="F29" s="5"/>
      <c r="G29" s="5"/>
      <c r="H29" s="18"/>
      <c r="I29" s="1"/>
    </row>
    <row r="30" spans="1:9" x14ac:dyDescent="0.35">
      <c r="A30" s="10"/>
      <c r="B30" s="17"/>
      <c r="C30" s="5"/>
      <c r="D30" s="5"/>
      <c r="E30" s="5"/>
      <c r="F30" s="5"/>
      <c r="G30" s="5"/>
      <c r="H30" s="18"/>
      <c r="I30" s="1"/>
    </row>
    <row r="31" spans="1:9" x14ac:dyDescent="0.35">
      <c r="A31" s="10"/>
      <c r="B31" s="17"/>
      <c r="C31" s="5"/>
      <c r="D31" s="5"/>
      <c r="E31" s="5"/>
      <c r="F31" s="5"/>
      <c r="G31" s="5"/>
      <c r="H31" s="18"/>
      <c r="I31" s="1"/>
    </row>
    <row r="32" spans="1:9" x14ac:dyDescent="0.35">
      <c r="A32" s="10"/>
      <c r="B32" s="17"/>
      <c r="C32" s="5"/>
      <c r="D32" s="5"/>
      <c r="E32" s="5"/>
      <c r="F32" s="5"/>
      <c r="G32" s="5"/>
      <c r="H32" s="18"/>
      <c r="I32" s="1"/>
    </row>
    <row r="33" spans="1:30" x14ac:dyDescent="0.35">
      <c r="A33" s="10"/>
      <c r="B33" s="17"/>
      <c r="C33" s="5"/>
      <c r="D33" s="5"/>
      <c r="E33" s="5"/>
      <c r="F33" s="5"/>
      <c r="G33" s="5"/>
      <c r="H33" s="18"/>
      <c r="I33" s="1"/>
    </row>
    <row r="34" spans="1:30" ht="15" thickBot="1" x14ac:dyDescent="0.4">
      <c r="A34" s="10"/>
      <c r="B34" s="19"/>
      <c r="C34" s="20"/>
      <c r="D34" s="20"/>
      <c r="E34" s="20"/>
      <c r="F34" s="20"/>
      <c r="G34" s="20"/>
      <c r="H34" s="21"/>
      <c r="I34" s="1"/>
    </row>
    <row r="35" spans="1:30" x14ac:dyDescent="0.35">
      <c r="A35" s="10"/>
      <c r="B35" s="5"/>
      <c r="C35" s="5"/>
      <c r="D35" s="5"/>
      <c r="E35" s="5"/>
      <c r="F35" s="5"/>
      <c r="G35" s="5"/>
      <c r="H35" s="5"/>
      <c r="I35" s="1"/>
    </row>
    <row r="36" spans="1:30" x14ac:dyDescent="0.35">
      <c r="A36" s="10"/>
      <c r="B36" s="5"/>
      <c r="C36" s="5"/>
      <c r="D36" s="5"/>
      <c r="E36" s="5"/>
      <c r="F36" s="5"/>
      <c r="G36" s="5"/>
      <c r="H36" s="5"/>
      <c r="I36" s="1"/>
    </row>
    <row r="37" spans="1:30" x14ac:dyDescent="0.35">
      <c r="A37" s="10"/>
      <c r="B37" s="5"/>
      <c r="C37" s="5"/>
      <c r="D37" s="5"/>
      <c r="E37" s="5"/>
      <c r="F37" s="5"/>
      <c r="G37" s="5"/>
      <c r="H37" s="5"/>
      <c r="I37" s="1"/>
    </row>
    <row r="38" spans="1:30" x14ac:dyDescent="0.35">
      <c r="A38" s="10"/>
      <c r="B38" s="5"/>
      <c r="C38" s="5"/>
      <c r="D38" s="5"/>
      <c r="E38" s="5"/>
      <c r="F38" s="5"/>
      <c r="G38" s="5"/>
      <c r="H38" s="5"/>
      <c r="I38" s="1"/>
    </row>
    <row r="39" spans="1:30" x14ac:dyDescent="0.35">
      <c r="A39" s="10"/>
      <c r="B39" s="5"/>
      <c r="C39" s="5"/>
      <c r="D39" s="5"/>
      <c r="E39" s="5"/>
      <c r="F39" s="5"/>
      <c r="G39" s="5"/>
      <c r="H39" s="5"/>
      <c r="I39" s="1"/>
    </row>
    <row r="40" spans="1:30" x14ac:dyDescent="0.35">
      <c r="A40" s="10"/>
      <c r="B40" s="5"/>
      <c r="C40" s="5"/>
      <c r="D40" s="5"/>
      <c r="E40" s="5"/>
      <c r="F40" s="5"/>
      <c r="G40" s="5"/>
      <c r="H40" s="5"/>
      <c r="I40" s="1"/>
    </row>
    <row r="41" spans="1:30" x14ac:dyDescent="0.35">
      <c r="A41" s="10"/>
      <c r="B41" s="5"/>
      <c r="C41" s="5"/>
      <c r="D41" s="5"/>
      <c r="E41" s="5"/>
      <c r="F41" s="5"/>
      <c r="G41" s="5"/>
      <c r="H41" s="5"/>
      <c r="I41" s="1"/>
    </row>
    <row r="42" spans="1:30" x14ac:dyDescent="0.35">
      <c r="A42" s="10"/>
      <c r="B42" s="5"/>
      <c r="C42" s="5"/>
      <c r="D42" s="5"/>
      <c r="E42" s="5"/>
      <c r="F42" s="5"/>
      <c r="G42" s="5"/>
      <c r="H42" s="5"/>
      <c r="I42" s="1"/>
    </row>
    <row r="43" spans="1:30" x14ac:dyDescent="0.35">
      <c r="A43" s="10"/>
      <c r="B43" s="5"/>
      <c r="C43" s="5"/>
      <c r="D43" s="5"/>
      <c r="E43" s="5"/>
      <c r="F43" s="5"/>
      <c r="G43" s="5"/>
      <c r="H43" s="5"/>
      <c r="I43" s="1"/>
    </row>
    <row r="44" spans="1:30" s="1" customFormat="1" x14ac:dyDescent="0.35">
      <c r="A44" s="10"/>
      <c r="B44" s="5"/>
      <c r="C44" s="5"/>
      <c r="D44" s="5"/>
      <c r="E44" s="5"/>
      <c r="F44" s="5"/>
      <c r="G44" s="5"/>
      <c r="H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35">
      <c r="A45" s="10"/>
      <c r="B45" s="5"/>
      <c r="C45" s="5"/>
      <c r="D45" s="5"/>
      <c r="E45" s="5"/>
      <c r="F45" s="5"/>
      <c r="G45" s="5"/>
      <c r="H45" s="5"/>
      <c r="I45" s="1"/>
    </row>
    <row r="46" spans="1:30" x14ac:dyDescent="0.35">
      <c r="A46" s="10"/>
      <c r="B46" s="5"/>
      <c r="C46" s="5"/>
      <c r="D46" s="5"/>
      <c r="E46" s="5"/>
      <c r="F46" s="5"/>
      <c r="G46" s="5"/>
      <c r="H46" s="5"/>
      <c r="I46" s="1"/>
    </row>
    <row r="47" spans="1:30" x14ac:dyDescent="0.35">
      <c r="A47" s="10"/>
      <c r="B47" s="5"/>
      <c r="C47" s="5"/>
      <c r="D47" s="5"/>
      <c r="E47" s="5"/>
      <c r="F47" s="5"/>
      <c r="G47" s="5"/>
      <c r="H47" s="5"/>
      <c r="I47" s="1"/>
    </row>
    <row r="48" spans="1:30" x14ac:dyDescent="0.35">
      <c r="A48" s="10"/>
      <c r="B48" s="5"/>
      <c r="C48" s="5"/>
      <c r="D48" s="5"/>
      <c r="E48" s="5"/>
      <c r="F48" s="5"/>
      <c r="G48" s="5"/>
      <c r="H48" s="5"/>
      <c r="I48" s="1"/>
    </row>
    <row r="49" spans="1:9" x14ac:dyDescent="0.35">
      <c r="A49" s="10"/>
      <c r="B49" s="5"/>
      <c r="C49" s="5"/>
      <c r="D49" s="5"/>
      <c r="E49" s="5"/>
      <c r="F49" s="5"/>
      <c r="G49" s="5"/>
      <c r="H49" s="5"/>
      <c r="I49" s="1"/>
    </row>
    <row r="50" spans="1:9" x14ac:dyDescent="0.35">
      <c r="A50" s="10"/>
      <c r="B50" s="5"/>
      <c r="C50" s="5"/>
      <c r="D50" s="5"/>
      <c r="E50" s="5"/>
      <c r="F50" s="5"/>
      <c r="G50" s="5"/>
      <c r="H50" s="5"/>
      <c r="I50" s="1"/>
    </row>
    <row r="51" spans="1:9" x14ac:dyDescent="0.35">
      <c r="A51" s="10"/>
      <c r="B51" s="5"/>
      <c r="C51" s="5"/>
      <c r="D51" s="5"/>
      <c r="E51" s="5"/>
      <c r="F51" s="5"/>
      <c r="G51" s="5"/>
      <c r="H51" s="5"/>
      <c r="I51" s="1"/>
    </row>
    <row r="52" spans="1:9" x14ac:dyDescent="0.35">
      <c r="A52" s="10"/>
      <c r="B52" s="5"/>
      <c r="C52" s="5"/>
      <c r="D52" s="5"/>
      <c r="E52" s="5"/>
      <c r="F52" s="5"/>
      <c r="G52" s="5"/>
      <c r="H52" s="5"/>
      <c r="I52" s="1"/>
    </row>
    <row r="53" spans="1:9" ht="9.75" customHeight="1" x14ac:dyDescent="0.35">
      <c r="A53" s="10"/>
      <c r="B53" s="5"/>
      <c r="C53" s="5"/>
      <c r="D53" s="5"/>
      <c r="E53" s="5"/>
      <c r="F53" s="5"/>
      <c r="G53" s="5"/>
      <c r="H53" s="5"/>
      <c r="I53" s="1"/>
    </row>
    <row r="54" spans="1:9" x14ac:dyDescent="0.35">
      <c r="A54" s="10"/>
      <c r="B54" s="5"/>
      <c r="C54" s="5"/>
      <c r="D54" s="5"/>
      <c r="E54" s="5"/>
      <c r="F54" s="5"/>
      <c r="G54" s="5"/>
      <c r="H54" s="5"/>
      <c r="I54" s="1"/>
    </row>
    <row r="55" spans="1:9" x14ac:dyDescent="0.35">
      <c r="A55" s="10"/>
      <c r="B55" s="5"/>
      <c r="C55" s="5"/>
      <c r="D55" s="5"/>
      <c r="E55" s="5"/>
      <c r="F55" s="5"/>
      <c r="G55" s="5"/>
      <c r="H55" s="5"/>
      <c r="I55" s="1"/>
    </row>
    <row r="56" spans="1:9" x14ac:dyDescent="0.35">
      <c r="A56" s="10"/>
      <c r="B56" s="5"/>
      <c r="C56" s="5"/>
      <c r="D56" s="5"/>
      <c r="E56" s="5"/>
      <c r="F56" s="5"/>
      <c r="G56" s="5"/>
      <c r="H56" s="5"/>
      <c r="I56" s="1"/>
    </row>
    <row r="57" spans="1:9" x14ac:dyDescent="0.35">
      <c r="A57" s="10"/>
      <c r="B57" s="5"/>
      <c r="C57" s="5"/>
      <c r="D57" s="5"/>
      <c r="E57" s="5"/>
      <c r="F57" s="5"/>
      <c r="G57" s="5"/>
      <c r="H57" s="5"/>
      <c r="I57" s="1"/>
    </row>
    <row r="58" spans="1:9" x14ac:dyDescent="0.35">
      <c r="A58" s="10"/>
      <c r="B58" s="5"/>
      <c r="C58" s="5"/>
      <c r="D58" s="5"/>
      <c r="E58" s="5"/>
      <c r="F58" s="5"/>
      <c r="G58" s="5"/>
      <c r="H58" s="5"/>
      <c r="I58" s="1"/>
    </row>
    <row r="59" spans="1:9" x14ac:dyDescent="0.35">
      <c r="A59" s="10"/>
      <c r="B59" s="5"/>
      <c r="C59" s="5"/>
      <c r="D59" s="5"/>
      <c r="E59" s="5"/>
      <c r="F59" s="5"/>
      <c r="G59" s="5"/>
      <c r="H59" s="5"/>
      <c r="I59" s="1"/>
    </row>
    <row r="60" spans="1:9" x14ac:dyDescent="0.35">
      <c r="A60" s="10"/>
      <c r="B60" s="5"/>
      <c r="C60" s="5"/>
      <c r="D60" s="5"/>
      <c r="E60" s="5"/>
      <c r="F60" s="5"/>
      <c r="G60" s="5"/>
      <c r="H60" s="5"/>
      <c r="I60" s="1"/>
    </row>
    <row r="61" spans="1:9" x14ac:dyDescent="0.35">
      <c r="A61" s="10"/>
      <c r="B61" s="5"/>
      <c r="C61" s="5"/>
      <c r="D61" s="5"/>
      <c r="E61" s="5"/>
      <c r="F61" s="5"/>
      <c r="G61" s="5"/>
      <c r="H61" s="5"/>
      <c r="I61" s="1"/>
    </row>
    <row r="62" spans="1:9" x14ac:dyDescent="0.35">
      <c r="A62" s="10"/>
      <c r="B62" s="5"/>
      <c r="C62" s="5"/>
      <c r="D62" s="5"/>
      <c r="E62" s="5"/>
      <c r="F62" s="5"/>
      <c r="G62" s="5"/>
      <c r="H62" s="5"/>
      <c r="I62" s="1"/>
    </row>
    <row r="63" spans="1:9" x14ac:dyDescent="0.35">
      <c r="A63" s="10"/>
      <c r="B63" s="5"/>
      <c r="C63" s="5"/>
      <c r="D63" s="5"/>
      <c r="E63" s="5"/>
      <c r="F63" s="5"/>
      <c r="G63" s="5"/>
      <c r="H63" s="5"/>
      <c r="I63" s="1"/>
    </row>
    <row r="64" spans="1:9" x14ac:dyDescent="0.35">
      <c r="A64" s="10"/>
      <c r="B64" s="5"/>
      <c r="C64" s="5"/>
      <c r="D64" s="5"/>
      <c r="E64" s="5"/>
      <c r="F64" s="5"/>
      <c r="G64" s="5"/>
      <c r="H64" s="5"/>
      <c r="I64" s="1"/>
    </row>
    <row r="65" spans="1:45" x14ac:dyDescent="0.35">
      <c r="A65" s="10"/>
      <c r="B65" s="5"/>
      <c r="C65" s="5"/>
      <c r="D65" s="5"/>
      <c r="E65" s="5"/>
      <c r="F65" s="5"/>
      <c r="G65" s="5"/>
      <c r="H65" s="5"/>
      <c r="I65" s="1"/>
    </row>
    <row r="66" spans="1:45" ht="15.75" customHeight="1" x14ac:dyDescent="0.35">
      <c r="A66" s="10"/>
      <c r="B66" s="5"/>
      <c r="C66" s="5"/>
      <c r="D66" s="5"/>
      <c r="E66" s="5"/>
      <c r="F66" s="5"/>
      <c r="G66" s="5"/>
      <c r="H66" s="5"/>
      <c r="I66" s="1"/>
    </row>
    <row r="67" spans="1:45" ht="5.25" customHeight="1" x14ac:dyDescent="0.35">
      <c r="A67" s="10"/>
      <c r="B67" s="5"/>
      <c r="C67" s="5"/>
      <c r="D67" s="5"/>
      <c r="E67" s="5"/>
      <c r="F67" s="5"/>
      <c r="G67" s="5"/>
      <c r="H67" s="5"/>
      <c r="I67" s="1"/>
    </row>
    <row r="68" spans="1:45" s="1" customFormat="1" x14ac:dyDescent="0.35">
      <c r="A68" s="10"/>
      <c r="B68" s="5"/>
      <c r="C68" s="5"/>
      <c r="D68" s="5"/>
      <c r="E68" s="5"/>
      <c r="F68" s="5"/>
      <c r="G68" s="5"/>
      <c r="H68" s="5"/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35">
      <c r="A69" s="10"/>
      <c r="B69" s="5"/>
      <c r="C69" s="5"/>
      <c r="D69" s="5"/>
      <c r="E69" s="5"/>
      <c r="F69" s="5"/>
      <c r="G69" s="5"/>
      <c r="H69" s="5"/>
      <c r="I69" s="10"/>
    </row>
    <row r="70" spans="1:45" x14ac:dyDescent="0.35">
      <c r="A70" s="10"/>
      <c r="B70" s="5"/>
      <c r="C70" s="5"/>
      <c r="D70" s="5"/>
      <c r="E70" s="5"/>
      <c r="F70" s="5"/>
      <c r="G70" s="5"/>
      <c r="H70" s="5"/>
      <c r="I70" s="10"/>
    </row>
    <row r="71" spans="1:45" x14ac:dyDescent="0.35">
      <c r="A71" s="10"/>
      <c r="B71" s="5"/>
      <c r="C71" s="5"/>
      <c r="D71" s="5"/>
      <c r="E71" s="5"/>
      <c r="F71" s="5"/>
      <c r="G71" s="5"/>
      <c r="H71" s="5"/>
      <c r="I71" s="10"/>
    </row>
    <row r="72" spans="1:45" x14ac:dyDescent="0.35">
      <c r="A72" s="10"/>
      <c r="B72" s="5"/>
      <c r="C72" s="5"/>
      <c r="D72" s="5"/>
      <c r="E72" s="5"/>
      <c r="F72" s="5"/>
      <c r="G72" s="5"/>
      <c r="H72" s="5"/>
      <c r="I72" s="10"/>
    </row>
    <row r="73" spans="1:45" x14ac:dyDescent="0.35">
      <c r="A73" s="10"/>
      <c r="B73" s="5"/>
      <c r="C73" s="5"/>
      <c r="D73" s="5"/>
      <c r="E73" s="5"/>
      <c r="F73" s="5"/>
      <c r="G73" s="5"/>
      <c r="H73" s="5"/>
      <c r="I73" s="10"/>
    </row>
    <row r="74" spans="1:45" x14ac:dyDescent="0.35">
      <c r="A74" s="10"/>
      <c r="B74" s="5"/>
      <c r="C74" s="5"/>
      <c r="D74" s="5"/>
      <c r="E74" s="5"/>
      <c r="F74" s="5"/>
      <c r="G74" s="5"/>
      <c r="H74" s="5"/>
      <c r="I74" s="10"/>
    </row>
    <row r="75" spans="1:45" x14ac:dyDescent="0.35">
      <c r="A75" s="10"/>
      <c r="B75" s="5"/>
      <c r="C75" s="5"/>
      <c r="D75" s="5"/>
      <c r="E75" s="5"/>
      <c r="F75" s="5"/>
      <c r="G75" s="5"/>
      <c r="H75" s="5"/>
      <c r="I75" s="10"/>
    </row>
    <row r="76" spans="1:45" x14ac:dyDescent="0.35">
      <c r="A76" s="10"/>
      <c r="B76" s="5"/>
      <c r="C76" s="5"/>
      <c r="D76" s="5"/>
      <c r="E76" s="5"/>
      <c r="F76" s="5"/>
      <c r="G76" s="5"/>
      <c r="H76" s="5"/>
      <c r="I76" s="10"/>
    </row>
    <row r="77" spans="1:45" ht="6" customHeight="1" x14ac:dyDescent="0.35">
      <c r="A77" s="10"/>
      <c r="B77" s="5"/>
      <c r="C77" s="5"/>
      <c r="D77" s="5"/>
      <c r="E77" s="5"/>
      <c r="F77" s="5"/>
      <c r="G77" s="5"/>
      <c r="H77" s="5"/>
      <c r="I77" s="10"/>
    </row>
    <row r="78" spans="1:45" s="1" customFormat="1" x14ac:dyDescent="0.35">
      <c r="A78" s="10"/>
      <c r="B78" s="5"/>
      <c r="C78" s="5"/>
      <c r="D78" s="5"/>
      <c r="E78" s="5"/>
      <c r="F78" s="5"/>
      <c r="G78" s="5"/>
      <c r="H78" s="5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35">
      <c r="A79" s="10"/>
      <c r="B79" s="5"/>
      <c r="C79" s="5"/>
      <c r="D79" s="5"/>
      <c r="E79" s="5"/>
      <c r="F79" s="5"/>
      <c r="G79" s="5"/>
      <c r="H79" s="5"/>
      <c r="I79" s="10"/>
    </row>
    <row r="80" spans="1:45" x14ac:dyDescent="0.35">
      <c r="A80" s="10"/>
      <c r="B80" s="5"/>
      <c r="C80" s="5"/>
      <c r="D80" s="5"/>
      <c r="E80" s="5"/>
      <c r="F80" s="5"/>
      <c r="G80" s="5"/>
      <c r="H80" s="5"/>
      <c r="I80" s="1"/>
    </row>
    <row r="81" spans="1:9" x14ac:dyDescent="0.35">
      <c r="A81" s="10"/>
      <c r="B81" s="5"/>
      <c r="C81" s="5"/>
      <c r="D81" s="5"/>
      <c r="E81" s="5"/>
      <c r="F81" s="5"/>
      <c r="G81" s="5"/>
      <c r="H81" s="5"/>
      <c r="I81" s="1"/>
    </row>
    <row r="82" spans="1:9" x14ac:dyDescent="0.35">
      <c r="A82" s="10"/>
      <c r="B82" s="5"/>
      <c r="C82" s="5"/>
      <c r="D82" s="5"/>
      <c r="E82" s="5"/>
      <c r="F82" s="5"/>
      <c r="G82" s="5"/>
      <c r="H82" s="5"/>
      <c r="I82" s="1"/>
    </row>
    <row r="83" spans="1:9" x14ac:dyDescent="0.35">
      <c r="A83" s="10"/>
      <c r="B83" s="5"/>
      <c r="C83" s="5"/>
      <c r="D83" s="5"/>
      <c r="E83" s="5"/>
      <c r="F83" s="5"/>
      <c r="G83" s="5"/>
      <c r="H83" s="5"/>
      <c r="I83" s="1"/>
    </row>
    <row r="84" spans="1:9" x14ac:dyDescent="0.35">
      <c r="A84" s="10"/>
      <c r="B84" s="5"/>
      <c r="C84" s="5"/>
      <c r="D84" s="5"/>
      <c r="E84" s="5"/>
      <c r="F84" s="5"/>
      <c r="G84" s="5"/>
      <c r="H84" s="5"/>
      <c r="I84" s="1"/>
    </row>
    <row r="85" spans="1:9" x14ac:dyDescent="0.35">
      <c r="A85" s="10"/>
      <c r="B85" s="5"/>
      <c r="C85" s="5"/>
      <c r="D85" s="5"/>
      <c r="E85" s="5"/>
      <c r="F85" s="5"/>
      <c r="G85" s="5"/>
      <c r="H85" s="5"/>
      <c r="I85" s="1"/>
    </row>
    <row r="86" spans="1:9" x14ac:dyDescent="0.35">
      <c r="A86" s="10"/>
      <c r="B86" s="5"/>
      <c r="C86" s="5"/>
      <c r="D86" s="5"/>
      <c r="E86" s="5"/>
      <c r="F86" s="5"/>
      <c r="G86" s="5"/>
      <c r="H86" s="5"/>
      <c r="I86" s="1"/>
    </row>
    <row r="87" spans="1:9" x14ac:dyDescent="0.35">
      <c r="A87" s="10"/>
      <c r="B87" s="5"/>
      <c r="C87" s="5"/>
      <c r="D87" s="5"/>
      <c r="E87" s="5"/>
      <c r="F87" s="5"/>
      <c r="G87" s="5"/>
      <c r="H87" s="5"/>
      <c r="I87" s="1"/>
    </row>
    <row r="88" spans="1:9" ht="10.5" customHeight="1" x14ac:dyDescent="0.35">
      <c r="A88" s="10"/>
      <c r="B88" s="5"/>
      <c r="C88" s="5"/>
      <c r="D88" s="5"/>
      <c r="E88" s="5"/>
      <c r="F88" s="5"/>
      <c r="G88" s="5"/>
      <c r="H88" s="5"/>
      <c r="I88" s="1"/>
    </row>
    <row r="89" spans="1:9" x14ac:dyDescent="0.35">
      <c r="A89" s="10"/>
      <c r="B89" s="10"/>
      <c r="C89" s="10"/>
      <c r="D89" s="10"/>
      <c r="E89" s="10"/>
      <c r="F89" s="10"/>
      <c r="G89" s="10"/>
      <c r="H89" s="10"/>
      <c r="I89" s="10"/>
    </row>
  </sheetData>
  <mergeCells count="6">
    <mergeCell ref="B5:H5"/>
    <mergeCell ref="B13:H13"/>
    <mergeCell ref="B2:G2"/>
    <mergeCell ref="B3:G3"/>
    <mergeCell ref="H2:H3"/>
    <mergeCell ref="B4:H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Velcy Jadawala</cp:lastModifiedBy>
  <dcterms:created xsi:type="dcterms:W3CDTF">2015-06-05T18:17:20Z</dcterms:created>
  <dcterms:modified xsi:type="dcterms:W3CDTF">2025-11-04T15:53:35Z</dcterms:modified>
</cp:coreProperties>
</file>