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46FC335E-A094-4493-BECD-2E0047F3F1C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l="1" a="1"/>
  <c r="R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<sst xmlns="http://schemas.openxmlformats.org/spreadsheetml/2006/main" count="28072" uniqueCount="6222">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</sst>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N67" workbookViewId="0">
      <selection activeCell="U15" sqref="U15"/>
    </sheetView>
  </sheetViews>
  <sheetFormatPr defaultRowHeight="14.5" x14ac:dyDescent="0.35"/>
  <cols>
    <col min="1" max="1" width="14.1796875" bestFit="1" customWidth="1"/>
    <col min="2" max="2" width="21.7265625" bestFit="1" customWidth="1"/>
    <col min="3" max="3" width="15" bestFit="1" customWidth="1"/>
    <col min="4" max="4" width="20.7265625" bestFit="1" customWidth="1"/>
    <col min="5" max="5" width="17" bestFit="1" customWidth="1"/>
    <col min="6" max="6" width="22.26953125" bestFit="1" customWidth="1"/>
    <col min="7" max="7" width="24" bestFit="1" customWidth="1"/>
    <col min="8" max="8" width="24.81640625" bestFit="1" customWidth="1"/>
    <col min="9" max="9" width="38.453125" customWidth="1"/>
    <col min="10" max="10" width="8.1796875" bestFit="1" customWidth="1"/>
    <col min="11" max="11" width="7.453125" bestFit="1" customWidth="1"/>
    <col min="12" max="12" width="12" bestFit="1" customWidth="1"/>
    <col min="13" max="13" width="14.1796875" bestFit="1" customWidth="1"/>
    <col min="14" max="14" width="15.1796875" bestFit="1" customWidth="1"/>
    <col min="15" max="15" width="15.453125" bestFit="1" customWidth="1"/>
    <col min="16" max="16" width="24.26953125" bestFit="1" customWidth="1"/>
    <col min="17" max="17" width="20.54296875" bestFit="1" customWidth="1"/>
    <col min="18" max="18" width="17.1796875" bestFit="1" customWidth="1"/>
    <col min="19" max="19" width="33.26953125" bestFit="1" customWidth="1"/>
    <col min="20" max="20" width="9" bestFit="1" customWidth="1"/>
    <col min="21" max="21" width="15" bestFit="1" customWidth="1"/>
  </cols>
  <sheetData>
    <row r="1" spans="1:21" ht="15.5" x14ac:dyDescent="0.35">
      <c r="T1" s="1" t="s">
        <v>0</v>
      </c>
      <c r="U1" s="1" t="s">
        <v>1</v>
      </c>
    </row>
    <row r="2" spans="1:21" x14ac:dyDescent="0.35">
      <c r="T2" s="2">
        <v>0</v>
      </c>
      <c r="U2" s="3">
        <v>0.02</v>
      </c>
    </row>
    <row r="3" spans="1:21" x14ac:dyDescent="0.35">
      <c r="T3" s="2">
        <v>5000</v>
      </c>
      <c r="U3" s="3">
        <v>0.05</v>
      </c>
    </row>
    <row r="4" spans="1:21" x14ac:dyDescent="0.35">
      <c r="T4" s="2">
        <v>25000</v>
      </c>
      <c r="U4" s="3">
        <v>7.0000000000000007E-2</v>
      </c>
    </row>
    <row r="5" spans="1:21" x14ac:dyDescent="0.35">
      <c r="T5" s="2">
        <v>50000</v>
      </c>
      <c r="U5" s="3">
        <v>0.09</v>
      </c>
    </row>
    <row r="6" spans="1:21" x14ac:dyDescent="0.35">
      <c r="T6" s="2">
        <v>100000</v>
      </c>
      <c r="U6" s="3">
        <v>0.12</v>
      </c>
    </row>
    <row r="7" spans="1:21" x14ac:dyDescent="0.35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35">
      <c r="S8" s="23" t="s">
        <v>6220</v>
      </c>
    </row>
    <row r="9" spans="1:21" ht="15.5" x14ac:dyDescent="0.3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VLOOKUP('Customer Info'!B2,'Customer Info'!B2:B501,1,0)</f>
        <v>Aaron</v>
      </c>
      <c r="H10" s="6" t="str">
        <f>VLOOKUP('Customer Info'!C2,'Customer Info'!C2:C501,1)</f>
        <v>Avila</v>
      </c>
      <c r="I10" s="6" t="str">
        <f>VLOOKUP('Customer Info'!E2,'Customer Info'!E2:E501,1,0)</f>
        <v>Halle</v>
      </c>
      <c r="J10" s="2">
        <v>1834</v>
      </c>
      <c r="K10" s="2">
        <v>1716</v>
      </c>
      <c r="L10" s="2">
        <v>2</v>
      </c>
      <c r="M10" s="7">
        <f>(K10*L10)</f>
        <v>3432</v>
      </c>
      <c r="N10" s="7">
        <f>(J10*L10)</f>
        <v>3668</v>
      </c>
      <c r="O10" s="2">
        <v>53</v>
      </c>
      <c r="P10" s="8">
        <f>(N10+O10)</f>
        <v>3721</v>
      </c>
      <c r="Q10" s="8">
        <f>(N10-M10)</f>
        <v>236</v>
      </c>
      <c r="R10" s="2" t="s">
        <v>26</v>
      </c>
      <c r="S10" s="9">
        <f>_xlfn.IFS(P10&gt;250000,0.15,P10&gt;100000,0.12,P10&gt;50000,0.09,P10&gt;25000,0.07,P10&gt;5000,0.05,
 TRUE,0.02)</f>
        <v>0.02</v>
      </c>
    </row>
    <row r="11" spans="1:21" x14ac:dyDescent="0.3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VLOOKUP('Customer Info'!B3,'Customer Info'!B3:B502,1,0)</f>
        <v>Aaron</v>
      </c>
      <c r="H11" s="6" t="str">
        <f>VLOOKUP('Customer Info'!C3,'Customer Info'!C3:C502,1)</f>
        <v>Braunhardt</v>
      </c>
      <c r="I11" s="6" t="str">
        <f>VLOOKUP('Customer Info'!E3,'Customer Info'!E3:E502,1,0)</f>
        <v>Dresden</v>
      </c>
      <c r="J11" s="2">
        <v>4798</v>
      </c>
      <c r="K11" s="2">
        <v>4448</v>
      </c>
      <c r="L11" s="2">
        <v>6</v>
      </c>
      <c r="M11" s="7">
        <f t="shared" ref="M11:M74" si="0">(K11*L11)</f>
        <v>26688</v>
      </c>
      <c r="N11" s="7">
        <f t="shared" ref="N11:N74" si="1">(J11*L11)</f>
        <v>28788</v>
      </c>
      <c r="O11" s="2">
        <v>91</v>
      </c>
      <c r="P11" s="8">
        <f t="shared" ref="P11:P74" si="2">(N11+O11)</f>
        <v>28879</v>
      </c>
      <c r="Q11" s="8">
        <f t="shared" ref="Q11:Q74" si="3">(N11-M11)</f>
        <v>2100</v>
      </c>
      <c r="R11" s="2" t="s">
        <v>28</v>
      </c>
      <c r="S11" s="9">
        <f t="shared" ref="S11:S74" si="4">_xlfn.IFS(P11&gt;250000,0.15,P11&gt;100000,0.12,P11&gt;50000,0.09,P11&gt;25000,0.07,P11&gt;5000,0.05,
 TRUE,0.02)</f>
        <v>7.0000000000000007E-2</v>
      </c>
    </row>
    <row r="12" spans="1:21" x14ac:dyDescent="0.3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VLOOKUP('Customer Info'!B4,'Customer Info'!B4:B503,1,0)</f>
        <v>Aaron</v>
      </c>
      <c r="H12" s="6" t="str">
        <f>VLOOKUP('Customer Info'!C4,'Customer Info'!C4:C503,1)</f>
        <v>Collister</v>
      </c>
      <c r="I12" s="6" t="str">
        <f>VLOOKUP('Customer Info'!E4,'Customer Info'!E4:E503,1,0)</f>
        <v>Port Macquarie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9">
        <f t="shared" si="4"/>
        <v>0.05</v>
      </c>
    </row>
    <row r="13" spans="1:21" x14ac:dyDescent="0.3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VLOOKUP('Customer Info'!B5,'Customer Info'!B5:B504,1,0)</f>
        <v>Aaron</v>
      </c>
      <c r="H13" s="6" t="str">
        <f>VLOOKUP('Customer Info'!C5,'Customer Info'!C5:C504,1)</f>
        <v>Calhoun</v>
      </c>
      <c r="I13" s="6" t="str">
        <f>VLOOKUP('Customer Info'!E5,'Customer Info'!E5:E504,1,0)</f>
        <v>Minden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9">
        <f t="shared" si="4"/>
        <v>0.02</v>
      </c>
    </row>
    <row r="14" spans="1:21" x14ac:dyDescent="0.3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VLOOKUP('Customer Info'!B6,'Customer Info'!B6:B505,1,0)</f>
        <v>Adam</v>
      </c>
      <c r="H14" s="6" t="str">
        <f>VLOOKUP('Customer Info'!C6,'Customer Info'!C6:C505,1)</f>
        <v>Bellavance</v>
      </c>
      <c r="I14" s="6" t="str">
        <f>VLOOKUP('Customer Info'!E6,'Customer Info'!E6:E505,1,0)</f>
        <v>Kwinana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9">
        <f t="shared" si="4"/>
        <v>0.05</v>
      </c>
    </row>
    <row r="15" spans="1:21" x14ac:dyDescent="0.3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VLOOKUP('Customer Info'!B7,'Customer Info'!B7:B506,1,0)</f>
        <v>Adam</v>
      </c>
      <c r="H15" s="6" t="str">
        <f>VLOOKUP('Customer Info'!C7,'Customer Info'!C7:C506,1)</f>
        <v>Armold</v>
      </c>
      <c r="I15" s="6" t="str">
        <f>VLOOKUP('Customer Info'!E7,'Customer Info'!E7:E506,1,0)</f>
        <v>Kaiyuan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9">
        <f t="shared" si="4"/>
        <v>0.02</v>
      </c>
    </row>
    <row r="16" spans="1:21" x14ac:dyDescent="0.3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VLOOKUP('Customer Info'!B8,'Customer Info'!B8:B507,1,0)</f>
        <v>Adam</v>
      </c>
      <c r="H16" s="6" t="str">
        <f>VLOOKUP('Customer Info'!C8,'Customer Info'!C8:C507,1)</f>
        <v>Barton</v>
      </c>
      <c r="I16" s="6" t="str">
        <f>VLOOKUP('Customer Info'!E8,'Customer Info'!E8:E507,1,0)</f>
        <v>Medan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9">
        <f t="shared" si="4"/>
        <v>0.05</v>
      </c>
    </row>
    <row r="17" spans="1:19" x14ac:dyDescent="0.3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VLOOKUP('Customer Info'!B9,'Customer Info'!B9:B508,1,0)</f>
        <v>Adrian</v>
      </c>
      <c r="H17" s="6" t="str">
        <f>VLOOKUP('Customer Info'!C9,'Customer Info'!C9:C508,1)</f>
        <v>Barton</v>
      </c>
      <c r="I17" s="6" t="str">
        <f>VLOOKUP('Customer Info'!E9,'Customer Info'!E9:E508,1,0)</f>
        <v>Wetzlar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9">
        <f t="shared" si="4"/>
        <v>0.02</v>
      </c>
    </row>
    <row r="18" spans="1:19" x14ac:dyDescent="0.3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VLOOKUP('Customer Info'!B10,'Customer Info'!B10:B509,1,0)</f>
        <v>Adrian</v>
      </c>
      <c r="H18" s="6" t="str">
        <f>VLOOKUP('Customer Info'!C10,'Customer Info'!C10:C509,1)</f>
        <v>Avila</v>
      </c>
      <c r="I18" s="6" t="str">
        <f>VLOOKUP('Customer Info'!E10,'Customer Info'!E10:E509,1,0)</f>
        <v>Zigong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9">
        <f t="shared" si="4"/>
        <v>0.02</v>
      </c>
    </row>
    <row r="19" spans="1:19" x14ac:dyDescent="0.3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VLOOKUP('Customer Info'!B11,'Customer Info'!B11:B510,1,0)</f>
        <v>Alan</v>
      </c>
      <c r="H19" s="6" t="str">
        <f>VLOOKUP('Customer Info'!C11,'Customer Info'!C11:C510,1)</f>
        <v>Foulston</v>
      </c>
      <c r="I19" s="6" t="str">
        <f>VLOOKUP('Customer Info'!E11,'Customer Info'!E11:E510,1,0)</f>
        <v>Canberra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9">
        <f t="shared" si="4"/>
        <v>0.02</v>
      </c>
    </row>
    <row r="20" spans="1:19" x14ac:dyDescent="0.3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VLOOKUP('Customer Info'!B12,'Customer Info'!B12:B511,1,0)</f>
        <v>Alan</v>
      </c>
      <c r="H20" s="6" t="str">
        <f>VLOOKUP('Customer Info'!C12,'Customer Info'!C12:C511,1)</f>
        <v>Bavinger</v>
      </c>
      <c r="I20" s="6" t="str">
        <f>VLOOKUP('Customer Info'!E12,'Customer Info'!E12:E511,1,0)</f>
        <v>Anshan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9">
        <f t="shared" si="4"/>
        <v>0.02</v>
      </c>
    </row>
    <row r="21" spans="1:19" x14ac:dyDescent="0.3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VLOOKUP('Customer Info'!B13,'Customer Info'!B13:B512,1,0)</f>
        <v>Alejandro</v>
      </c>
      <c r="H21" s="6" t="str">
        <f>VLOOKUP('Customer Info'!C13,'Customer Info'!C13:C512,1)</f>
        <v>Ballentine</v>
      </c>
      <c r="I21" s="6" t="str">
        <f>VLOOKUP('Customer Info'!E13,'Customer Info'!E13:E512,1,0)</f>
        <v>Mannheim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9">
        <f t="shared" si="4"/>
        <v>0.02</v>
      </c>
    </row>
    <row r="22" spans="1:19" x14ac:dyDescent="0.3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VLOOKUP('Customer Info'!B14,'Customer Info'!B14:B513,1,0)</f>
        <v>Alejandro</v>
      </c>
      <c r="H22" s="6" t="str">
        <f>VLOOKUP('Customer Info'!C14,'Customer Info'!C14:C513,1)</f>
        <v>Garza</v>
      </c>
      <c r="I22" s="6" t="str">
        <f>VLOOKUP('Customer Info'!E14,'Customer Info'!E14:E513,1,0)</f>
        <v>Whyalla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9">
        <f t="shared" si="4"/>
        <v>7.0000000000000007E-2</v>
      </c>
    </row>
    <row r="23" spans="1:19" x14ac:dyDescent="0.3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VLOOKUP('Customer Info'!B15,'Customer Info'!B15:B514,1,0)</f>
        <v>Alex</v>
      </c>
      <c r="H23" s="6" t="str">
        <f>VLOOKUP('Customer Info'!C15,'Customer Info'!C15:C514,1)</f>
        <v>Davis</v>
      </c>
      <c r="I23" s="6" t="str">
        <f>VLOOKUP('Customer Info'!E15,'Customer Info'!E15:E514,1,0)</f>
        <v>Anyang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9">
        <f t="shared" si="4"/>
        <v>0.02</v>
      </c>
    </row>
    <row r="24" spans="1:19" x14ac:dyDescent="0.3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VLOOKUP('Customer Info'!B16,'Customer Info'!B16:B515,1,0)</f>
        <v>Alex</v>
      </c>
      <c r="H24" s="6" t="str">
        <f>VLOOKUP('Customer Info'!C16,'Customer Info'!C16:C515,1)</f>
        <v>Avila</v>
      </c>
      <c r="I24" s="6" t="str">
        <f>VLOOKUP('Customer Info'!E16,'Customer Info'!E16:E515,1,0)</f>
        <v>Agra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9">
        <f t="shared" si="4"/>
        <v>0.02</v>
      </c>
    </row>
    <row r="25" spans="1:19" x14ac:dyDescent="0.3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VLOOKUP('Customer Info'!B17,'Customer Info'!B17:B516,1,0)</f>
        <v>Alex</v>
      </c>
      <c r="H25" s="6" t="str">
        <f>VLOOKUP('Customer Info'!C17,'Customer Info'!C17:C516,1)</f>
        <v>Avila</v>
      </c>
      <c r="I25" s="6" t="str">
        <f>VLOOKUP('Customer Info'!E17,'Customer Info'!E17:E516,1,0)</f>
        <v>Berlin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9">
        <f t="shared" si="4"/>
        <v>0.02</v>
      </c>
    </row>
    <row r="26" spans="1:19" x14ac:dyDescent="0.3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VLOOKUP('Customer Info'!B18,'Customer Info'!B18:B517,1,0)</f>
        <v>Alex</v>
      </c>
      <c r="H26" s="6" t="str">
        <f>VLOOKUP('Customer Info'!C18,'Customer Info'!C18:C517,1)</f>
        <v>Avila</v>
      </c>
      <c r="I26" s="6" t="str">
        <f>VLOOKUP('Customer Info'!E18,'Customer Info'!E18:E517,1,0)</f>
        <v>Newcastle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9">
        <f t="shared" si="4"/>
        <v>0.05</v>
      </c>
    </row>
    <row r="27" spans="1:19" x14ac:dyDescent="0.3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VLOOKUP('Customer Info'!B19,'Customer Info'!B19:B518,1,0)</f>
        <v>Alice</v>
      </c>
      <c r="H27" s="6" t="str">
        <f>VLOOKUP('Customer Info'!C19,'Customer Info'!C19:C518,1)</f>
        <v>Braunhardt</v>
      </c>
      <c r="I27" s="6" t="str">
        <f>VLOOKUP('Customer Info'!E19,'Customer Info'!E19:E518,1,0)</f>
        <v>Berlin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9">
        <f t="shared" si="4"/>
        <v>0.09</v>
      </c>
    </row>
    <row r="28" spans="1:19" x14ac:dyDescent="0.3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VLOOKUP('Customer Info'!B20,'Customer Info'!B20:B519,1,0)</f>
        <v>Allen</v>
      </c>
      <c r="H28" s="6" t="str">
        <f>VLOOKUP('Customer Info'!C20,'Customer Info'!C20:C519,1)</f>
        <v>Preis</v>
      </c>
      <c r="I28" s="6" t="str">
        <f>VLOOKUP('Customer Info'!E20,'Customer Info'!E20:E519,1,0)</f>
        <v>Chaozhou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9">
        <f t="shared" si="4"/>
        <v>0.02</v>
      </c>
    </row>
    <row r="29" spans="1:19" x14ac:dyDescent="0.3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VLOOKUP('Customer Info'!B21,'Customer Info'!B21:B520,1,0)</f>
        <v>Allen</v>
      </c>
      <c r="H29" s="6" t="str">
        <f>VLOOKUP('Customer Info'!C21,'Customer Info'!C21:C520,1)</f>
        <v>Armold</v>
      </c>
      <c r="I29" s="6" t="str">
        <f>VLOOKUP('Customer Info'!E21,'Customer Info'!E21:E520,1,0)</f>
        <v>Wuchuan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9">
        <f t="shared" si="4"/>
        <v>0.02</v>
      </c>
    </row>
    <row r="30" spans="1:19" x14ac:dyDescent="0.3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VLOOKUP('Customer Info'!B22,'Customer Info'!B22:B521,1,0)</f>
        <v>Alyssa</v>
      </c>
      <c r="H30" s="6" t="str">
        <f>VLOOKUP('Customer Info'!C22,'Customer Info'!C22:C521,1)</f>
        <v>Sorensen</v>
      </c>
      <c r="I30" s="6" t="str">
        <f>VLOOKUP('Customer Info'!E22,'Customer Info'!E22:E521,1,0)</f>
        <v>Wafangdian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9">
        <f t="shared" si="4"/>
        <v>0.05</v>
      </c>
    </row>
    <row r="31" spans="1:19" x14ac:dyDescent="0.3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VLOOKUP('Customer Info'!B23,'Customer Info'!B23:B522,1,0)</f>
        <v>Andrew</v>
      </c>
      <c r="H31" s="6" t="str">
        <f>VLOOKUP('Customer Info'!C23,'Customer Info'!C23:C522,1)</f>
        <v>Gayman</v>
      </c>
      <c r="I31" s="6" t="str">
        <f>VLOOKUP('Customer Info'!E23,'Customer Info'!E23:E522,1,0)</f>
        <v>Hamburg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9">
        <f t="shared" si="4"/>
        <v>0.05</v>
      </c>
    </row>
    <row r="32" spans="1:19" x14ac:dyDescent="0.3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VLOOKUP('Customer Info'!B24,'Customer Info'!B24:B523,1,0)</f>
        <v>Andy</v>
      </c>
      <c r="H32" s="6" t="str">
        <f>VLOOKUP('Customer Info'!C24,'Customer Info'!C24:C523,1)</f>
        <v>Sorensen</v>
      </c>
      <c r="I32" s="6" t="str">
        <f>VLOOKUP('Customer Info'!E24,'Customer Info'!E24:E523,1,0)</f>
        <v>Samarinda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9">
        <f t="shared" si="4"/>
        <v>0.02</v>
      </c>
    </row>
    <row r="33" spans="1:19" x14ac:dyDescent="0.3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VLOOKUP('Customer Info'!B25,'Customer Info'!B25:B524,1,0)</f>
        <v>Anemone</v>
      </c>
      <c r="H33" s="6" t="str">
        <f>VLOOKUP('Customer Info'!C25,'Customer Info'!C25:C524,1)</f>
        <v>Preis</v>
      </c>
      <c r="I33" s="6" t="str">
        <f>VLOOKUP('Customer Info'!E25,'Customer Info'!E25:E524,1,0)</f>
        <v>Pune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9">
        <f t="shared" si="4"/>
        <v>0.02</v>
      </c>
    </row>
    <row r="34" spans="1:19" x14ac:dyDescent="0.3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VLOOKUP('Customer Info'!B26,'Customer Info'!B26:B525,1,0)</f>
        <v>Anemone</v>
      </c>
      <c r="H34" s="6" t="str">
        <f>VLOOKUP('Customer Info'!C26,'Customer Info'!C26:C525,1)</f>
        <v>Braunhardt</v>
      </c>
      <c r="I34" s="6" t="str">
        <f>VLOOKUP('Customer Info'!E26,'Customer Info'!E26:E525,1,0)</f>
        <v>Berlin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9">
        <f t="shared" si="4"/>
        <v>0.02</v>
      </c>
    </row>
    <row r="35" spans="1:19" x14ac:dyDescent="0.3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VLOOKUP('Customer Info'!B27,'Customer Info'!B27:B526,1,0)</f>
        <v>Ann</v>
      </c>
      <c r="H35" s="6" t="str">
        <f>VLOOKUP('Customer Info'!C27,'Customer Info'!C27:C526,1)</f>
        <v>Carreira</v>
      </c>
      <c r="I35" s="6" t="str">
        <f>VLOOKUP('Customer Info'!E27,'Customer Info'!E27:E526,1,0)</f>
        <v>Sydney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9">
        <f t="shared" si="4"/>
        <v>0.05</v>
      </c>
    </row>
    <row r="36" spans="1:19" x14ac:dyDescent="0.3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VLOOKUP('Customer Info'!B28,'Customer Info'!B28:B527,1,0)</f>
        <v>Anna</v>
      </c>
      <c r="H36" s="6" t="str">
        <f>VLOOKUP('Customer Info'!C28,'Customer Info'!C28:C527,1)</f>
        <v>Castell</v>
      </c>
      <c r="I36" s="6" t="str">
        <f>VLOOKUP('Customer Info'!E28,'Customer Info'!E28:E527,1,0)</f>
        <v>Surat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9">
        <f t="shared" si="4"/>
        <v>0.05</v>
      </c>
    </row>
    <row r="37" spans="1:19" x14ac:dyDescent="0.3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VLOOKUP('Customer Info'!B29,'Customer Info'!B29:B528,1,0)</f>
        <v>Anna</v>
      </c>
      <c r="H37" s="6" t="str">
        <f>VLOOKUP('Customer Info'!C29,'Customer Info'!C29:C528,1)</f>
        <v>Akin</v>
      </c>
      <c r="I37" s="6" t="str">
        <f>VLOOKUP('Customer Info'!E29,'Customer Info'!E29:E528,1,0)</f>
        <v>Jakarta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9">
        <f t="shared" si="4"/>
        <v>7.0000000000000007E-2</v>
      </c>
    </row>
    <row r="38" spans="1:19" x14ac:dyDescent="0.3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VLOOKUP('Customer Info'!B30,'Customer Info'!B30:B529,1,0)</f>
        <v>Annie</v>
      </c>
      <c r="H38" s="6" t="str">
        <f>VLOOKUP('Customer Info'!C30,'Customer Info'!C30:C529,1)</f>
        <v>Sorensen</v>
      </c>
      <c r="I38" s="6" t="str">
        <f>VLOOKUP('Customer Info'!E30,'Customer Info'!E30:E529,1,0)</f>
        <v>Sydney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9">
        <f t="shared" si="4"/>
        <v>0.02</v>
      </c>
    </row>
    <row r="39" spans="1:19" x14ac:dyDescent="0.3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VLOOKUP('Customer Info'!B31,'Customer Info'!B31:B530,1,0)</f>
        <v>Annie</v>
      </c>
      <c r="H39" s="6" t="str">
        <f>VLOOKUP('Customer Info'!C31,'Customer Info'!C31:C530,1)</f>
        <v>Sorensen</v>
      </c>
      <c r="I39" s="6" t="str">
        <f>VLOOKUP('Customer Info'!E31,'Customer Info'!E31:E530,1,0)</f>
        <v>Brisbane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9">
        <f t="shared" si="4"/>
        <v>0.02</v>
      </c>
    </row>
    <row r="40" spans="1:19" x14ac:dyDescent="0.3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VLOOKUP('Customer Info'!B32,'Customer Info'!B32:B531,1,0)</f>
        <v>Anthony</v>
      </c>
      <c r="H40" s="6" t="str">
        <f>VLOOKUP('Customer Info'!C32,'Customer Info'!C32:C531,1)</f>
        <v>Preis</v>
      </c>
      <c r="I40" s="6" t="str">
        <f>VLOOKUP('Customer Info'!E32,'Customer Info'!E32:E531,1,0)</f>
        <v>Samarinda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9">
        <f t="shared" si="4"/>
        <v>0.05</v>
      </c>
    </row>
    <row r="41" spans="1:19" x14ac:dyDescent="0.3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VLOOKUP('Customer Info'!B33,'Customer Info'!B33:B532,1,0)</f>
        <v>Anthony</v>
      </c>
      <c r="H41" s="6" t="str">
        <f>VLOOKUP('Customer Info'!C33,'Customer Info'!C33:C532,1)</f>
        <v>Bavinger</v>
      </c>
      <c r="I41" s="6" t="str">
        <f>VLOOKUP('Customer Info'!E33,'Customer Info'!E33:E532,1,0)</f>
        <v>Berlin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9">
        <f t="shared" si="4"/>
        <v>0.05</v>
      </c>
    </row>
    <row r="42" spans="1:19" x14ac:dyDescent="0.3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VLOOKUP('Customer Info'!B34,'Customer Info'!B34:B533,1,0)</f>
        <v>Anthony</v>
      </c>
      <c r="H42" s="6" t="str">
        <f>VLOOKUP('Customer Info'!C34,'Customer Info'!C34:C533,1)</f>
        <v>Barreto</v>
      </c>
      <c r="I42" s="6" t="str">
        <f>VLOOKUP('Customer Info'!E34,'Customer Info'!E34:E533,1,0)</f>
        <v>Delhi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9">
        <f t="shared" si="4"/>
        <v>0.02</v>
      </c>
    </row>
    <row r="43" spans="1:19" x14ac:dyDescent="0.3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VLOOKUP('Customer Info'!B35,'Customer Info'!B35:B534,1,0)</f>
        <v>Anthony</v>
      </c>
      <c r="H43" s="6" t="str">
        <f>VLOOKUP('Customer Info'!C35,'Customer Info'!C35:C534,1)</f>
        <v>Braunhardt</v>
      </c>
      <c r="I43" s="6" t="str">
        <f>VLOOKUP('Customer Info'!E35,'Customer Info'!E35:E534,1,0)</f>
        <v>Perth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9">
        <f t="shared" si="4"/>
        <v>0.02</v>
      </c>
    </row>
    <row r="44" spans="1:19" x14ac:dyDescent="0.3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VLOOKUP('Customer Info'!B36,'Customer Info'!B36:B535,1,0)</f>
        <v>Art</v>
      </c>
      <c r="H44" s="6" t="str">
        <f>VLOOKUP('Customer Info'!C36,'Customer Info'!C36:C535,1)</f>
        <v>Castell</v>
      </c>
      <c r="I44" s="6" t="str">
        <f>VLOOKUP('Customer Info'!E36,'Customer Info'!E36:E535,1,0)</f>
        <v>Devonport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9">
        <f t="shared" si="4"/>
        <v>0.05</v>
      </c>
    </row>
    <row r="45" spans="1:19" x14ac:dyDescent="0.3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VLOOKUP('Customer Info'!B37,'Customer Info'!B37:B536,1,0)</f>
        <v>Arthur</v>
      </c>
      <c r="H45" s="6" t="str">
        <f>VLOOKUP('Customer Info'!C37,'Customer Info'!C37:C536,1)</f>
        <v>Kiefer</v>
      </c>
      <c r="I45" s="6" t="str">
        <f>VLOOKUP('Customer Info'!E37,'Customer Info'!E37:E536,1,0)</f>
        <v>Minden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9">
        <f t="shared" si="4"/>
        <v>0.05</v>
      </c>
    </row>
    <row r="46" spans="1:19" x14ac:dyDescent="0.3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VLOOKUP('Customer Info'!B38,'Customer Info'!B38:B537,1,0)</f>
        <v>Barry</v>
      </c>
      <c r="H46" s="6" t="str">
        <f>VLOOKUP('Customer Info'!C38,'Customer Info'!C38:C537,1)</f>
        <v>Blumstein</v>
      </c>
      <c r="I46" s="6" t="str">
        <f>VLOOKUP('Customer Info'!E38,'Customer Info'!E38:E537,1,0)</f>
        <v>Toowoomba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9">
        <f t="shared" si="4"/>
        <v>0.02</v>
      </c>
    </row>
    <row r="47" spans="1:19" x14ac:dyDescent="0.3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VLOOKUP('Customer Info'!B39,'Customer Info'!B39:B538,1,0)</f>
        <v>Barry</v>
      </c>
      <c r="H47" s="6" t="str">
        <f>VLOOKUP('Customer Info'!C39,'Customer Info'!C39:C538,1)</f>
        <v>Caffey</v>
      </c>
      <c r="I47" s="6" t="str">
        <f>VLOOKUP('Customer Info'!E39,'Customer Info'!E39:E538,1,0)</f>
        <v>Bendigo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9">
        <f t="shared" si="4"/>
        <v>0.05</v>
      </c>
    </row>
    <row r="48" spans="1:19" x14ac:dyDescent="0.3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VLOOKUP('Customer Info'!B40,'Customer Info'!B40:B539,1,0)</f>
        <v>Barry</v>
      </c>
      <c r="H48" s="6" t="str">
        <f>VLOOKUP('Customer Info'!C40,'Customer Info'!C40:C539,1)</f>
        <v>Collister</v>
      </c>
      <c r="I48" s="6" t="str">
        <f>VLOOKUP('Customer Info'!E40,'Customer Info'!E40:E539,1,0)</f>
        <v>Canberra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9">
        <f t="shared" si="4"/>
        <v>0.02</v>
      </c>
    </row>
    <row r="49" spans="1:19" x14ac:dyDescent="0.3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VLOOKUP('Customer Info'!B41,'Customer Info'!B41:B540,1,0)</f>
        <v>Barry</v>
      </c>
      <c r="H49" s="6" t="str">
        <f>VLOOKUP('Customer Info'!C41,'Customer Info'!C41:C540,1)</f>
        <v>Blumstein</v>
      </c>
      <c r="I49" s="6" t="str">
        <f>VLOOKUP('Customer Info'!E41,'Customer Info'!E41:E540,1,0)</f>
        <v>Gold Coast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9">
        <f t="shared" si="4"/>
        <v>0.02</v>
      </c>
    </row>
    <row r="50" spans="1:19" x14ac:dyDescent="0.3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VLOOKUP('Customer Info'!B42,'Customer Info'!B42:B541,1,0)</f>
        <v>Bart</v>
      </c>
      <c r="H50" s="6" t="str">
        <f>VLOOKUP('Customer Info'!C42,'Customer Info'!C42:C541,1)</f>
        <v>Barreto</v>
      </c>
      <c r="I50" s="6" t="str">
        <f>VLOOKUP('Customer Info'!E42,'Customer Info'!E42:E541,1,0)</f>
        <v>Melbourne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9">
        <f t="shared" si="4"/>
        <v>0.02</v>
      </c>
    </row>
    <row r="51" spans="1:19" x14ac:dyDescent="0.3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VLOOKUP('Customer Info'!B43,'Customer Info'!B43:B542,1,0)</f>
        <v>Becky</v>
      </c>
      <c r="H51" s="6" t="str">
        <f>VLOOKUP('Customer Info'!C43,'Customer Info'!C43:C542,1)</f>
        <v>Carroll</v>
      </c>
      <c r="I51" s="6" t="str">
        <f>VLOOKUP('Customer Info'!E43,'Customer Info'!E43:E542,1,0)</f>
        <v>Berlin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9">
        <f t="shared" si="4"/>
        <v>0.02</v>
      </c>
    </row>
    <row r="52" spans="1:19" x14ac:dyDescent="0.3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VLOOKUP('Customer Info'!B44,'Customer Info'!B44:B543,1,0)</f>
        <v>Becky</v>
      </c>
      <c r="H52" s="6" t="str">
        <f>VLOOKUP('Customer Info'!C44,'Customer Info'!C44:C543,1)</f>
        <v>Murray</v>
      </c>
      <c r="I52" s="6" t="str">
        <f>VLOOKUP('Customer Info'!E44,'Customer Info'!E44:E543,1,0)</f>
        <v>Mandurah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9">
        <f t="shared" si="4"/>
        <v>0.02</v>
      </c>
    </row>
    <row r="53" spans="1:19" x14ac:dyDescent="0.3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VLOOKUP('Customer Info'!B45,'Customer Info'!B45:B544,1,0)</f>
        <v>Becky</v>
      </c>
      <c r="H53" s="6" t="str">
        <f>VLOOKUP('Customer Info'!C45,'Customer Info'!C45:C544,1)</f>
        <v>Brown</v>
      </c>
      <c r="I53" s="6" t="str">
        <f>VLOOKUP('Customer Info'!E45,'Customer Info'!E45:E544,1,0)</f>
        <v>Geelong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9">
        <f t="shared" si="4"/>
        <v>0.05</v>
      </c>
    </row>
    <row r="54" spans="1:19" x14ac:dyDescent="0.3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VLOOKUP('Customer Info'!B46,'Customer Info'!B46:B545,1,0)</f>
        <v>Ben</v>
      </c>
      <c r="H54" s="6" t="str">
        <f>VLOOKUP('Customer Info'!C46,'Customer Info'!C46:C545,1)</f>
        <v>Braunhardt</v>
      </c>
      <c r="I54" s="6" t="str">
        <f>VLOOKUP('Customer Info'!E46,'Customer Info'!E46:E545,1,0)</f>
        <v>Bielefeld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9">
        <f t="shared" si="4"/>
        <v>0.02</v>
      </c>
    </row>
    <row r="55" spans="1:19" x14ac:dyDescent="0.3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VLOOKUP('Customer Info'!B47,'Customer Info'!B47:B546,1,0)</f>
        <v>Ben</v>
      </c>
      <c r="H55" s="6" t="str">
        <f>VLOOKUP('Customer Info'!C47,'Customer Info'!C47:C546,1)</f>
        <v>Collister</v>
      </c>
      <c r="I55" s="6" t="str">
        <f>VLOOKUP('Customer Info'!E47,'Customer Info'!E47:E546,1,0)</f>
        <v>Shanghai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9">
        <f t="shared" si="4"/>
        <v>0.02</v>
      </c>
    </row>
    <row r="56" spans="1:19" x14ac:dyDescent="0.3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VLOOKUP('Customer Info'!B48,'Customer Info'!B48:B547,1,0)</f>
        <v>Benjamin</v>
      </c>
      <c r="H56" s="6" t="str">
        <f>VLOOKUP('Customer Info'!C48,'Customer Info'!C48:C547,1)</f>
        <v>MacIntyre</v>
      </c>
      <c r="I56" s="6" t="str">
        <f>VLOOKUP('Customer Info'!E48,'Customer Info'!E48:E547,1,0)</f>
        <v>Wollongong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9">
        <f t="shared" si="4"/>
        <v>0.05</v>
      </c>
    </row>
    <row r="57" spans="1:19" x14ac:dyDescent="0.3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VLOOKUP('Customer Info'!B49,'Customer Info'!B49:B548,1,0)</f>
        <v>Benjamin</v>
      </c>
      <c r="H57" s="6" t="str">
        <f>VLOOKUP('Customer Info'!C49,'Customer Info'!C49:C548,1)</f>
        <v>Hackney</v>
      </c>
      <c r="I57" s="6" t="str">
        <f>VLOOKUP('Customer Info'!E49,'Customer Info'!E49:E548,1,0)</f>
        <v>Tamworth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9">
        <f t="shared" si="4"/>
        <v>0.05</v>
      </c>
    </row>
    <row r="58" spans="1:19" x14ac:dyDescent="0.3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VLOOKUP('Customer Info'!B50,'Customer Info'!B50:B549,1,0)</f>
        <v>Beth</v>
      </c>
      <c r="H58" s="6" t="str">
        <f>VLOOKUP('Customer Info'!C50,'Customer Info'!C50:C549,1)</f>
        <v>Sorensen</v>
      </c>
      <c r="I58" s="6" t="str">
        <f>VLOOKUP('Customer Info'!E50,'Customer Info'!E50:E549,1,0)</f>
        <v>Lohne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9">
        <f t="shared" si="4"/>
        <v>0.05</v>
      </c>
    </row>
    <row r="59" spans="1:19" x14ac:dyDescent="0.3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VLOOKUP('Customer Info'!B51,'Customer Info'!B51:B550,1,0)</f>
        <v>Bill</v>
      </c>
      <c r="H59" s="6" t="str">
        <f>VLOOKUP('Customer Info'!C51,'Customer Info'!C51:C550,1)</f>
        <v>Collister</v>
      </c>
      <c r="I59" s="6" t="str">
        <f>VLOOKUP('Customer Info'!E51,'Customer Info'!E51:E550,1,0)</f>
        <v>Wenling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9">
        <f t="shared" si="4"/>
        <v>0.02</v>
      </c>
    </row>
    <row r="60" spans="1:19" x14ac:dyDescent="0.3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VLOOKUP('Customer Info'!B52,'Customer Info'!B52:B551,1,0)</f>
        <v>Bill</v>
      </c>
      <c r="H60" s="6" t="str">
        <f>VLOOKUP('Customer Info'!C52,'Customer Info'!C52:C551,1)</f>
        <v>Collins</v>
      </c>
      <c r="I60" s="6" t="str">
        <f>VLOOKUP('Customer Info'!E52,'Customer Info'!E52:E551,1,0)</f>
        <v>Newcastle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9">
        <f t="shared" si="4"/>
        <v>0.02</v>
      </c>
    </row>
    <row r="61" spans="1:19" x14ac:dyDescent="0.3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VLOOKUP('Customer Info'!B53,'Customer Info'!B53:B552,1,0)</f>
        <v>Bill</v>
      </c>
      <c r="H61" s="6" t="str">
        <f>VLOOKUP('Customer Info'!C53,'Customer Info'!C53:C552,1)</f>
        <v>Dilbeck</v>
      </c>
      <c r="I61" s="6" t="str">
        <f>VLOOKUP('Customer Info'!E53,'Customer Info'!E53:E552,1,0)</f>
        <v>Jinjiang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9">
        <f t="shared" si="4"/>
        <v>0.05</v>
      </c>
    </row>
    <row r="62" spans="1:19" x14ac:dyDescent="0.3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VLOOKUP('Customer Info'!B54,'Customer Info'!B54:B553,1,0)</f>
        <v>Bill</v>
      </c>
      <c r="H62" s="6" t="str">
        <f>VLOOKUP('Customer Info'!C54,'Customer Info'!C54:C553,1)</f>
        <v>Davis</v>
      </c>
      <c r="I62" s="6" t="str">
        <f>VLOOKUP('Customer Info'!E54,'Customer Info'!E54:E553,1,0)</f>
        <v>Kamarhati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9">
        <f t="shared" si="4"/>
        <v>7.0000000000000007E-2</v>
      </c>
    </row>
    <row r="63" spans="1:19" x14ac:dyDescent="0.3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VLOOKUP('Customer Info'!B55,'Customer Info'!B55:B554,1,0)</f>
        <v>Bobby</v>
      </c>
      <c r="H63" s="6" t="str">
        <f>VLOOKUP('Customer Info'!C55,'Customer Info'!C55:C554,1)</f>
        <v>Braunhardt</v>
      </c>
      <c r="I63" s="6" t="str">
        <f>VLOOKUP('Customer Info'!E55,'Customer Info'!E55:E554,1,0)</f>
        <v>Adelaide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9">
        <f t="shared" si="4"/>
        <v>0.02</v>
      </c>
    </row>
    <row r="64" spans="1:19" x14ac:dyDescent="0.3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VLOOKUP('Customer Info'!B56,'Customer Info'!B56:B555,1,0)</f>
        <v>Brad</v>
      </c>
      <c r="H64" s="6" t="str">
        <f>VLOOKUP('Customer Info'!C56,'Customer Info'!C56:C555,1)</f>
        <v>Sorensen</v>
      </c>
      <c r="I64" s="6" t="str">
        <f>VLOOKUP('Customer Info'!E56,'Customer Info'!E56:E555,1,0)</f>
        <v>Udaipur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9">
        <f t="shared" si="4"/>
        <v>0.05</v>
      </c>
    </row>
    <row r="65" spans="1:19" x14ac:dyDescent="0.3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VLOOKUP('Customer Info'!B57,'Customer Info'!B57:B556,1,0)</f>
        <v>Brad</v>
      </c>
      <c r="H65" s="6" t="str">
        <f>VLOOKUP('Customer Info'!C57,'Customer Info'!C57:C556,1)</f>
        <v>Carlisle</v>
      </c>
      <c r="I65" s="6" t="str">
        <f>VLOOKUP('Customer Info'!E57,'Customer Info'!E57:E556,1,0)</f>
        <v>Oberhausen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9">
        <f t="shared" si="4"/>
        <v>0.05</v>
      </c>
    </row>
    <row r="66" spans="1:19" x14ac:dyDescent="0.3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VLOOKUP('Customer Info'!B58,'Customer Info'!B58:B557,1,0)</f>
        <v>Brad</v>
      </c>
      <c r="H66" s="6" t="str">
        <f>VLOOKUP('Customer Info'!C58,'Customer Info'!C58:C557,1)</f>
        <v>Sorensen</v>
      </c>
      <c r="I66" s="6" t="str">
        <f>VLOOKUP('Customer Info'!E58,'Customer Info'!E58:E557,1,0)</f>
        <v>Bochum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9">
        <f t="shared" si="4"/>
        <v>0.05</v>
      </c>
    </row>
    <row r="67" spans="1:19" x14ac:dyDescent="0.3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VLOOKUP('Customer Info'!B59,'Customer Info'!B59:B558,1,0)</f>
        <v>Brad</v>
      </c>
      <c r="H67" s="6" t="str">
        <f>VLOOKUP('Customer Info'!C59,'Customer Info'!C59:C558,1)</f>
        <v>Eason</v>
      </c>
      <c r="I67" s="6" t="str">
        <f>VLOOKUP('Customer Info'!E59,'Customer Info'!E59:E558,1,0)</f>
        <v>Bogor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9">
        <f t="shared" si="4"/>
        <v>0.02</v>
      </c>
    </row>
    <row r="68" spans="1:19" x14ac:dyDescent="0.3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VLOOKUP('Customer Info'!B60,'Customer Info'!B60:B559,1,0)</f>
        <v>Bradley</v>
      </c>
      <c r="H68" s="6" t="str">
        <f>VLOOKUP('Customer Info'!C60,'Customer Info'!C60:C559,1)</f>
        <v>Catini</v>
      </c>
      <c r="I68" s="6" t="str">
        <f>VLOOKUP('Customer Info'!E60,'Customer Info'!E60:E559,1,0)</f>
        <v>Sydney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9">
        <f t="shared" si="4"/>
        <v>0.02</v>
      </c>
    </row>
    <row r="69" spans="1:19" x14ac:dyDescent="0.3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VLOOKUP('Customer Info'!B61,'Customer Info'!B61:B560,1,0)</f>
        <v>Bradley</v>
      </c>
      <c r="H69" s="6" t="str">
        <f>VLOOKUP('Customer Info'!C61,'Customer Info'!C61:C560,1)</f>
        <v>Brennan</v>
      </c>
      <c r="I69" s="6" t="str">
        <f>VLOOKUP('Customer Info'!E61,'Customer Info'!E61:E560,1,0)</f>
        <v>Shenzhen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9">
        <f t="shared" si="4"/>
        <v>0.02</v>
      </c>
    </row>
    <row r="70" spans="1:19" x14ac:dyDescent="0.3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VLOOKUP('Customer Info'!B62,'Customer Info'!B62:B561,1,0)</f>
        <v>Brenda</v>
      </c>
      <c r="H70" s="6" t="str">
        <f>VLOOKUP('Customer Info'!C62,'Customer Info'!C62:C561,1)</f>
        <v>Bowman</v>
      </c>
      <c r="I70" s="6" t="str">
        <f>VLOOKUP('Customer Info'!E62,'Customer Info'!E62:E561,1,0)</f>
        <v>Perth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9">
        <f t="shared" si="4"/>
        <v>0.02</v>
      </c>
    </row>
    <row r="71" spans="1:19" x14ac:dyDescent="0.3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VLOOKUP('Customer Info'!B63,'Customer Info'!B63:B562,1,0)</f>
        <v>Brendan</v>
      </c>
      <c r="H71" s="6" t="str">
        <f>VLOOKUP('Customer Info'!C63,'Customer Info'!C63:C562,1)</f>
        <v>Hopkins</v>
      </c>
      <c r="I71" s="6" t="str">
        <f>VLOOKUP('Customer Info'!E63,'Customer Info'!E63:E562,1,0)</f>
        <v>Schwerin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9">
        <f t="shared" si="4"/>
        <v>0.02</v>
      </c>
    </row>
    <row r="72" spans="1:19" x14ac:dyDescent="0.3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VLOOKUP('Customer Info'!B64,'Customer Info'!B64:B563,1,0)</f>
        <v>Brendan</v>
      </c>
      <c r="H72" s="6" t="str">
        <f>VLOOKUP('Customer Info'!C64,'Customer Info'!C64:C563,1)</f>
        <v>Dodson</v>
      </c>
      <c r="I72" s="6" t="str">
        <f>VLOOKUP('Customer Info'!E64,'Customer Info'!E64:E563,1,0)</f>
        <v>Adelaide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9">
        <f t="shared" si="4"/>
        <v>7.0000000000000007E-2</v>
      </c>
    </row>
    <row r="73" spans="1:19" x14ac:dyDescent="0.3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VLOOKUP('Customer Info'!B65,'Customer Info'!B65:B564,1,0)</f>
        <v>Brendan</v>
      </c>
      <c r="H73" s="6" t="str">
        <f>VLOOKUP('Customer Info'!C65,'Customer Info'!C65:C564,1)</f>
        <v>Bavinger</v>
      </c>
      <c r="I73" s="6" t="str">
        <f>VLOOKUP('Customer Info'!E65,'Customer Info'!E65:E564,1,0)</f>
        <v>Brahmapur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9">
        <f t="shared" si="4"/>
        <v>0.02</v>
      </c>
    </row>
    <row r="74" spans="1:19" x14ac:dyDescent="0.3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VLOOKUP('Customer Info'!B66,'Customer Info'!B66:B565,1,0)</f>
        <v>Brian</v>
      </c>
      <c r="H74" s="6" t="str">
        <f>VLOOKUP('Customer Info'!C66,'Customer Info'!C66:C565,1)</f>
        <v>Braunhardt</v>
      </c>
      <c r="I74" s="6" t="str">
        <f>VLOOKUP('Customer Info'!E66,'Customer Info'!E66:E565,1,0)</f>
        <v>Jakarta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9">
        <f t="shared" si="4"/>
        <v>0.02</v>
      </c>
    </row>
    <row r="75" spans="1:19" x14ac:dyDescent="0.3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VLOOKUP('Customer Info'!B67,'Customer Info'!B67:B566,1,0)</f>
        <v>Brian</v>
      </c>
      <c r="H75" s="6" t="str">
        <f>VLOOKUP('Customer Info'!C67,'Customer Info'!C67:C566,1)</f>
        <v>Collister</v>
      </c>
      <c r="I75" s="6" t="str">
        <f>VLOOKUP('Customer Info'!E67,'Customer Info'!E67:E566,1,0)</f>
        <v>Jakarta</v>
      </c>
      <c r="J75" s="2">
        <v>2857</v>
      </c>
      <c r="K75" s="2">
        <v>2622</v>
      </c>
      <c r="L75" s="2">
        <v>7</v>
      </c>
      <c r="M75" s="7">
        <f t="shared" ref="M75:M138" si="5">(K75*L75)</f>
        <v>18354</v>
      </c>
      <c r="N75" s="7">
        <f t="shared" ref="N75:N138" si="6">(J75*L75)</f>
        <v>19999</v>
      </c>
      <c r="O75" s="2">
        <v>82</v>
      </c>
      <c r="P75" s="8">
        <f t="shared" ref="P75:P138" si="7">(N75+O75)</f>
        <v>20081</v>
      </c>
      <c r="Q75" s="8">
        <f t="shared" ref="Q75:Q138" si="8">(N75-M75)</f>
        <v>1645</v>
      </c>
      <c r="R75" s="2" t="s">
        <v>50</v>
      </c>
      <c r="S75" s="9">
        <f t="shared" ref="S75:S138" si="9">_xlfn.IFS(P75&gt;250000,0.15,P75&gt;100000,0.12,P75&gt;50000,0.09,P75&gt;25000,0.07,P75&gt;5000,0.05,
 TRUE,0.02)</f>
        <v>0.05</v>
      </c>
    </row>
    <row r="76" spans="1:19" x14ac:dyDescent="0.3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VLOOKUP('Customer Info'!B68,'Customer Info'!B68:B567,1,0)</f>
        <v>Brian</v>
      </c>
      <c r="H76" s="6" t="str">
        <f>VLOOKUP('Customer Info'!C68,'Customer Info'!C68:C567,1)</f>
        <v>Brittain</v>
      </c>
      <c r="I76" s="6" t="str">
        <f>VLOOKUP('Customer Info'!E68,'Customer Info'!E68:E567,1,0)</f>
        <v>Shantou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546</v>
      </c>
      <c r="R76" s="2" t="s">
        <v>28</v>
      </c>
      <c r="S76" s="9">
        <f t="shared" si="9"/>
        <v>0.02</v>
      </c>
    </row>
    <row r="77" spans="1:19" x14ac:dyDescent="0.3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VLOOKUP('Customer Info'!B69,'Customer Info'!B69:B568,1,0)</f>
        <v>Brian</v>
      </c>
      <c r="H77" s="6" t="str">
        <f>VLOOKUP('Customer Info'!C69,'Customer Info'!C69:C568,1)</f>
        <v>Bradley</v>
      </c>
      <c r="I77" s="6" t="str">
        <f>VLOOKUP('Customer Info'!E69,'Customer Info'!E69:E568,1,0)</f>
        <v>Kendari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91</v>
      </c>
      <c r="R77" s="2" t="s">
        <v>50</v>
      </c>
      <c r="S77" s="9">
        <f t="shared" si="9"/>
        <v>0.02</v>
      </c>
    </row>
    <row r="78" spans="1:19" x14ac:dyDescent="0.3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VLOOKUP('Customer Info'!B70,'Customer Info'!B70:B569,1,0)</f>
        <v>Brooke</v>
      </c>
      <c r="H78" s="6" t="str">
        <f>VLOOKUP('Customer Info'!C70,'Customer Info'!C70:C569,1)</f>
        <v>Davis</v>
      </c>
      <c r="I78" s="6" t="str">
        <f>VLOOKUP('Customer Info'!E70,'Customer Info'!E70:E569,1,0)</f>
        <v>Mysore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53</v>
      </c>
      <c r="R78" s="2" t="s">
        <v>28</v>
      </c>
      <c r="S78" s="9">
        <f t="shared" si="9"/>
        <v>0.02</v>
      </c>
    </row>
    <row r="79" spans="1:19" x14ac:dyDescent="0.3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VLOOKUP('Customer Info'!B71,'Customer Info'!B71:B570,1,0)</f>
        <v>Brooke</v>
      </c>
      <c r="H79" s="6" t="str">
        <f>VLOOKUP('Customer Info'!C71,'Customer Info'!C71:C570,1)</f>
        <v>Gillingham</v>
      </c>
      <c r="I79" s="6" t="str">
        <f>VLOOKUP('Customer Info'!E71,'Customer Info'!E71:E570,1,0)</f>
        <v>Sunbury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1680</v>
      </c>
      <c r="R79" s="2" t="s">
        <v>28</v>
      </c>
      <c r="S79" s="9">
        <f t="shared" si="9"/>
        <v>7.0000000000000007E-2</v>
      </c>
    </row>
    <row r="80" spans="1:19" x14ac:dyDescent="0.3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VLOOKUP('Customer Info'!B72,'Customer Info'!B72:B571,1,0)</f>
        <v>Brooke</v>
      </c>
      <c r="H80" s="6" t="str">
        <f>VLOOKUP('Customer Info'!C72,'Customer Info'!C72:C571,1)</f>
        <v>Brandow</v>
      </c>
      <c r="I80" s="6" t="str">
        <f>VLOOKUP('Customer Info'!E72,'Customer Info'!E72:E571,1,0)</f>
        <v>Geraldton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1260</v>
      </c>
      <c r="R80" s="2" t="s">
        <v>28</v>
      </c>
      <c r="S80" s="9">
        <f t="shared" si="9"/>
        <v>0.05</v>
      </c>
    </row>
    <row r="81" spans="1:19" x14ac:dyDescent="0.3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VLOOKUP('Customer Info'!B73,'Customer Info'!B73:B572,1,0)</f>
        <v>Brooke</v>
      </c>
      <c r="H81" s="6" t="str">
        <f>VLOOKUP('Customer Info'!C73,'Customer Info'!C73:C572,1)</f>
        <v>Delaney</v>
      </c>
      <c r="I81" s="6" t="str">
        <f>VLOOKUP('Customer Info'!E73,'Customer Info'!E73:E572,1,0)</f>
        <v>Weimar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826</v>
      </c>
      <c r="R81" s="2" t="s">
        <v>56</v>
      </c>
      <c r="S81" s="9">
        <f t="shared" si="9"/>
        <v>0.05</v>
      </c>
    </row>
    <row r="82" spans="1:19" x14ac:dyDescent="0.3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VLOOKUP('Customer Info'!B74,'Customer Info'!B74:B573,1,0)</f>
        <v>Bruce</v>
      </c>
      <c r="H82" s="6" t="str">
        <f>VLOOKUP('Customer Info'!C74,'Customer Info'!C74:C573,1)</f>
        <v>Franzšsisch</v>
      </c>
      <c r="I82" s="6" t="str">
        <f>VLOOKUP('Customer Info'!E74,'Customer Info'!E74:E573,1,0)</f>
        <v>Wollongong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264</v>
      </c>
      <c r="R82" s="2" t="s">
        <v>50</v>
      </c>
      <c r="S82" s="9">
        <f t="shared" si="9"/>
        <v>0.02</v>
      </c>
    </row>
    <row r="83" spans="1:19" x14ac:dyDescent="0.3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VLOOKUP('Customer Info'!B75,'Customer Info'!B75:B574,1,0)</f>
        <v>Bryan</v>
      </c>
      <c r="H83" s="6" t="str">
        <f>VLOOKUP('Customer Info'!C75,'Customer Info'!C75:C574,1)</f>
        <v>Roelle</v>
      </c>
      <c r="I83" s="6" t="str">
        <f>VLOOKUP('Customer Info'!E75,'Customer Info'!E75:E574,1,0)</f>
        <v>Bekasi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335</v>
      </c>
      <c r="R83" s="2" t="s">
        <v>28</v>
      </c>
      <c r="S83" s="9">
        <f t="shared" si="9"/>
        <v>0.02</v>
      </c>
    </row>
    <row r="84" spans="1:19" x14ac:dyDescent="0.3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VLOOKUP('Customer Info'!B76,'Customer Info'!B76:B575,1,0)</f>
        <v>Bryan</v>
      </c>
      <c r="H84" s="6" t="str">
        <f>VLOOKUP('Customer Info'!C76,'Customer Info'!C76:C575,1)</f>
        <v>Chand</v>
      </c>
      <c r="I84" s="6" t="str">
        <f>VLOOKUP('Customer Info'!E76,'Customer Info'!E76:E575,1,0)</f>
        <v>Delhi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128</v>
      </c>
      <c r="R84" s="2" t="s">
        <v>28</v>
      </c>
      <c r="S84" s="9">
        <f t="shared" si="9"/>
        <v>0.05</v>
      </c>
    </row>
    <row r="85" spans="1:19" x14ac:dyDescent="0.3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VLOOKUP('Customer Info'!B77,'Customer Info'!B77:B576,1,0)</f>
        <v>Candace</v>
      </c>
      <c r="H85" s="6" t="str">
        <f>VLOOKUP('Customer Info'!C77,'Customer Info'!C77:C576,1)</f>
        <v>Brennan</v>
      </c>
      <c r="I85" s="6" t="str">
        <f>VLOOKUP('Customer Info'!E77,'Customer Info'!E77:E576,1,0)</f>
        <v>Canberra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325</v>
      </c>
      <c r="R85" s="2" t="s">
        <v>28</v>
      </c>
      <c r="S85" s="9">
        <f t="shared" si="9"/>
        <v>0.02</v>
      </c>
    </row>
    <row r="86" spans="1:19" x14ac:dyDescent="0.3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VLOOKUP('Customer Info'!B78,'Customer Info'!B78:B577,1,0)</f>
        <v>Cari</v>
      </c>
      <c r="H86" s="6" t="str">
        <f>VLOOKUP('Customer Info'!C78,'Customer Info'!C78:C577,1)</f>
        <v>Jackson</v>
      </c>
      <c r="I86" s="6" t="str">
        <f>VLOOKUP('Customer Info'!E78,'Customer Info'!E78:E577,1,0)</f>
        <v>Suzhou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240</v>
      </c>
      <c r="R86" s="2" t="s">
        <v>50</v>
      </c>
      <c r="S86" s="9">
        <f t="shared" si="9"/>
        <v>0.02</v>
      </c>
    </row>
    <row r="87" spans="1:19" x14ac:dyDescent="0.3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VLOOKUP('Customer Info'!B79,'Customer Info'!B79:B578,1,0)</f>
        <v>Cari</v>
      </c>
      <c r="H87" s="6" t="str">
        <f>VLOOKUP('Customer Info'!C79,'Customer Info'!C79:C578,1)</f>
        <v>Jones</v>
      </c>
      <c r="I87" s="6" t="str">
        <f>VLOOKUP('Customer Info'!E79,'Customer Info'!E79:E578,1,0)</f>
        <v>Recklinghausen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49</v>
      </c>
      <c r="R87" s="2" t="s">
        <v>50</v>
      </c>
      <c r="S87" s="9">
        <f t="shared" si="9"/>
        <v>0.02</v>
      </c>
    </row>
    <row r="88" spans="1:19" x14ac:dyDescent="0.3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VLOOKUP('Customer Info'!B80,'Customer Info'!B80:B579,1,0)</f>
        <v>Cari</v>
      </c>
      <c r="H88" s="6" t="str">
        <f>VLOOKUP('Customer Info'!C80,'Customer Info'!C80:C579,1)</f>
        <v>Chand</v>
      </c>
      <c r="I88" s="6" t="str">
        <f>VLOOKUP('Customer Info'!E80,'Customer Info'!E80:E579,1,0)</f>
        <v>Agra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343</v>
      </c>
      <c r="R88" s="2" t="s">
        <v>50</v>
      </c>
      <c r="S88" s="9">
        <f t="shared" si="9"/>
        <v>0.02</v>
      </c>
    </row>
    <row r="89" spans="1:19" x14ac:dyDescent="0.3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VLOOKUP('Customer Info'!B81,'Customer Info'!B81:B580,1,0)</f>
        <v>Cari</v>
      </c>
      <c r="H89" s="6" t="str">
        <f>VLOOKUP('Customer Info'!C81,'Customer Info'!C81:C580,1)</f>
        <v>Braunhardt</v>
      </c>
      <c r="I89" s="6" t="str">
        <f>VLOOKUP('Customer Info'!E81,'Customer Info'!E81:E580,1,0)</f>
        <v>Freiburg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1345</v>
      </c>
      <c r="R89" s="2" t="s">
        <v>28</v>
      </c>
      <c r="S89" s="9">
        <f t="shared" si="9"/>
        <v>0.05</v>
      </c>
    </row>
    <row r="90" spans="1:19" x14ac:dyDescent="0.3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VLOOKUP('Customer Info'!B82,'Customer Info'!B82:B581,1,0)</f>
        <v>Carl</v>
      </c>
      <c r="H90" s="6" t="str">
        <f>VLOOKUP('Customer Info'!C82,'Customer Info'!C82:C581,1)</f>
        <v>Sorensen</v>
      </c>
      <c r="I90" s="6" t="str">
        <f>VLOOKUP('Customer Info'!E82,'Customer Info'!E82:E581,1,0)</f>
        <v>Tianjin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244</v>
      </c>
      <c r="R90" s="2" t="s">
        <v>56</v>
      </c>
      <c r="S90" s="9">
        <f t="shared" si="9"/>
        <v>0.05</v>
      </c>
    </row>
    <row r="91" spans="1:19" x14ac:dyDescent="0.3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VLOOKUP('Customer Info'!B83,'Customer Info'!B83:B582,1,0)</f>
        <v>Carl</v>
      </c>
      <c r="H91" s="6" t="str">
        <f>VLOOKUP('Customer Info'!C83,'Customer Info'!C83:C582,1)</f>
        <v>Pelletier</v>
      </c>
      <c r="I91" s="6" t="str">
        <f>VLOOKUP('Customer Info'!E83,'Customer Info'!E83:E582,1,0)</f>
        <v>Delhi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59</v>
      </c>
      <c r="R91" s="2" t="s">
        <v>28</v>
      </c>
      <c r="S91" s="9">
        <f t="shared" si="9"/>
        <v>0.02</v>
      </c>
    </row>
    <row r="92" spans="1:19" x14ac:dyDescent="0.3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VLOOKUP('Customer Info'!B84,'Customer Info'!B84:B583,1,0)</f>
        <v>Carlos</v>
      </c>
      <c r="H92" s="6" t="str">
        <f>VLOOKUP('Customer Info'!C84,'Customer Info'!C84:C583,1)</f>
        <v>Pelletier</v>
      </c>
      <c r="I92" s="6" t="str">
        <f>VLOOKUP('Customer Info'!E84,'Customer Info'!E84:E583,1,0)</f>
        <v>Wodonga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288</v>
      </c>
      <c r="R92" s="2" t="s">
        <v>28</v>
      </c>
      <c r="S92" s="9">
        <f t="shared" si="9"/>
        <v>0.02</v>
      </c>
    </row>
    <row r="93" spans="1:19" x14ac:dyDescent="0.3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VLOOKUP('Customer Info'!B85,'Customer Info'!B85:B584,1,0)</f>
        <v>Carol</v>
      </c>
      <c r="H93" s="6" t="str">
        <f>VLOOKUP('Customer Info'!C85,'Customer Info'!C85:C584,1)</f>
        <v>Sorensen</v>
      </c>
      <c r="I93" s="6" t="str">
        <f>VLOOKUP('Customer Info'!E85,'Customer Info'!E85:E584,1,0)</f>
        <v>Durgapur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10</v>
      </c>
      <c r="R93" s="2" t="s">
        <v>26</v>
      </c>
      <c r="S93" s="9">
        <f t="shared" si="9"/>
        <v>0.02</v>
      </c>
    </row>
    <row r="94" spans="1:19" x14ac:dyDescent="0.3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VLOOKUP('Customer Info'!B86,'Customer Info'!B86:B585,1,0)</f>
        <v>Carol</v>
      </c>
      <c r="H94" s="6" t="str">
        <f>VLOOKUP('Customer Info'!C86,'Customer Info'!C86:C585,1)</f>
        <v>Adams</v>
      </c>
      <c r="I94" s="6" t="str">
        <f>VLOOKUP('Customer Info'!E86,'Customer Info'!E86:E585,1,0)</f>
        <v>Cairns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7398</v>
      </c>
      <c r="R94" s="2" t="s">
        <v>28</v>
      </c>
      <c r="S94" s="9">
        <f t="shared" si="9"/>
        <v>0.09</v>
      </c>
    </row>
    <row r="95" spans="1:19" x14ac:dyDescent="0.3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VLOOKUP('Customer Info'!B87,'Customer Info'!B87:B586,1,0)</f>
        <v>Caroline</v>
      </c>
      <c r="H95" s="6" t="str">
        <f>VLOOKUP('Customer Info'!C87,'Customer Info'!C87:C586,1)</f>
        <v>Budd</v>
      </c>
      <c r="I95" s="6" t="str">
        <f>VLOOKUP('Customer Info'!E87,'Customer Info'!E87:E586,1,0)</f>
        <v>Xuzhou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273</v>
      </c>
      <c r="R95" s="2" t="s">
        <v>50</v>
      </c>
      <c r="S95" s="9">
        <f t="shared" si="9"/>
        <v>0.02</v>
      </c>
    </row>
    <row r="96" spans="1:19" x14ac:dyDescent="0.3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VLOOKUP('Customer Info'!B88,'Customer Info'!B88:B587,1,0)</f>
        <v>Cassandra</v>
      </c>
      <c r="H96" s="6" t="str">
        <f>VLOOKUP('Customer Info'!C88,'Customer Info'!C88:C587,1)</f>
        <v>Brandow</v>
      </c>
      <c r="I96" s="6" t="str">
        <f>VLOOKUP('Customer Info'!E88,'Customer Info'!E88:E587,1,0)</f>
        <v>Hamburg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540</v>
      </c>
      <c r="R96" s="2" t="s">
        <v>28</v>
      </c>
      <c r="S96" s="9">
        <f t="shared" si="9"/>
        <v>0.02</v>
      </c>
    </row>
    <row r="97" spans="1:19" x14ac:dyDescent="0.3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VLOOKUP('Customer Info'!B89,'Customer Info'!B89:B588,1,0)</f>
        <v>Catherine</v>
      </c>
      <c r="H97" s="6" t="str">
        <f>VLOOKUP('Customer Info'!C89,'Customer Info'!C89:C588,1)</f>
        <v>Carlisle</v>
      </c>
      <c r="I97" s="6" t="str">
        <f>VLOOKUP('Customer Info'!E89,'Customer Info'!E89:E588,1,0)</f>
        <v>Bochum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14</v>
      </c>
      <c r="R97" s="2" t="s">
        <v>50</v>
      </c>
      <c r="S97" s="9">
        <f t="shared" si="9"/>
        <v>0.02</v>
      </c>
    </row>
    <row r="98" spans="1:19" x14ac:dyDescent="0.3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VLOOKUP('Customer Info'!B90,'Customer Info'!B90:B589,1,0)</f>
        <v>Cathy</v>
      </c>
      <c r="H98" s="6" t="str">
        <f>VLOOKUP('Customer Info'!C90,'Customer Info'!C90:C589,1)</f>
        <v>Brown</v>
      </c>
      <c r="I98" s="6" t="str">
        <f>VLOOKUP('Customer Info'!E90,'Customer Info'!E90:E589,1,0)</f>
        <v>Trier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2478</v>
      </c>
      <c r="R98" s="2" t="s">
        <v>28</v>
      </c>
      <c r="S98" s="9">
        <f t="shared" si="9"/>
        <v>7.0000000000000007E-2</v>
      </c>
    </row>
    <row r="99" spans="1:19" x14ac:dyDescent="0.3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VLOOKUP('Customer Info'!B91,'Customer Info'!B91:B590,1,0)</f>
        <v>Cathy</v>
      </c>
      <c r="H99" s="6" t="str">
        <f>VLOOKUP('Customer Info'!C91,'Customer Info'!C91:C590,1)</f>
        <v>Daniels</v>
      </c>
      <c r="I99" s="6" t="str">
        <f>VLOOKUP('Customer Info'!E91,'Customer Info'!E91:E590,1,0)</f>
        <v>Ballarat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480</v>
      </c>
      <c r="R99" s="2" t="s">
        <v>50</v>
      </c>
      <c r="S99" s="9">
        <f t="shared" si="9"/>
        <v>0.02</v>
      </c>
    </row>
    <row r="100" spans="1:19" x14ac:dyDescent="0.3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VLOOKUP('Customer Info'!B92,'Customer Info'!B92:B591,1,0)</f>
        <v>Charles</v>
      </c>
      <c r="H100" s="6" t="str">
        <f>VLOOKUP('Customer Info'!C92,'Customer Info'!C92:C591,1)</f>
        <v>Preis</v>
      </c>
      <c r="I100" s="6" t="str">
        <f>VLOOKUP('Customer Info'!E92,'Customer Info'!E92:E591,1,0)</f>
        <v>Jakarta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1392</v>
      </c>
      <c r="R100" s="2" t="s">
        <v>28</v>
      </c>
      <c r="S100" s="9">
        <f t="shared" si="9"/>
        <v>7.0000000000000007E-2</v>
      </c>
    </row>
    <row r="101" spans="1:19" x14ac:dyDescent="0.3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VLOOKUP('Customer Info'!B93,'Customer Info'!B93:B592,1,0)</f>
        <v>Charles</v>
      </c>
      <c r="H101" s="6" t="str">
        <f>VLOOKUP('Customer Info'!C93,'Customer Info'!C93:C592,1)</f>
        <v>Preis</v>
      </c>
      <c r="I101" s="6" t="str">
        <f>VLOOKUP('Customer Info'!E93,'Customer Info'!E93:E592,1,0)</f>
        <v>Brisbane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483</v>
      </c>
      <c r="R101" s="2" t="s">
        <v>50</v>
      </c>
      <c r="S101" s="9">
        <f t="shared" si="9"/>
        <v>0.05</v>
      </c>
    </row>
    <row r="102" spans="1:19" x14ac:dyDescent="0.3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VLOOKUP('Customer Info'!B94,'Customer Info'!B94:B593,1,0)</f>
        <v>Charlotte</v>
      </c>
      <c r="H102" s="6" t="str">
        <f>VLOOKUP('Customer Info'!C94,'Customer Info'!C94:C593,1)</f>
        <v>Braunhardt</v>
      </c>
      <c r="I102" s="6" t="str">
        <f>VLOOKUP('Customer Info'!E94,'Customer Info'!E94:E593,1,0)</f>
        <v>Canberra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303</v>
      </c>
      <c r="R102" s="2" t="s">
        <v>28</v>
      </c>
      <c r="S102" s="9">
        <f t="shared" si="9"/>
        <v>0.02</v>
      </c>
    </row>
    <row r="103" spans="1:19" x14ac:dyDescent="0.3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VLOOKUP('Customer Info'!B95,'Customer Info'!B95:B594,1,0)</f>
        <v>Christina</v>
      </c>
      <c r="H103" s="6" t="str">
        <f>VLOOKUP('Customer Info'!C95,'Customer Info'!C95:C594,1)</f>
        <v>Sorensen</v>
      </c>
      <c r="I103" s="6" t="str">
        <f>VLOOKUP('Customer Info'!E95,'Customer Info'!E95:E594,1,0)</f>
        <v>Gold Coast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56</v>
      </c>
      <c r="R103" s="2" t="s">
        <v>28</v>
      </c>
      <c r="S103" s="9">
        <f t="shared" si="9"/>
        <v>0.02</v>
      </c>
    </row>
    <row r="104" spans="1:19" x14ac:dyDescent="0.3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VLOOKUP('Customer Info'!B96,'Customer Info'!B96:B595,1,0)</f>
        <v>Christine</v>
      </c>
      <c r="H104" s="6" t="str">
        <f>VLOOKUP('Customer Info'!C96,'Customer Info'!C96:C595,1)</f>
        <v>Abelman</v>
      </c>
      <c r="I104" s="6" t="str">
        <f>VLOOKUP('Customer Info'!E96,'Customer Info'!E96:E595,1,0)</f>
        <v>Nasik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150</v>
      </c>
      <c r="R104" s="2" t="s">
        <v>28</v>
      </c>
      <c r="S104" s="9">
        <f t="shared" si="9"/>
        <v>0.02</v>
      </c>
    </row>
    <row r="105" spans="1:19" x14ac:dyDescent="0.3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VLOOKUP('Customer Info'!B97,'Customer Info'!B97:B596,1,0)</f>
        <v>Christopher</v>
      </c>
      <c r="H105" s="6" t="str">
        <f>VLOOKUP('Customer Info'!C97,'Customer Info'!C97:C596,1)</f>
        <v>Hackney</v>
      </c>
      <c r="I105" s="6" t="str">
        <f>VLOOKUP('Customer Info'!E97,'Customer Info'!E97:E596,1,0)</f>
        <v>Qingdao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256</v>
      </c>
      <c r="R105" s="2" t="s">
        <v>28</v>
      </c>
      <c r="S105" s="9">
        <f t="shared" si="9"/>
        <v>0.05</v>
      </c>
    </row>
    <row r="106" spans="1:19" x14ac:dyDescent="0.3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VLOOKUP('Customer Info'!B98,'Customer Info'!B98:B597,1,0)</f>
        <v>Christy</v>
      </c>
      <c r="H106" s="6" t="str">
        <f>VLOOKUP('Customer Info'!C98,'Customer Info'!C98:C597,1)</f>
        <v>Brittain</v>
      </c>
      <c r="I106" s="6" t="str">
        <f>VLOOKUP('Customer Info'!E98,'Customer Info'!E98:E597,1,0)</f>
        <v>Depok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228</v>
      </c>
      <c r="R106" s="2" t="s">
        <v>50</v>
      </c>
      <c r="S106" s="9">
        <f t="shared" si="9"/>
        <v>0.02</v>
      </c>
    </row>
    <row r="107" spans="1:19" x14ac:dyDescent="0.3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VLOOKUP('Customer Info'!B99,'Customer Info'!B99:B598,1,0)</f>
        <v>Christy</v>
      </c>
      <c r="H107" s="6" t="str">
        <f>VLOOKUP('Customer Info'!C99,'Customer Info'!C99:C598,1)</f>
        <v>Brittain</v>
      </c>
      <c r="I107" s="6" t="str">
        <f>VLOOKUP('Customer Info'!E99,'Customer Info'!E99:E598,1,0)</f>
        <v>Ajmer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320</v>
      </c>
      <c r="R107" s="2" t="s">
        <v>28</v>
      </c>
      <c r="S107" s="9">
        <f t="shared" si="9"/>
        <v>0.02</v>
      </c>
    </row>
    <row r="108" spans="1:19" x14ac:dyDescent="0.3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VLOOKUP('Customer Info'!B100,'Customer Info'!B100:B599,1,0)</f>
        <v>Cindy</v>
      </c>
      <c r="H108" s="6" t="str">
        <f>VLOOKUP('Customer Info'!C100,'Customer Info'!C100:C599,1)</f>
        <v>Beltran</v>
      </c>
      <c r="I108" s="6" t="str">
        <f>VLOOKUP('Customer Info'!E100,'Customer Info'!E100:E599,1,0)</f>
        <v>Balikpapan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24</v>
      </c>
      <c r="R108" s="2" t="s">
        <v>50</v>
      </c>
      <c r="S108" s="9">
        <f t="shared" si="9"/>
        <v>0.02</v>
      </c>
    </row>
    <row r="109" spans="1:19" x14ac:dyDescent="0.3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VLOOKUP('Customer Info'!B101,'Customer Info'!B101:B600,1,0)</f>
        <v>Claire</v>
      </c>
      <c r="H109" s="6" t="str">
        <f>VLOOKUP('Customer Info'!C101,'Customer Info'!C101:C600,1)</f>
        <v>Caffey</v>
      </c>
      <c r="I109" s="6" t="str">
        <f>VLOOKUP('Customer Info'!E101,'Customer Info'!E101:E600,1,0)</f>
        <v>Shenzhen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882</v>
      </c>
      <c r="R109" s="2" t="s">
        <v>26</v>
      </c>
      <c r="S109" s="9">
        <f t="shared" si="9"/>
        <v>0.05</v>
      </c>
    </row>
    <row r="110" spans="1:19" x14ac:dyDescent="0.3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VLOOKUP('Customer Info'!B102,'Customer Info'!B102:B601,1,0)</f>
        <v>Claire</v>
      </c>
      <c r="H110" s="6" t="str">
        <f>VLOOKUP('Customer Info'!C102,'Customer Info'!C102:C601,1)</f>
        <v>Craven</v>
      </c>
      <c r="I110" s="6" t="str">
        <f>VLOOKUP('Customer Info'!E102,'Customer Info'!E102:E601,1,0)</f>
        <v>Worms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354</v>
      </c>
      <c r="R110" s="2" t="s">
        <v>28</v>
      </c>
      <c r="S110" s="9">
        <f t="shared" si="9"/>
        <v>0.05</v>
      </c>
    </row>
    <row r="111" spans="1:19" x14ac:dyDescent="0.3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VLOOKUP('Customer Info'!B103,'Customer Info'!B103:B602,1,0)</f>
        <v>Claudia</v>
      </c>
      <c r="H111" s="6" t="str">
        <f>VLOOKUP('Customer Info'!C103,'Customer Info'!C103:C602,1)</f>
        <v>Bergmann</v>
      </c>
      <c r="I111" s="6" t="str">
        <f>VLOOKUP('Customer Info'!E103,'Customer Info'!E103:E602,1,0)</f>
        <v>Aschaffenburg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1928</v>
      </c>
      <c r="R111" s="2" t="s">
        <v>28</v>
      </c>
      <c r="S111" s="9">
        <f t="shared" si="9"/>
        <v>0.05</v>
      </c>
    </row>
    <row r="112" spans="1:19" x14ac:dyDescent="0.3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VLOOKUP('Customer Info'!B104,'Customer Info'!B104:B603,1,0)</f>
        <v>Clay</v>
      </c>
      <c r="H112" s="6" t="str">
        <f>VLOOKUP('Customer Info'!C104,'Customer Info'!C104:C603,1)</f>
        <v>Bailliet</v>
      </c>
      <c r="I112" s="6" t="str">
        <f>VLOOKUP('Customer Info'!E104,'Customer Info'!E104:E603,1,0)</f>
        <v>Freiburg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1710</v>
      </c>
      <c r="R112" s="2" t="s">
        <v>28</v>
      </c>
      <c r="S112" s="9">
        <f t="shared" si="9"/>
        <v>7.0000000000000007E-2</v>
      </c>
    </row>
    <row r="113" spans="1:19" x14ac:dyDescent="0.3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VLOOKUP('Customer Info'!B105,'Customer Info'!B105:B604,1,0)</f>
        <v>Corey</v>
      </c>
      <c r="H113" s="6" t="str">
        <f>VLOOKUP('Customer Info'!C105,'Customer Info'!C105:C604,1)</f>
        <v>Glocke</v>
      </c>
      <c r="I113" s="6" t="str">
        <f>VLOOKUP('Customer Info'!E105,'Customer Info'!E105:E604,1,0)</f>
        <v>Geelong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160</v>
      </c>
      <c r="R113" s="2" t="s">
        <v>50</v>
      </c>
      <c r="S113" s="9">
        <f t="shared" si="9"/>
        <v>0.02</v>
      </c>
    </row>
    <row r="114" spans="1:19" x14ac:dyDescent="0.3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VLOOKUP('Customer Info'!B106,'Customer Info'!B106:B605,1,0)</f>
        <v>Corinna</v>
      </c>
      <c r="H114" s="6" t="str">
        <f>VLOOKUP('Customer Info'!C106,'Customer Info'!C106:C605,1)</f>
        <v>Coakley</v>
      </c>
      <c r="I114" s="6" t="str">
        <f>VLOOKUP('Customer Info'!E106,'Customer Info'!E106:E605,1,0)</f>
        <v>Augsburg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12</v>
      </c>
      <c r="R114" s="2" t="s">
        <v>28</v>
      </c>
      <c r="S114" s="9">
        <f t="shared" si="9"/>
        <v>0.02</v>
      </c>
    </row>
    <row r="115" spans="1:19" x14ac:dyDescent="0.3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VLOOKUP('Customer Info'!B107,'Customer Info'!B107:B606,1,0)</f>
        <v>Craig</v>
      </c>
      <c r="H115" s="6" t="str">
        <f>VLOOKUP('Customer Info'!C107,'Customer Info'!C107:C606,1)</f>
        <v>Fjeld</v>
      </c>
      <c r="I115" s="6" t="str">
        <f>VLOOKUP('Customer Info'!E107,'Customer Info'!E107:E606,1,0)</f>
        <v>Wetzlar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18</v>
      </c>
      <c r="R115" s="2" t="s">
        <v>28</v>
      </c>
      <c r="S115" s="9">
        <f t="shared" si="9"/>
        <v>0.02</v>
      </c>
    </row>
    <row r="116" spans="1:19" x14ac:dyDescent="0.3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VLOOKUP('Customer Info'!B108,'Customer Info'!B108:B607,1,0)</f>
        <v>Craig</v>
      </c>
      <c r="H116" s="6" t="str">
        <f>VLOOKUP('Customer Info'!C108,'Customer Info'!C108:C607,1)</f>
        <v>Brown</v>
      </c>
      <c r="I116" s="6" t="str">
        <f>VLOOKUP('Customer Info'!E108,'Customer Info'!E108:E607,1,0)</f>
        <v>Suzhou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891</v>
      </c>
      <c r="R116" s="2" t="s">
        <v>50</v>
      </c>
      <c r="S116" s="9">
        <f t="shared" si="9"/>
        <v>0.05</v>
      </c>
    </row>
    <row r="117" spans="1:19" x14ac:dyDescent="0.3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VLOOKUP('Customer Info'!B109,'Customer Info'!B109:B608,1,0)</f>
        <v>Craig</v>
      </c>
      <c r="H117" s="6" t="str">
        <f>VLOOKUP('Customer Info'!C109,'Customer Info'!C109:C608,1)</f>
        <v>Sorensen</v>
      </c>
      <c r="I117" s="6" t="str">
        <f>VLOOKUP('Customer Info'!E109,'Customer Info'!E109:E608,1,0)</f>
        <v>Aligarh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49</v>
      </c>
      <c r="R117" s="2" t="s">
        <v>28</v>
      </c>
      <c r="S117" s="9">
        <f t="shared" si="9"/>
        <v>0.02</v>
      </c>
    </row>
    <row r="118" spans="1:19" x14ac:dyDescent="0.3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VLOOKUP('Customer Info'!B110,'Customer Info'!B110:B609,1,0)</f>
        <v>Craig</v>
      </c>
      <c r="H118" s="6" t="str">
        <f>VLOOKUP('Customer Info'!C110,'Customer Info'!C110:C609,1)</f>
        <v>Budd</v>
      </c>
      <c r="I118" s="6" t="str">
        <f>VLOOKUP('Customer Info'!E110,'Customer Info'!E110:E609,1,0)</f>
        <v>Augsburg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135</v>
      </c>
      <c r="R118" s="2" t="s">
        <v>28</v>
      </c>
      <c r="S118" s="9">
        <f t="shared" si="9"/>
        <v>0.02</v>
      </c>
    </row>
    <row r="119" spans="1:19" x14ac:dyDescent="0.3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VLOOKUP('Customer Info'!B111,'Customer Info'!B111:B610,1,0)</f>
        <v>Craig</v>
      </c>
      <c r="H119" s="6" t="str">
        <f>VLOOKUP('Customer Info'!C111,'Customer Info'!C111:C610,1)</f>
        <v>Budd</v>
      </c>
      <c r="I119" s="6" t="str">
        <f>VLOOKUP('Customer Info'!E111,'Customer Info'!E111:E610,1,0)</f>
        <v>Worms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2168</v>
      </c>
      <c r="R119" s="2" t="s">
        <v>28</v>
      </c>
      <c r="S119" s="9">
        <f t="shared" si="9"/>
        <v>0.05</v>
      </c>
    </row>
    <row r="120" spans="1:19" x14ac:dyDescent="0.3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VLOOKUP('Customer Info'!B112,'Customer Info'!B112:B611,1,0)</f>
        <v>Cynthia</v>
      </c>
      <c r="H120" s="6" t="str">
        <f>VLOOKUP('Customer Info'!C112,'Customer Info'!C112:C611,1)</f>
        <v>Brown</v>
      </c>
      <c r="I120" s="6" t="str">
        <f>VLOOKUP('Customer Info'!E112,'Customer Info'!E112:E611,1,0)</f>
        <v>Wodonga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2</v>
      </c>
      <c r="R120" s="2" t="s">
        <v>50</v>
      </c>
      <c r="S120" s="9">
        <f t="shared" si="9"/>
        <v>0.02</v>
      </c>
    </row>
    <row r="121" spans="1:19" x14ac:dyDescent="0.3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VLOOKUP('Customer Info'!B113,'Customer Info'!B113:B612,1,0)</f>
        <v>Cynthia</v>
      </c>
      <c r="H121" s="6" t="str">
        <f>VLOOKUP('Customer Info'!C113,'Customer Info'!C113:C612,1)</f>
        <v>Arnett</v>
      </c>
      <c r="I121" s="6" t="str">
        <f>VLOOKUP('Customer Info'!E113,'Customer Info'!E113:E612,1,0)</f>
        <v>Gold Coast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45</v>
      </c>
      <c r="R121" s="2" t="s">
        <v>28</v>
      </c>
      <c r="S121" s="9">
        <f t="shared" si="9"/>
        <v>0.02</v>
      </c>
    </row>
    <row r="122" spans="1:19" x14ac:dyDescent="0.3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VLOOKUP('Customer Info'!B114,'Customer Info'!B114:B613,1,0)</f>
        <v>Cyra</v>
      </c>
      <c r="H122" s="6" t="str">
        <f>VLOOKUP('Customer Info'!C114,'Customer Info'!C114:C613,1)</f>
        <v>Preis</v>
      </c>
      <c r="I122" s="6" t="str">
        <f>VLOOKUP('Customer Info'!E114,'Customer Info'!E114:E613,1,0)</f>
        <v>Samarinda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90</v>
      </c>
      <c r="R122" s="2" t="s">
        <v>28</v>
      </c>
      <c r="S122" s="9">
        <f t="shared" si="9"/>
        <v>0.02</v>
      </c>
    </row>
    <row r="123" spans="1:19" x14ac:dyDescent="0.3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VLOOKUP('Customer Info'!B115,'Customer Info'!B115:B614,1,0)</f>
        <v>Cyra</v>
      </c>
      <c r="H123" s="6" t="str">
        <f>VLOOKUP('Customer Info'!C115,'Customer Info'!C115:C614,1)</f>
        <v>Preis</v>
      </c>
      <c r="I123" s="6" t="str">
        <f>VLOOKUP('Customer Info'!E115,'Customer Info'!E115:E614,1,0)</f>
        <v>Srinagar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159</v>
      </c>
      <c r="R123" s="2" t="s">
        <v>26</v>
      </c>
      <c r="S123" s="9">
        <f t="shared" si="9"/>
        <v>0.02</v>
      </c>
    </row>
    <row r="124" spans="1:19" x14ac:dyDescent="0.3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VLOOKUP('Customer Info'!B116,'Customer Info'!B116:B615,1,0)</f>
        <v>Damala</v>
      </c>
      <c r="H124" s="6" t="str">
        <f>VLOOKUP('Customer Info'!C116,'Customer Info'!C116:C615,1)</f>
        <v>Brown</v>
      </c>
      <c r="I124" s="6" t="str">
        <f>VLOOKUP('Customer Info'!E116,'Customer Info'!E116:E615,1,0)</f>
        <v>Berlin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234</v>
      </c>
      <c r="R124" s="2" t="s">
        <v>26</v>
      </c>
      <c r="S124" s="9">
        <f t="shared" si="9"/>
        <v>0.02</v>
      </c>
    </row>
    <row r="125" spans="1:19" x14ac:dyDescent="0.3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VLOOKUP('Customer Info'!B117,'Customer Info'!B117:B616,1,0)</f>
        <v>Dan</v>
      </c>
      <c r="H125" s="6" t="str">
        <f>VLOOKUP('Customer Info'!C117,'Customer Info'!C117:C616,1)</f>
        <v>Akin</v>
      </c>
      <c r="I125" s="6" t="str">
        <f>VLOOKUP('Customer Info'!E117,'Customer Info'!E117:E616,1,0)</f>
        <v>Perth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186</v>
      </c>
      <c r="R125" s="2" t="s">
        <v>28</v>
      </c>
      <c r="S125" s="9">
        <f t="shared" si="9"/>
        <v>0.02</v>
      </c>
    </row>
    <row r="126" spans="1:19" x14ac:dyDescent="0.3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VLOOKUP('Customer Info'!B118,'Customer Info'!B118:B617,1,0)</f>
        <v>Dana</v>
      </c>
      <c r="H126" s="6" t="str">
        <f>VLOOKUP('Customer Info'!C118,'Customer Info'!C118:C617,1)</f>
        <v>Braunhardt</v>
      </c>
      <c r="I126" s="6" t="str">
        <f>VLOOKUP('Customer Info'!E118,'Customer Info'!E118:E617,1,0)</f>
        <v>Nagercoil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1444</v>
      </c>
      <c r="R126" s="2" t="s">
        <v>28</v>
      </c>
      <c r="S126" s="9">
        <f t="shared" si="9"/>
        <v>7.0000000000000007E-2</v>
      </c>
    </row>
    <row r="127" spans="1:19" x14ac:dyDescent="0.3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VLOOKUP('Customer Info'!B119,'Customer Info'!B119:B618,1,0)</f>
        <v>Daniel</v>
      </c>
      <c r="H127" s="6" t="str">
        <f>VLOOKUP('Customer Info'!C119,'Customer Info'!C119:C618,1)</f>
        <v>Preis</v>
      </c>
      <c r="I127" s="6" t="str">
        <f>VLOOKUP('Customer Info'!E119,'Customer Info'!E119:E618,1,0)</f>
        <v>Gold Coast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236</v>
      </c>
      <c r="R127" s="2" t="s">
        <v>28</v>
      </c>
      <c r="S127" s="9">
        <f t="shared" si="9"/>
        <v>0.02</v>
      </c>
    </row>
    <row r="128" spans="1:19" x14ac:dyDescent="0.3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VLOOKUP('Customer Info'!B120,'Customer Info'!B120:B619,1,0)</f>
        <v>Darren</v>
      </c>
      <c r="H128" s="6" t="str">
        <f>VLOOKUP('Customer Info'!C120,'Customer Info'!C120:C619,1)</f>
        <v>Fritzler</v>
      </c>
      <c r="I128" s="6" t="str">
        <f>VLOOKUP('Customer Info'!E120,'Customer Info'!E120:E619,1,0)</f>
        <v>Pune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5136</v>
      </c>
      <c r="R128" s="2" t="s">
        <v>26</v>
      </c>
      <c r="S128" s="9">
        <f t="shared" si="9"/>
        <v>0.09</v>
      </c>
    </row>
    <row r="129" spans="1:19" x14ac:dyDescent="0.3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VLOOKUP('Customer Info'!B121,'Customer Info'!B121:B620,1,0)</f>
        <v>Darren</v>
      </c>
      <c r="H129" s="6" t="str">
        <f>VLOOKUP('Customer Info'!C121,'Customer Info'!C121:C620,1)</f>
        <v>Budd</v>
      </c>
      <c r="I129" s="6" t="str">
        <f>VLOOKUP('Customer Info'!E121,'Customer Info'!E121:E620,1,0)</f>
        <v>Jakarta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84</v>
      </c>
      <c r="R129" s="2" t="s">
        <v>50</v>
      </c>
      <c r="S129" s="9">
        <f t="shared" si="9"/>
        <v>0.02</v>
      </c>
    </row>
    <row r="130" spans="1:19" x14ac:dyDescent="0.3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VLOOKUP('Customer Info'!B122,'Customer Info'!B122:B621,1,0)</f>
        <v>Darren</v>
      </c>
      <c r="H130" s="6" t="str">
        <f>VLOOKUP('Customer Info'!C122,'Customer Info'!C122:C621,1)</f>
        <v>Barnett</v>
      </c>
      <c r="I130" s="6" t="str">
        <f>VLOOKUP('Customer Info'!E122,'Customer Info'!E122:E621,1,0)</f>
        <v>Regensburg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45</v>
      </c>
      <c r="R130" s="2" t="s">
        <v>28</v>
      </c>
      <c r="S130" s="9">
        <f t="shared" si="9"/>
        <v>0.02</v>
      </c>
    </row>
    <row r="131" spans="1:19" x14ac:dyDescent="0.3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VLOOKUP('Customer Info'!B123,'Customer Info'!B123:B622,1,0)</f>
        <v>Darren</v>
      </c>
      <c r="H131" s="6" t="str">
        <f>VLOOKUP('Customer Info'!C123,'Customer Info'!C123:C622,1)</f>
        <v>Brown</v>
      </c>
      <c r="I131" s="6" t="str">
        <f>VLOOKUP('Customer Info'!E123,'Customer Info'!E123:E622,1,0)</f>
        <v>Depok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54</v>
      </c>
      <c r="R131" s="2" t="s">
        <v>50</v>
      </c>
      <c r="S131" s="9">
        <f t="shared" si="9"/>
        <v>0.02</v>
      </c>
    </row>
    <row r="132" spans="1:19" x14ac:dyDescent="0.3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VLOOKUP('Customer Info'!B124,'Customer Info'!B124:B623,1,0)</f>
        <v>Darren</v>
      </c>
      <c r="H132" s="6" t="str">
        <f>VLOOKUP('Customer Info'!C124,'Customer Info'!C124:C623,1)</f>
        <v>Benoit</v>
      </c>
      <c r="I132" s="6" t="str">
        <f>VLOOKUP('Customer Info'!E124,'Customer Info'!E124:E623,1,0)</f>
        <v>Perth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198</v>
      </c>
      <c r="R132" s="2" t="s">
        <v>56</v>
      </c>
      <c r="S132" s="9">
        <f t="shared" si="9"/>
        <v>0.02</v>
      </c>
    </row>
    <row r="133" spans="1:19" x14ac:dyDescent="0.3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VLOOKUP('Customer Info'!B125,'Customer Info'!B125:B624,1,0)</f>
        <v>Darrin</v>
      </c>
      <c r="H133" s="6" t="str">
        <f>VLOOKUP('Customer Info'!C125,'Customer Info'!C125:C624,1)</f>
        <v>Preis</v>
      </c>
      <c r="I133" s="6" t="str">
        <f>VLOOKUP('Customer Info'!E125,'Customer Info'!E125:E624,1,0)</f>
        <v>Duisburg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248</v>
      </c>
      <c r="R133" s="2" t="s">
        <v>28</v>
      </c>
      <c r="S133" s="9">
        <f t="shared" si="9"/>
        <v>0.05</v>
      </c>
    </row>
    <row r="134" spans="1:19" x14ac:dyDescent="0.3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VLOOKUP('Customer Info'!B126,'Customer Info'!B126:B625,1,0)</f>
        <v>Darrin</v>
      </c>
      <c r="H134" s="6" t="str">
        <f>VLOOKUP('Customer Info'!C126,'Customer Info'!C126:C625,1)</f>
        <v>Jones</v>
      </c>
      <c r="I134" s="6" t="str">
        <f>VLOOKUP('Customer Info'!E126,'Customer Info'!E126:E625,1,0)</f>
        <v>Berlin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360</v>
      </c>
      <c r="R134" s="2" t="s">
        <v>50</v>
      </c>
      <c r="S134" s="9">
        <f t="shared" si="9"/>
        <v>0.05</v>
      </c>
    </row>
    <row r="135" spans="1:19" x14ac:dyDescent="0.3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VLOOKUP('Customer Info'!B127,'Customer Info'!B127:B626,1,0)</f>
        <v>Dave</v>
      </c>
      <c r="H135" s="6" t="str">
        <f>VLOOKUP('Customer Info'!C127,'Customer Info'!C127:C626,1)</f>
        <v>Bavinger</v>
      </c>
      <c r="I135" s="6" t="str">
        <f>VLOOKUP('Customer Info'!E127,'Customer Info'!E127:E626,1,0)</f>
        <v>Melbourne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117</v>
      </c>
      <c r="R135" s="2" t="s">
        <v>28</v>
      </c>
      <c r="S135" s="9">
        <f t="shared" si="9"/>
        <v>0.02</v>
      </c>
    </row>
    <row r="136" spans="1:19" x14ac:dyDescent="0.3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VLOOKUP('Customer Info'!B128,'Customer Info'!B128:B627,1,0)</f>
        <v>Dave</v>
      </c>
      <c r="H136" s="6" t="str">
        <f>VLOOKUP('Customer Info'!C128,'Customer Info'!C128:C627,1)</f>
        <v>Chand</v>
      </c>
      <c r="I136" s="6" t="str">
        <f>VLOOKUP('Customer Info'!E128,'Customer Info'!E128:E627,1,0)</f>
        <v>Suizhou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362</v>
      </c>
      <c r="R136" s="2" t="s">
        <v>28</v>
      </c>
      <c r="S136" s="9">
        <f t="shared" si="9"/>
        <v>0.05</v>
      </c>
    </row>
    <row r="137" spans="1:19" x14ac:dyDescent="0.3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VLOOKUP('Customer Info'!B129,'Customer Info'!B129:B628,1,0)</f>
        <v>Dave</v>
      </c>
      <c r="H137" s="6" t="str">
        <f>VLOOKUP('Customer Info'!C129,'Customer Info'!C129:C628,1)</f>
        <v>Braunhardt</v>
      </c>
      <c r="I137" s="6" t="str">
        <f>VLOOKUP('Customer Info'!E129,'Customer Info'!E129:E628,1,0)</f>
        <v>Changchun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150</v>
      </c>
      <c r="R137" s="2" t="s">
        <v>28</v>
      </c>
      <c r="S137" s="9">
        <f t="shared" si="9"/>
        <v>0.02</v>
      </c>
    </row>
    <row r="138" spans="1:19" x14ac:dyDescent="0.3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VLOOKUP('Customer Info'!B130,'Customer Info'!B130:B629,1,0)</f>
        <v>Dave</v>
      </c>
      <c r="H138" s="6" t="str">
        <f>VLOOKUP('Customer Info'!C130,'Customer Info'!C130:C629,1)</f>
        <v>Fjeld</v>
      </c>
      <c r="I138" s="6" t="str">
        <f>VLOOKUP('Customer Info'!E130,'Customer Info'!E130:E629,1,0)</f>
        <v>Coimbatore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150</v>
      </c>
      <c r="R138" s="2" t="s">
        <v>50</v>
      </c>
      <c r="S138" s="9">
        <f t="shared" si="9"/>
        <v>0.02</v>
      </c>
    </row>
    <row r="139" spans="1:19" x14ac:dyDescent="0.3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VLOOKUP('Customer Info'!B131,'Customer Info'!B131:B630,1,0)</f>
        <v>David</v>
      </c>
      <c r="H139" s="6" t="str">
        <f>VLOOKUP('Customer Info'!C131,'Customer Info'!C131:C630,1)</f>
        <v>Preis</v>
      </c>
      <c r="I139" s="6" t="str">
        <f>VLOOKUP('Customer Info'!E131,'Customer Info'!E131:E630,1,0)</f>
        <v>Surat</v>
      </c>
      <c r="J139" s="2">
        <v>877</v>
      </c>
      <c r="K139" s="2">
        <v>788</v>
      </c>
      <c r="L139" s="2">
        <v>3</v>
      </c>
      <c r="M139" s="7">
        <f t="shared" ref="M139:M202" si="10">(K139*L139)</f>
        <v>2364</v>
      </c>
      <c r="N139" s="7">
        <f t="shared" ref="N139:N202" si="11">(J139*L139)</f>
        <v>2631</v>
      </c>
      <c r="O139" s="2">
        <v>81</v>
      </c>
      <c r="P139" s="8">
        <f t="shared" ref="P139:P202" si="12">(N139+O139)</f>
        <v>2712</v>
      </c>
      <c r="Q139" s="8">
        <f t="shared" ref="Q139:Q202" si="13">(N139-M139)</f>
        <v>267</v>
      </c>
      <c r="R139" s="2" t="s">
        <v>28</v>
      </c>
      <c r="S139" s="9">
        <f t="shared" ref="S139:S202" si="14">_xlfn.IFS(P139&gt;250000,0.15,P139&gt;100000,0.12,P139&gt;50000,0.09,P139&gt;25000,0.07,P139&gt;5000,0.05,
 TRUE,0.02)</f>
        <v>0.02</v>
      </c>
    </row>
    <row r="140" spans="1:19" x14ac:dyDescent="0.3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VLOOKUP('Customer Info'!B132,'Customer Info'!B132:B631,1,0)</f>
        <v>David</v>
      </c>
      <c r="H140" s="6" t="str">
        <f>VLOOKUP('Customer Info'!C132,'Customer Info'!C132:C631,1)</f>
        <v>Brown</v>
      </c>
      <c r="I140" s="6" t="str">
        <f>VLOOKUP('Customer Info'!E132,'Customer Info'!E132:E631,1,0)</f>
        <v>Kunming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308</v>
      </c>
      <c r="R140" s="2" t="s">
        <v>50</v>
      </c>
      <c r="S140" s="9">
        <f t="shared" si="14"/>
        <v>0.05</v>
      </c>
    </row>
    <row r="141" spans="1:19" x14ac:dyDescent="0.3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VLOOKUP('Customer Info'!B133,'Customer Info'!B133:B632,1,0)</f>
        <v>David</v>
      </c>
      <c r="H141" s="6" t="str">
        <f>VLOOKUP('Customer Info'!C133,'Customer Info'!C133:C632,1)</f>
        <v>Braunhardt</v>
      </c>
      <c r="I141" s="6" t="str">
        <f>VLOOKUP('Customer Info'!E133,'Customer Info'!E133:E632,1,0)</f>
        <v>Hamburg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692</v>
      </c>
      <c r="R141" s="2" t="s">
        <v>28</v>
      </c>
      <c r="S141" s="9">
        <f t="shared" si="14"/>
        <v>0.05</v>
      </c>
    </row>
    <row r="142" spans="1:19" x14ac:dyDescent="0.3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VLOOKUP('Customer Info'!B134,'Customer Info'!B134:B633,1,0)</f>
        <v>Dean</v>
      </c>
      <c r="H142" s="6" t="str">
        <f>VLOOKUP('Customer Info'!C134,'Customer Info'!C134:C633,1)</f>
        <v>Cartwright</v>
      </c>
      <c r="I142" s="6" t="str">
        <f>VLOOKUP('Customer Info'!E134,'Customer Info'!E134:E633,1,0)</f>
        <v>Changzhou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150</v>
      </c>
      <c r="R142" s="2" t="s">
        <v>50</v>
      </c>
      <c r="S142" s="9">
        <f t="shared" si="14"/>
        <v>0.02</v>
      </c>
    </row>
    <row r="143" spans="1:19" x14ac:dyDescent="0.3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VLOOKUP('Customer Info'!B135,'Customer Info'!B135:B634,1,0)</f>
        <v>Deanra</v>
      </c>
      <c r="H143" s="6" t="str">
        <f>VLOOKUP('Customer Info'!C135,'Customer Info'!C135:C634,1)</f>
        <v>Bailliet</v>
      </c>
      <c r="I143" s="6" t="str">
        <f>VLOOKUP('Customer Info'!E135,'Customer Info'!E135:E634,1,0)</f>
        <v>Langen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954</v>
      </c>
      <c r="R143" s="2" t="s">
        <v>28</v>
      </c>
      <c r="S143" s="9">
        <f t="shared" si="14"/>
        <v>7.0000000000000007E-2</v>
      </c>
    </row>
    <row r="144" spans="1:19" x14ac:dyDescent="0.3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VLOOKUP('Customer Info'!B136,'Customer Info'!B136:B635,1,0)</f>
        <v>Debra</v>
      </c>
      <c r="H144" s="6" t="str">
        <f>VLOOKUP('Customer Info'!C136,'Customer Info'!C136:C635,1)</f>
        <v>Beltran</v>
      </c>
      <c r="I144" s="6" t="str">
        <f>VLOOKUP('Customer Info'!E136,'Customer Info'!E136:E635,1,0)</f>
        <v>Zhengzhou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1816</v>
      </c>
      <c r="R144" s="2" t="s">
        <v>26</v>
      </c>
      <c r="S144" s="9">
        <f t="shared" si="14"/>
        <v>7.0000000000000007E-2</v>
      </c>
    </row>
    <row r="145" spans="1:19" x14ac:dyDescent="0.3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VLOOKUP('Customer Info'!B137,'Customer Info'!B137:B636,1,0)</f>
        <v>Debra</v>
      </c>
      <c r="H145" s="6" t="str">
        <f>VLOOKUP('Customer Info'!C137,'Customer Info'!C137:C636,1)</f>
        <v>Barreto</v>
      </c>
      <c r="I145" s="6" t="str">
        <f>VLOOKUP('Customer Info'!E137,'Customer Info'!E137:E636,1,0)</f>
        <v>Brisbane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720</v>
      </c>
      <c r="R145" s="2" t="s">
        <v>28</v>
      </c>
      <c r="S145" s="9">
        <f t="shared" si="14"/>
        <v>0.05</v>
      </c>
    </row>
    <row r="146" spans="1:19" x14ac:dyDescent="0.3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VLOOKUP('Customer Info'!B138,'Customer Info'!B138:B637,1,0)</f>
        <v>Deirdre</v>
      </c>
      <c r="H146" s="6" t="str">
        <f>VLOOKUP('Customer Info'!C138,'Customer Info'!C138:C637,1)</f>
        <v>Fjeld</v>
      </c>
      <c r="I146" s="6" t="str">
        <f>VLOOKUP('Customer Info'!E138,'Customer Info'!E138:E637,1,0)</f>
        <v>Perth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215</v>
      </c>
      <c r="R146" s="2" t="s">
        <v>28</v>
      </c>
      <c r="S146" s="9">
        <f t="shared" si="14"/>
        <v>0.02</v>
      </c>
    </row>
    <row r="147" spans="1:19" x14ac:dyDescent="0.3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VLOOKUP('Customer Info'!B139,'Customer Info'!B139:B638,1,0)</f>
        <v>Deirdre</v>
      </c>
      <c r="H147" s="6" t="str">
        <f>VLOOKUP('Customer Info'!C139,'Customer Info'!C139:C638,1)</f>
        <v>Garza</v>
      </c>
      <c r="I147" s="6" t="str">
        <f>VLOOKUP('Customer Info'!E139,'Customer Info'!E139:E638,1,0)</f>
        <v>Bandung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231</v>
      </c>
      <c r="R147" s="2" t="s">
        <v>50</v>
      </c>
      <c r="S147" s="9">
        <f t="shared" si="14"/>
        <v>0.05</v>
      </c>
    </row>
    <row r="148" spans="1:19" x14ac:dyDescent="0.3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VLOOKUP('Customer Info'!B140,'Customer Info'!B140:B639,1,0)</f>
        <v>Delfina</v>
      </c>
      <c r="H148" s="6" t="str">
        <f>VLOOKUP('Customer Info'!C140,'Customer Info'!C140:C639,1)</f>
        <v>Brennan</v>
      </c>
      <c r="I148" s="6" t="str">
        <f>VLOOKUP('Customer Info'!E140,'Customer Info'!E140:E639,1,0)</f>
        <v>Yogyakarta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1728</v>
      </c>
      <c r="R148" s="2" t="s">
        <v>26</v>
      </c>
      <c r="S148" s="9">
        <f t="shared" si="14"/>
        <v>7.0000000000000007E-2</v>
      </c>
    </row>
    <row r="149" spans="1:19" x14ac:dyDescent="0.3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VLOOKUP('Customer Info'!B141,'Customer Info'!B141:B640,1,0)</f>
        <v>Denise</v>
      </c>
      <c r="H149" s="6" t="str">
        <f>VLOOKUP('Customer Info'!C141,'Customer Info'!C141:C640,1)</f>
        <v>Jones</v>
      </c>
      <c r="I149" s="6" t="str">
        <f>VLOOKUP('Customer Info'!E141,'Customer Info'!E141:E640,1,0)</f>
        <v>Bhiwandi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122</v>
      </c>
      <c r="R149" s="2" t="s">
        <v>28</v>
      </c>
      <c r="S149" s="9">
        <f t="shared" si="14"/>
        <v>0.05</v>
      </c>
    </row>
    <row r="150" spans="1:19" x14ac:dyDescent="0.3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VLOOKUP('Customer Info'!B142,'Customer Info'!B142:B641,1,0)</f>
        <v>Dennis</v>
      </c>
      <c r="H150" s="6" t="str">
        <f>VLOOKUP('Customer Info'!C142,'Customer Info'!C142:C641,1)</f>
        <v>Cartwright</v>
      </c>
      <c r="I150" s="6" t="str">
        <f>VLOOKUP('Customer Info'!E142,'Customer Info'!E142:E641,1,0)</f>
        <v>Wollongong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525</v>
      </c>
      <c r="R150" s="2" t="s">
        <v>28</v>
      </c>
      <c r="S150" s="9">
        <f t="shared" si="14"/>
        <v>0.05</v>
      </c>
    </row>
    <row r="151" spans="1:19" x14ac:dyDescent="0.3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VLOOKUP('Customer Info'!B143,'Customer Info'!B143:B642,1,0)</f>
        <v>Dennis</v>
      </c>
      <c r="H151" s="6" t="str">
        <f>VLOOKUP('Customer Info'!C143,'Customer Info'!C143:C642,1)</f>
        <v>Chand</v>
      </c>
      <c r="I151" s="6" t="str">
        <f>VLOOKUP('Customer Info'!E143,'Customer Info'!E143:E642,1,0)</f>
        <v>Townsville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765</v>
      </c>
      <c r="R151" s="2" t="s">
        <v>50</v>
      </c>
      <c r="S151" s="9">
        <f t="shared" si="14"/>
        <v>0.05</v>
      </c>
    </row>
    <row r="152" spans="1:19" x14ac:dyDescent="0.3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VLOOKUP('Customer Info'!B144,'Customer Info'!B144:B643,1,0)</f>
        <v>Dennis</v>
      </c>
      <c r="H152" s="6" t="str">
        <f>VLOOKUP('Customer Info'!C144,'Customer Info'!C144:C643,1)</f>
        <v>Brennan</v>
      </c>
      <c r="I152" s="6" t="str">
        <f>VLOOKUP('Customer Info'!E144,'Customer Info'!E144:E643,1,0)</f>
        <v>Pekalongan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192</v>
      </c>
      <c r="R152" s="2" t="s">
        <v>28</v>
      </c>
      <c r="S152" s="9">
        <f t="shared" si="14"/>
        <v>0.02</v>
      </c>
    </row>
    <row r="153" spans="1:19" x14ac:dyDescent="0.3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VLOOKUP('Customer Info'!B145,'Customer Info'!B145:B644,1,0)</f>
        <v>Denny</v>
      </c>
      <c r="H153" s="6" t="str">
        <f>VLOOKUP('Customer Info'!C145,'Customer Info'!C145:C644,1)</f>
        <v>Braunhardt</v>
      </c>
      <c r="I153" s="6" t="str">
        <f>VLOOKUP('Customer Info'!E145,'Customer Info'!E145:E644,1,0)</f>
        <v>Berlin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466</v>
      </c>
      <c r="R153" s="2" t="s">
        <v>28</v>
      </c>
      <c r="S153" s="9">
        <f t="shared" si="14"/>
        <v>0.05</v>
      </c>
    </row>
    <row r="154" spans="1:19" x14ac:dyDescent="0.3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VLOOKUP('Customer Info'!B146,'Customer Info'!B146:B645,1,0)</f>
        <v>Dianna</v>
      </c>
      <c r="H154" s="6" t="str">
        <f>VLOOKUP('Customer Info'!C146,'Customer Info'!C146:C645,1)</f>
        <v>Sorensen</v>
      </c>
      <c r="I154" s="6" t="str">
        <f>VLOOKUP('Customer Info'!E146,'Customer Info'!E146:E645,1,0)</f>
        <v>Gold Coast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180</v>
      </c>
      <c r="R154" s="2" t="s">
        <v>28</v>
      </c>
      <c r="S154" s="9">
        <f t="shared" si="14"/>
        <v>0.02</v>
      </c>
    </row>
    <row r="155" spans="1:19" x14ac:dyDescent="0.3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VLOOKUP('Customer Info'!B147,'Customer Info'!B147:B646,1,0)</f>
        <v>Dianna</v>
      </c>
      <c r="H155" s="6" t="str">
        <f>VLOOKUP('Customer Info'!C147,'Customer Info'!C147:C646,1)</f>
        <v>Sorensen</v>
      </c>
      <c r="I155" s="6" t="str">
        <f>VLOOKUP('Customer Info'!E147,'Customer Info'!E147:E646,1,0)</f>
        <v>Gold Coast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588</v>
      </c>
      <c r="R155" s="2" t="s">
        <v>28</v>
      </c>
      <c r="S155" s="9">
        <f t="shared" si="14"/>
        <v>0.05</v>
      </c>
    </row>
    <row r="156" spans="1:19" x14ac:dyDescent="0.3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VLOOKUP('Customer Info'!B148,'Customer Info'!B148:B647,1,0)</f>
        <v>Dianna</v>
      </c>
      <c r="H156" s="6" t="str">
        <f>VLOOKUP('Customer Info'!C148,'Customer Info'!C148:C647,1)</f>
        <v>Sorensen</v>
      </c>
      <c r="I156" s="6" t="str">
        <f>VLOOKUP('Customer Info'!E148,'Customer Info'!E148:E647,1,0)</f>
        <v>Pematangsiantar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1328</v>
      </c>
      <c r="R156" s="2" t="s">
        <v>50</v>
      </c>
      <c r="S156" s="9">
        <f t="shared" si="14"/>
        <v>0.05</v>
      </c>
    </row>
    <row r="157" spans="1:19" x14ac:dyDescent="0.3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VLOOKUP('Customer Info'!B149,'Customer Info'!B149:B648,1,0)</f>
        <v>Dianna</v>
      </c>
      <c r="H157" s="6" t="str">
        <f>VLOOKUP('Customer Info'!C149,'Customer Info'!C149:C648,1)</f>
        <v>Brennan</v>
      </c>
      <c r="I157" s="6" t="str">
        <f>VLOOKUP('Customer Info'!E149,'Customer Info'!E149:E648,1,0)</f>
        <v>Cottbus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2850</v>
      </c>
      <c r="R157" s="2" t="s">
        <v>28</v>
      </c>
      <c r="S157" s="9">
        <f t="shared" si="14"/>
        <v>7.0000000000000007E-2</v>
      </c>
    </row>
    <row r="158" spans="1:19" x14ac:dyDescent="0.3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VLOOKUP('Customer Info'!B150,'Customer Info'!B150:B649,1,0)</f>
        <v>Dionis</v>
      </c>
      <c r="H158" s="6" t="str">
        <f>VLOOKUP('Customer Info'!C150,'Customer Info'!C150:C649,1)</f>
        <v>Cartwright</v>
      </c>
      <c r="I158" s="6" t="str">
        <f>VLOOKUP('Customer Info'!E150,'Customer Info'!E150:E649,1,0)</f>
        <v>Kamarhati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303</v>
      </c>
      <c r="R158" s="2" t="s">
        <v>50</v>
      </c>
      <c r="S158" s="9">
        <f t="shared" si="14"/>
        <v>0.05</v>
      </c>
    </row>
    <row r="159" spans="1:19" x14ac:dyDescent="0.3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VLOOKUP('Customer Info'!B151,'Customer Info'!B151:B650,1,0)</f>
        <v>Don</v>
      </c>
      <c r="H159" s="6" t="str">
        <f>VLOOKUP('Customer Info'!C151,'Customer Info'!C151:C650,1)</f>
        <v>Sorensen</v>
      </c>
      <c r="I159" s="6" t="str">
        <f>VLOOKUP('Customer Info'!E151,'Customer Info'!E151:E650,1,0)</f>
        <v>Sydney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15</v>
      </c>
      <c r="R159" s="2" t="s">
        <v>28</v>
      </c>
      <c r="S159" s="9">
        <f t="shared" si="14"/>
        <v>0.02</v>
      </c>
    </row>
    <row r="160" spans="1:19" x14ac:dyDescent="0.3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VLOOKUP('Customer Info'!B152,'Customer Info'!B152:B651,1,0)</f>
        <v>Dorothy</v>
      </c>
      <c r="H160" s="6" t="str">
        <f>VLOOKUP('Customer Info'!C152,'Customer Info'!C152:C651,1)</f>
        <v>Sorensen</v>
      </c>
      <c r="I160" s="6" t="str">
        <f>VLOOKUP('Customer Info'!E152,'Customer Info'!E152:E651,1,0)</f>
        <v>Sydney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450</v>
      </c>
      <c r="R160" s="2" t="s">
        <v>50</v>
      </c>
      <c r="S160" s="9">
        <f t="shared" si="14"/>
        <v>0.05</v>
      </c>
    </row>
    <row r="161" spans="1:19" x14ac:dyDescent="0.3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VLOOKUP('Customer Info'!B153,'Customer Info'!B153:B652,1,0)</f>
        <v>Dorothy</v>
      </c>
      <c r="H161" s="6" t="str">
        <f>VLOOKUP('Customer Info'!C153,'Customer Info'!C153:C652,1)</f>
        <v>Badders</v>
      </c>
      <c r="I161" s="6" t="str">
        <f>VLOOKUP('Customer Info'!E153,'Customer Info'!E153:E652,1,0)</f>
        <v>Nanning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126</v>
      </c>
      <c r="R161" s="2" t="s">
        <v>28</v>
      </c>
      <c r="S161" s="9">
        <f t="shared" si="14"/>
        <v>0.02</v>
      </c>
    </row>
    <row r="162" spans="1:19" x14ac:dyDescent="0.3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VLOOKUP('Customer Info'!B154,'Customer Info'!B154:B653,1,0)</f>
        <v>Duane</v>
      </c>
      <c r="H162" s="6" t="str">
        <f>VLOOKUP('Customer Info'!C154,'Customer Info'!C154:C653,1)</f>
        <v>Akin</v>
      </c>
      <c r="I162" s="6" t="str">
        <f>VLOOKUP('Customer Info'!E154,'Customer Info'!E154:E653,1,0)</f>
        <v>Tamworth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201</v>
      </c>
      <c r="R162" s="2" t="s">
        <v>50</v>
      </c>
      <c r="S162" s="9">
        <f t="shared" si="14"/>
        <v>0.02</v>
      </c>
    </row>
    <row r="163" spans="1:19" x14ac:dyDescent="0.3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VLOOKUP('Customer Info'!B155,'Customer Info'!B155:B654,1,0)</f>
        <v>Duane</v>
      </c>
      <c r="H163" s="6" t="str">
        <f>VLOOKUP('Customer Info'!C155,'Customer Info'!C155:C654,1)</f>
        <v>Brown</v>
      </c>
      <c r="I163" s="6" t="str">
        <f>VLOOKUP('Customer Info'!E155,'Customer Info'!E155:E654,1,0)</f>
        <v>Jakarta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16</v>
      </c>
      <c r="R163" s="2" t="s">
        <v>28</v>
      </c>
      <c r="S163" s="9">
        <f t="shared" si="14"/>
        <v>0.02</v>
      </c>
    </row>
    <row r="164" spans="1:19" x14ac:dyDescent="0.3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VLOOKUP('Customer Info'!B156,'Customer Info'!B156:B655,1,0)</f>
        <v>Duane</v>
      </c>
      <c r="H164" s="6" t="str">
        <f>VLOOKUP('Customer Info'!C156,'Customer Info'!C156:C655,1)</f>
        <v>Brennan</v>
      </c>
      <c r="I164" s="6" t="str">
        <f>VLOOKUP('Customer Info'!E156,'Customer Info'!E156:E655,1,0)</f>
        <v>Perth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8</v>
      </c>
      <c r="R164" s="2" t="s">
        <v>28</v>
      </c>
      <c r="S164" s="9">
        <f t="shared" si="14"/>
        <v>0.02</v>
      </c>
    </row>
    <row r="165" spans="1:19" x14ac:dyDescent="0.3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VLOOKUP('Customer Info'!B157,'Customer Info'!B157:B656,1,0)</f>
        <v>Duane</v>
      </c>
      <c r="H165" s="6" t="str">
        <f>VLOOKUP('Customer Info'!C157,'Customer Info'!C157:C656,1)</f>
        <v>Braunhardt</v>
      </c>
      <c r="I165" s="6" t="str">
        <f>VLOOKUP('Customer Info'!E157,'Customer Info'!E157:E656,1,0)</f>
        <v>Durg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1620</v>
      </c>
      <c r="R165" s="2" t="s">
        <v>28</v>
      </c>
      <c r="S165" s="9">
        <f t="shared" si="14"/>
        <v>0.05</v>
      </c>
    </row>
    <row r="166" spans="1:19" x14ac:dyDescent="0.3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VLOOKUP('Customer Info'!B158,'Customer Info'!B158:B657,1,0)</f>
        <v>Ed</v>
      </c>
      <c r="H166" s="6" t="str">
        <f>VLOOKUP('Customer Info'!C158,'Customer Info'!C158:C657,1)</f>
        <v>Braxton</v>
      </c>
      <c r="I166" s="6" t="str">
        <f>VLOOKUP('Customer Info'!E158,'Customer Info'!E158:E657,1,0)</f>
        <v>Bhatpara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2996</v>
      </c>
      <c r="R166" s="2" t="s">
        <v>28</v>
      </c>
      <c r="S166" s="9">
        <f t="shared" si="14"/>
        <v>0.09</v>
      </c>
    </row>
    <row r="167" spans="1:19" x14ac:dyDescent="0.3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VLOOKUP('Customer Info'!B159,'Customer Info'!B159:B658,1,0)</f>
        <v>Eileen</v>
      </c>
      <c r="H167" s="6" t="str">
        <f>VLOOKUP('Customer Info'!C159,'Customer Info'!C159:C658,1)</f>
        <v>Daniels</v>
      </c>
      <c r="I167" s="6" t="str">
        <f>VLOOKUP('Customer Info'!E159,'Customer Info'!E159:E658,1,0)</f>
        <v>Hamm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594</v>
      </c>
      <c r="R167" s="2" t="s">
        <v>26</v>
      </c>
      <c r="S167" s="9">
        <f t="shared" si="14"/>
        <v>0.05</v>
      </c>
    </row>
    <row r="168" spans="1:19" x14ac:dyDescent="0.3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VLOOKUP('Customer Info'!B160,'Customer Info'!B160:B659,1,0)</f>
        <v>Eileen</v>
      </c>
      <c r="H168" s="6" t="str">
        <f>VLOOKUP('Customer Info'!C160,'Customer Info'!C160:C659,1)</f>
        <v>Braunhardt</v>
      </c>
      <c r="I168" s="6" t="str">
        <f>VLOOKUP('Customer Info'!E160,'Customer Info'!E160:E659,1,0)</f>
        <v>Cologne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1818</v>
      </c>
      <c r="R168" s="2" t="s">
        <v>28</v>
      </c>
      <c r="S168" s="9">
        <f t="shared" si="14"/>
        <v>0.05</v>
      </c>
    </row>
    <row r="169" spans="1:19" x14ac:dyDescent="0.3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VLOOKUP('Customer Info'!B161,'Customer Info'!B161:B660,1,0)</f>
        <v>Elpida</v>
      </c>
      <c r="H169" s="6" t="str">
        <f>VLOOKUP('Customer Info'!C161,'Customer Info'!C161:C660,1)</f>
        <v>Elliston</v>
      </c>
      <c r="I169" s="6" t="str">
        <f>VLOOKUP('Customer Info'!E161,'Customer Info'!E161:E660,1,0)</f>
        <v>Melbourne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336</v>
      </c>
      <c r="R169" s="2" t="s">
        <v>28</v>
      </c>
      <c r="S169" s="9">
        <f t="shared" si="14"/>
        <v>0.02</v>
      </c>
    </row>
    <row r="170" spans="1:19" x14ac:dyDescent="0.3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VLOOKUP('Customer Info'!B162,'Customer Info'!B162:B661,1,0)</f>
        <v>Emily</v>
      </c>
      <c r="H170" s="6" t="str">
        <f>VLOOKUP('Customer Info'!C162,'Customer Info'!C162:C661,1)</f>
        <v>Burns</v>
      </c>
      <c r="I170" s="6" t="str">
        <f>VLOOKUP('Customer Info'!E162,'Customer Info'!E162:E661,1,0)</f>
        <v>Adelaide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32</v>
      </c>
      <c r="R170" s="2" t="s">
        <v>50</v>
      </c>
      <c r="S170" s="9">
        <f t="shared" si="14"/>
        <v>0.02</v>
      </c>
    </row>
    <row r="171" spans="1:19" x14ac:dyDescent="0.3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VLOOKUP('Customer Info'!B163,'Customer Info'!B163:B662,1,0)</f>
        <v>Emily</v>
      </c>
      <c r="H171" s="6" t="str">
        <f>VLOOKUP('Customer Info'!C163,'Customer Info'!C163:C662,1)</f>
        <v>Brown</v>
      </c>
      <c r="I171" s="6" t="str">
        <f>VLOOKUP('Customer Info'!E163,'Customer Info'!E163:E662,1,0)</f>
        <v>Lohne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1750</v>
      </c>
      <c r="R171" s="2" t="s">
        <v>28</v>
      </c>
      <c r="S171" s="9">
        <f t="shared" si="14"/>
        <v>0.05</v>
      </c>
    </row>
    <row r="172" spans="1:19" x14ac:dyDescent="0.3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VLOOKUP('Customer Info'!B164,'Customer Info'!B164:B663,1,0)</f>
        <v>Emily</v>
      </c>
      <c r="H172" s="6" t="str">
        <f>VLOOKUP('Customer Info'!C164,'Customer Info'!C164:C663,1)</f>
        <v>Caffey</v>
      </c>
      <c r="I172" s="6" t="str">
        <f>VLOOKUP('Customer Info'!E164,'Customer Info'!E164:E663,1,0)</f>
        <v>Pimpri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98</v>
      </c>
      <c r="R172" s="2" t="s">
        <v>50</v>
      </c>
      <c r="S172" s="9">
        <f t="shared" si="14"/>
        <v>0.02</v>
      </c>
    </row>
    <row r="173" spans="1:19" x14ac:dyDescent="0.3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VLOOKUP('Customer Info'!B165,'Customer Info'!B165:B664,1,0)</f>
        <v>Emily</v>
      </c>
      <c r="H173" s="6" t="str">
        <f>VLOOKUP('Customer Info'!C165,'Customer Info'!C165:C664,1)</f>
        <v>Bailliet</v>
      </c>
      <c r="I173" s="6" t="str">
        <f>VLOOKUP('Customer Info'!E165,'Customer Info'!E165:E664,1,0)</f>
        <v>Nasik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572</v>
      </c>
      <c r="R173" s="2" t="s">
        <v>28</v>
      </c>
      <c r="S173" s="9">
        <f t="shared" si="14"/>
        <v>0.05</v>
      </c>
    </row>
    <row r="174" spans="1:19" x14ac:dyDescent="0.3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VLOOKUP('Customer Info'!B166,'Customer Info'!B166:B665,1,0)</f>
        <v>Emily</v>
      </c>
      <c r="H174" s="6" t="str">
        <f>VLOOKUP('Customer Info'!C166,'Customer Info'!C166:C665,1)</f>
        <v>Bern</v>
      </c>
      <c r="I174" s="6" t="str">
        <f>VLOOKUP('Customer Info'!E166,'Customer Info'!E166:E665,1,0)</f>
        <v>Chennai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6266</v>
      </c>
      <c r="R174" s="2" t="s">
        <v>28</v>
      </c>
      <c r="S174" s="9">
        <f t="shared" si="14"/>
        <v>0.09</v>
      </c>
    </row>
    <row r="175" spans="1:19" x14ac:dyDescent="0.3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VLOOKUP('Customer Info'!B167,'Customer Info'!B167:B666,1,0)</f>
        <v>Eric</v>
      </c>
      <c r="H175" s="6" t="str">
        <f>VLOOKUP('Customer Info'!C167,'Customer Info'!C167:C666,1)</f>
        <v>Barreto</v>
      </c>
      <c r="I175" s="6" t="str">
        <f>VLOOKUP('Customer Info'!E167,'Customer Info'!E167:E666,1,0)</f>
        <v>Liaoyang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72</v>
      </c>
      <c r="R175" s="2" t="s">
        <v>50</v>
      </c>
      <c r="S175" s="9">
        <f t="shared" si="14"/>
        <v>0.02</v>
      </c>
    </row>
    <row r="176" spans="1:19" x14ac:dyDescent="0.3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VLOOKUP('Customer Info'!B168,'Customer Info'!B168:B667,1,0)</f>
        <v>Erica</v>
      </c>
      <c r="H176" s="6" t="str">
        <f>VLOOKUP('Customer Info'!C168,'Customer Info'!C168:C667,1)</f>
        <v>Brennan</v>
      </c>
      <c r="I176" s="6" t="str">
        <f>VLOOKUP('Customer Info'!E168,'Customer Info'!E168:E667,1,0)</f>
        <v>Halle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127</v>
      </c>
      <c r="R176" s="2" t="s">
        <v>28</v>
      </c>
      <c r="S176" s="9">
        <f t="shared" si="14"/>
        <v>0.02</v>
      </c>
    </row>
    <row r="177" spans="1:19" x14ac:dyDescent="0.3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VLOOKUP('Customer Info'!B169,'Customer Info'!B169:B668,1,0)</f>
        <v>Erica</v>
      </c>
      <c r="H177" s="6" t="str">
        <f>VLOOKUP('Customer Info'!C169,'Customer Info'!C169:C668,1)</f>
        <v>Ellison</v>
      </c>
      <c r="I177" s="6" t="str">
        <f>VLOOKUP('Customer Info'!E169,'Customer Info'!E169:E668,1,0)</f>
        <v>Adelaide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52</v>
      </c>
      <c r="R177" s="2" t="s">
        <v>50</v>
      </c>
      <c r="S177" s="9">
        <f t="shared" si="14"/>
        <v>0.02</v>
      </c>
    </row>
    <row r="178" spans="1:19" x14ac:dyDescent="0.3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VLOOKUP('Customer Info'!B170,'Customer Info'!B170:B669,1,0)</f>
        <v>Erica</v>
      </c>
      <c r="H178" s="6" t="str">
        <f>VLOOKUP('Customer Info'!C170,'Customer Info'!C170:C669,1)</f>
        <v>Chand</v>
      </c>
      <c r="I178" s="6" t="str">
        <f>VLOOKUP('Customer Info'!E170,'Customer Info'!E170:E669,1,0)</f>
        <v>Gold Coast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219</v>
      </c>
      <c r="R178" s="2" t="s">
        <v>26</v>
      </c>
      <c r="S178" s="9">
        <f t="shared" si="14"/>
        <v>0.02</v>
      </c>
    </row>
    <row r="179" spans="1:19" x14ac:dyDescent="0.3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VLOOKUP('Customer Info'!B171,'Customer Info'!B171:B670,1,0)</f>
        <v>Erica</v>
      </c>
      <c r="H179" s="6" t="str">
        <f>VLOOKUP('Customer Info'!C171,'Customer Info'!C171:C670,1)</f>
        <v>Brown</v>
      </c>
      <c r="I179" s="6" t="str">
        <f>VLOOKUP('Customer Info'!E171,'Customer Info'!E171:E670,1,0)</f>
        <v>Perth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312</v>
      </c>
      <c r="R179" s="2" t="s">
        <v>28</v>
      </c>
      <c r="S179" s="9">
        <f t="shared" si="14"/>
        <v>0.05</v>
      </c>
    </row>
    <row r="180" spans="1:19" x14ac:dyDescent="0.3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VLOOKUP('Customer Info'!B172,'Customer Info'!B172:B671,1,0)</f>
        <v>Erin</v>
      </c>
      <c r="H180" s="6" t="str">
        <f>VLOOKUP('Customer Info'!C172,'Customer Info'!C172:C671,1)</f>
        <v>Collister</v>
      </c>
      <c r="I180" s="6" t="str">
        <f>VLOOKUP('Customer Info'!E172,'Customer Info'!E172:E671,1,0)</f>
        <v>Yuci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32</v>
      </c>
      <c r="R180" s="2" t="s">
        <v>28</v>
      </c>
      <c r="S180" s="9">
        <f t="shared" si="14"/>
        <v>0.02</v>
      </c>
    </row>
    <row r="181" spans="1:19" x14ac:dyDescent="0.3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VLOOKUP('Customer Info'!B173,'Customer Info'!B173:B672,1,0)</f>
        <v>Erin</v>
      </c>
      <c r="H181" s="6" t="str">
        <f>VLOOKUP('Customer Info'!C173,'Customer Info'!C173:C672,1)</f>
        <v>Preis</v>
      </c>
      <c r="I181" s="6" t="str">
        <f>VLOOKUP('Customer Info'!E173,'Customer Info'!E173:E672,1,0)</f>
        <v>Bremen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768</v>
      </c>
      <c r="R181" s="2" t="s">
        <v>50</v>
      </c>
      <c r="S181" s="9">
        <f t="shared" si="14"/>
        <v>0.05</v>
      </c>
    </row>
    <row r="182" spans="1:19" x14ac:dyDescent="0.3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VLOOKUP('Customer Info'!B174,'Customer Info'!B174:B673,1,0)</f>
        <v>Eugene</v>
      </c>
      <c r="H182" s="6" t="str">
        <f>VLOOKUP('Customer Info'!C174,'Customer Info'!C174:C673,1)</f>
        <v>Mitchum</v>
      </c>
      <c r="I182" s="6" t="str">
        <f>VLOOKUP('Customer Info'!E174,'Customer Info'!E174:E673,1,0)</f>
        <v>Patiala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45</v>
      </c>
      <c r="R182" s="2" t="s">
        <v>50</v>
      </c>
      <c r="S182" s="9">
        <f t="shared" si="14"/>
        <v>0.02</v>
      </c>
    </row>
    <row r="183" spans="1:19" x14ac:dyDescent="0.3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VLOOKUP('Customer Info'!B175,'Customer Info'!B175:B674,1,0)</f>
        <v>Eugene</v>
      </c>
      <c r="H183" s="6" t="str">
        <f>VLOOKUP('Customer Info'!C175,'Customer Info'!C175:C674,1)</f>
        <v>Deggeller</v>
      </c>
      <c r="I183" s="6" t="str">
        <f>VLOOKUP('Customer Info'!E175,'Customer Info'!E175:E674,1,0)</f>
        <v>Liaocheng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118</v>
      </c>
      <c r="R183" s="2" t="s">
        <v>28</v>
      </c>
      <c r="S183" s="9">
        <f t="shared" si="14"/>
        <v>0.02</v>
      </c>
    </row>
    <row r="184" spans="1:19" x14ac:dyDescent="0.3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VLOOKUP('Customer Info'!B176,'Customer Info'!B176:B675,1,0)</f>
        <v>Eugene</v>
      </c>
      <c r="H184" s="6" t="str">
        <f>VLOOKUP('Customer Info'!C176,'Customer Info'!C176:C675,1)</f>
        <v>Collister</v>
      </c>
      <c r="I184" s="6" t="str">
        <f>VLOOKUP('Customer Info'!E176,'Customer Info'!E176:E675,1,0)</f>
        <v>Coffs Harbour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273</v>
      </c>
      <c r="R184" s="2" t="s">
        <v>50</v>
      </c>
      <c r="S184" s="9">
        <f t="shared" si="14"/>
        <v>0.05</v>
      </c>
    </row>
    <row r="185" spans="1:19" x14ac:dyDescent="0.3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VLOOKUP('Customer Info'!B177,'Customer Info'!B177:B676,1,0)</f>
        <v>Eugene</v>
      </c>
      <c r="H185" s="6" t="str">
        <f>VLOOKUP('Customer Info'!C177,'Customer Info'!C177:C676,1)</f>
        <v>Abelman</v>
      </c>
      <c r="I185" s="6" t="str">
        <f>VLOOKUP('Customer Info'!E177,'Customer Info'!E177:E676,1,0)</f>
        <v>Aksu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168</v>
      </c>
      <c r="R185" s="2" t="s">
        <v>28</v>
      </c>
      <c r="S185" s="9">
        <f t="shared" si="14"/>
        <v>0.02</v>
      </c>
    </row>
    <row r="186" spans="1:19" x14ac:dyDescent="0.3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VLOOKUP('Customer Info'!B178,'Customer Info'!B178:B677,1,0)</f>
        <v>Eugene</v>
      </c>
      <c r="H186" s="6" t="str">
        <f>VLOOKUP('Customer Info'!C178,'Customer Info'!C178:C677,1)</f>
        <v>Beltran</v>
      </c>
      <c r="I186" s="6" t="str">
        <f>VLOOKUP('Customer Info'!E178,'Customer Info'!E178:E677,1,0)</f>
        <v>Sindelfingen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512</v>
      </c>
      <c r="R186" s="2" t="s">
        <v>26</v>
      </c>
      <c r="S186" s="9">
        <f t="shared" si="14"/>
        <v>0.05</v>
      </c>
    </row>
    <row r="187" spans="1:19" x14ac:dyDescent="0.3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VLOOKUP('Customer Info'!B179,'Customer Info'!B179:B678,1,0)</f>
        <v>Evan</v>
      </c>
      <c r="H187" s="6" t="str">
        <f>VLOOKUP('Customer Info'!C179,'Customer Info'!C179:C678,1)</f>
        <v>Bailliet</v>
      </c>
      <c r="I187" s="6" t="str">
        <f>VLOOKUP('Customer Info'!E179,'Customer Info'!E179:E678,1,0)</f>
        <v>Brisbane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70</v>
      </c>
      <c r="R187" s="2" t="s">
        <v>56</v>
      </c>
      <c r="S187" s="9">
        <f t="shared" si="14"/>
        <v>0.02</v>
      </c>
    </row>
    <row r="188" spans="1:19" x14ac:dyDescent="0.3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VLOOKUP('Customer Info'!B180,'Customer Info'!B180:B679,1,0)</f>
        <v>Evan</v>
      </c>
      <c r="H188" s="6" t="str">
        <f>VLOOKUP('Customer Info'!C180,'Customer Info'!C180:C679,1)</f>
        <v>Bailliet</v>
      </c>
      <c r="I188" s="6" t="str">
        <f>VLOOKUP('Customer Info'!E180,'Customer Info'!E180:E679,1,0)</f>
        <v>Sydney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1437</v>
      </c>
      <c r="R188" s="2" t="s">
        <v>28</v>
      </c>
      <c r="S188" s="9">
        <f t="shared" si="14"/>
        <v>0.05</v>
      </c>
    </row>
    <row r="189" spans="1:19" x14ac:dyDescent="0.3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VLOOKUP('Customer Info'!B181,'Customer Info'!B181:B680,1,0)</f>
        <v>Evan</v>
      </c>
      <c r="H189" s="6" t="str">
        <f>VLOOKUP('Customer Info'!C181,'Customer Info'!C181:C680,1)</f>
        <v>Hawley</v>
      </c>
      <c r="I189" s="6" t="str">
        <f>VLOOKUP('Customer Info'!E181,'Customer Info'!E181:E680,1,0)</f>
        <v>Zhoukou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7</v>
      </c>
      <c r="R189" s="2" t="s">
        <v>50</v>
      </c>
      <c r="S189" s="9">
        <f t="shared" si="14"/>
        <v>0.02</v>
      </c>
    </row>
    <row r="190" spans="1:19" x14ac:dyDescent="0.3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VLOOKUP('Customer Info'!B182,'Customer Info'!B182:B681,1,0)</f>
        <v>Filia</v>
      </c>
      <c r="H190" s="6" t="str">
        <f>VLOOKUP('Customer Info'!C182,'Customer Info'!C182:C681,1)</f>
        <v>Brown</v>
      </c>
      <c r="I190" s="6" t="str">
        <f>VLOOKUP('Customer Info'!E182,'Customer Info'!E182:E681,1,0)</f>
        <v>Lucknow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472</v>
      </c>
      <c r="R190" s="2" t="s">
        <v>28</v>
      </c>
      <c r="S190" s="9">
        <f t="shared" si="14"/>
        <v>0.05</v>
      </c>
    </row>
    <row r="191" spans="1:19" x14ac:dyDescent="0.3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VLOOKUP('Customer Info'!B183,'Customer Info'!B183:B682,1,0)</f>
        <v>Frank</v>
      </c>
      <c r="H191" s="6" t="str">
        <f>VLOOKUP('Customer Info'!C183,'Customer Info'!C183:C682,1)</f>
        <v>Franzšsisch</v>
      </c>
      <c r="I191" s="6" t="str">
        <f>VLOOKUP('Customer Info'!E183,'Customer Info'!E183:E682,1,0)</f>
        <v>Gold Coast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1548</v>
      </c>
      <c r="R191" s="2" t="s">
        <v>26</v>
      </c>
      <c r="S191" s="9">
        <f t="shared" si="14"/>
        <v>0.05</v>
      </c>
    </row>
    <row r="192" spans="1:19" x14ac:dyDescent="0.3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VLOOKUP('Customer Info'!B184,'Customer Info'!B184:B683,1,0)</f>
        <v>Fred</v>
      </c>
      <c r="H192" s="6" t="str">
        <f>VLOOKUP('Customer Info'!C184,'Customer Info'!C184:C683,1)</f>
        <v>Brown</v>
      </c>
      <c r="I192" s="6" t="str">
        <f>VLOOKUP('Customer Info'!E184,'Customer Info'!E184:E683,1,0)</f>
        <v>Sydney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742</v>
      </c>
      <c r="R192" s="2" t="s">
        <v>28</v>
      </c>
      <c r="S192" s="9">
        <f t="shared" si="14"/>
        <v>0.05</v>
      </c>
    </row>
    <row r="193" spans="1:19" x14ac:dyDescent="0.3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VLOOKUP('Customer Info'!B185,'Customer Info'!B185:B684,1,0)</f>
        <v>Fred</v>
      </c>
      <c r="H193" s="6" t="str">
        <f>VLOOKUP('Customer Info'!C185,'Customer Info'!C185:C684,1)</f>
        <v>Sorensen</v>
      </c>
      <c r="I193" s="6" t="str">
        <f>VLOOKUP('Customer Info'!E185,'Customer Info'!E185:E684,1,0)</f>
        <v>Willich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472</v>
      </c>
      <c r="R193" s="2" t="s">
        <v>28</v>
      </c>
      <c r="S193" s="9">
        <f t="shared" si="14"/>
        <v>0.05</v>
      </c>
    </row>
    <row r="194" spans="1:19" x14ac:dyDescent="0.3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VLOOKUP('Customer Info'!B186,'Customer Info'!B186:B685,1,0)</f>
        <v>Gary</v>
      </c>
      <c r="H194" s="6" t="str">
        <f>VLOOKUP('Customer Info'!C186,'Customer Info'!C186:C685,1)</f>
        <v>Brown</v>
      </c>
      <c r="I194" s="6" t="str">
        <f>VLOOKUP('Customer Info'!E186,'Customer Info'!E186:E685,1,0)</f>
        <v>Dewas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1620</v>
      </c>
      <c r="R194" s="2" t="s">
        <v>28</v>
      </c>
      <c r="S194" s="9">
        <f t="shared" si="14"/>
        <v>0.05</v>
      </c>
    </row>
    <row r="195" spans="1:19" x14ac:dyDescent="0.3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VLOOKUP('Customer Info'!B187,'Customer Info'!B187:B686,1,0)</f>
        <v>Gary</v>
      </c>
      <c r="H195" s="6" t="str">
        <f>VLOOKUP('Customer Info'!C187,'Customer Info'!C187:C686,1)</f>
        <v>Sorensen</v>
      </c>
      <c r="I195" s="6" t="str">
        <f>VLOOKUP('Customer Info'!E187,'Customer Info'!E187:E686,1,0)</f>
        <v>Aligarh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512</v>
      </c>
      <c r="R195" s="2" t="s">
        <v>50</v>
      </c>
      <c r="S195" s="9">
        <f t="shared" si="14"/>
        <v>0.05</v>
      </c>
    </row>
    <row r="196" spans="1:19" x14ac:dyDescent="0.3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VLOOKUP('Customer Info'!B188,'Customer Info'!B188:B687,1,0)</f>
        <v>Gary</v>
      </c>
      <c r="H196" s="6" t="str">
        <f>VLOOKUP('Customer Info'!C188,'Customer Info'!C188:C687,1)</f>
        <v>Sorensen</v>
      </c>
      <c r="I196" s="6" t="str">
        <f>VLOOKUP('Customer Info'!E188,'Customer Info'!E188:E687,1,0)</f>
        <v>Gold Coast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72</v>
      </c>
      <c r="R196" s="2" t="s">
        <v>28</v>
      </c>
      <c r="S196" s="9">
        <f t="shared" si="14"/>
        <v>0.02</v>
      </c>
    </row>
    <row r="197" spans="1:19" x14ac:dyDescent="0.3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VLOOKUP('Customer Info'!B189,'Customer Info'!B189:B688,1,0)</f>
        <v>Gary</v>
      </c>
      <c r="H197" s="6" t="str">
        <f>VLOOKUP('Customer Info'!C189,'Customer Info'!C189:C688,1)</f>
        <v>Mitchum</v>
      </c>
      <c r="I197" s="6" t="str">
        <f>VLOOKUP('Customer Info'!E189,'Customer Info'!E189:E688,1,0)</f>
        <v>Mildura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1895</v>
      </c>
      <c r="R197" s="2" t="s">
        <v>50</v>
      </c>
      <c r="S197" s="9">
        <f t="shared" si="14"/>
        <v>7.0000000000000007E-2</v>
      </c>
    </row>
    <row r="198" spans="1:19" x14ac:dyDescent="0.3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VLOOKUP('Customer Info'!B190,'Customer Info'!B190:B689,1,0)</f>
        <v>George</v>
      </c>
      <c r="H198" s="6" t="str">
        <f>VLOOKUP('Customer Info'!C190,'Customer Info'!C190:C689,1)</f>
        <v>Ashbrook</v>
      </c>
      <c r="I198" s="6" t="str">
        <f>VLOOKUP('Customer Info'!E190,'Customer Info'!E190:E689,1,0)</f>
        <v>Jakarta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621</v>
      </c>
      <c r="R198" s="2" t="s">
        <v>50</v>
      </c>
      <c r="S198" s="9">
        <f t="shared" si="14"/>
        <v>0.05</v>
      </c>
    </row>
    <row r="199" spans="1:19" x14ac:dyDescent="0.3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VLOOKUP('Customer Info'!B191,'Customer Info'!B191:B690,1,0)</f>
        <v>Georgia</v>
      </c>
      <c r="H199" s="6" t="str">
        <f>VLOOKUP('Customer Info'!C191,'Customer Info'!C191:C690,1)</f>
        <v>Braunhardt</v>
      </c>
      <c r="I199" s="6" t="str">
        <f>VLOOKUP('Customer Info'!E191,'Customer Info'!E191:E690,1,0)</f>
        <v>Srinagar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8</v>
      </c>
      <c r="R199" s="2" t="s">
        <v>28</v>
      </c>
      <c r="S199" s="9">
        <f t="shared" si="14"/>
        <v>0.02</v>
      </c>
    </row>
    <row r="200" spans="1:19" x14ac:dyDescent="0.3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VLOOKUP('Customer Info'!B192,'Customer Info'!B192:B691,1,0)</f>
        <v>Giulietta</v>
      </c>
      <c r="H200" s="6" t="str">
        <f>VLOOKUP('Customer Info'!C192,'Customer Info'!C192:C691,1)</f>
        <v>Sorensen</v>
      </c>
      <c r="I200" s="6" t="str">
        <f>VLOOKUP('Customer Info'!E192,'Customer Info'!E192:E691,1,0)</f>
        <v>Suihua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30</v>
      </c>
      <c r="R200" s="2" t="s">
        <v>26</v>
      </c>
      <c r="S200" s="9">
        <f t="shared" si="14"/>
        <v>0.02</v>
      </c>
    </row>
    <row r="201" spans="1:19" x14ac:dyDescent="0.3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VLOOKUP('Customer Info'!B193,'Customer Info'!B193:B692,1,0)</f>
        <v>Greg</v>
      </c>
      <c r="H201" s="6" t="str">
        <f>VLOOKUP('Customer Info'!C193,'Customer Info'!C193:C692,1)</f>
        <v>Sorensen</v>
      </c>
      <c r="I201" s="6" t="str">
        <f>VLOOKUP('Customer Info'!E193,'Customer Info'!E193:E692,1,0)</f>
        <v>Recklinghausen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470</v>
      </c>
      <c r="R201" s="2" t="s">
        <v>28</v>
      </c>
      <c r="S201" s="9">
        <f t="shared" si="14"/>
        <v>0.05</v>
      </c>
    </row>
    <row r="202" spans="1:19" x14ac:dyDescent="0.3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VLOOKUP('Customer Info'!B194,'Customer Info'!B194:B693,1,0)</f>
        <v>Greg</v>
      </c>
      <c r="H202" s="6" t="str">
        <f>VLOOKUP('Customer Info'!C194,'Customer Info'!C194:C693,1)</f>
        <v>Dilbeck</v>
      </c>
      <c r="I202" s="6" t="str">
        <f>VLOOKUP('Customer Info'!E194,'Customer Info'!E194:E693,1,0)</f>
        <v>Canberra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224</v>
      </c>
      <c r="R202" s="2" t="s">
        <v>28</v>
      </c>
      <c r="S202" s="9">
        <f t="shared" si="14"/>
        <v>0.05</v>
      </c>
    </row>
    <row r="203" spans="1:19" x14ac:dyDescent="0.3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VLOOKUP('Customer Info'!B195,'Customer Info'!B195:B694,1,0)</f>
        <v>Guy</v>
      </c>
      <c r="H203" s="6" t="str">
        <f>VLOOKUP('Customer Info'!C195,'Customer Info'!C195:C694,1)</f>
        <v>Braunhardt</v>
      </c>
      <c r="I203" s="6" t="str">
        <f>VLOOKUP('Customer Info'!E195,'Customer Info'!E195:E694,1,0)</f>
        <v>Jodhpur</v>
      </c>
      <c r="J203" s="2">
        <v>2242</v>
      </c>
      <c r="K203" s="2">
        <v>2075</v>
      </c>
      <c r="L203" s="2">
        <v>4</v>
      </c>
      <c r="M203" s="7">
        <f t="shared" ref="M203:M266" si="15">(K203*L203)</f>
        <v>8300</v>
      </c>
      <c r="N203" s="7">
        <f t="shared" ref="N203:N266" si="16">(J203*L203)</f>
        <v>8968</v>
      </c>
      <c r="O203" s="2">
        <v>94</v>
      </c>
      <c r="P203" s="8">
        <f t="shared" ref="P203:P266" si="17">(N203+O203)</f>
        <v>9062</v>
      </c>
      <c r="Q203" s="8">
        <f t="shared" ref="Q203:Q266" si="18">(N203-M203)</f>
        <v>668</v>
      </c>
      <c r="R203" s="2" t="s">
        <v>28</v>
      </c>
      <c r="S203" s="9">
        <f t="shared" ref="S203:S266" si="19">_xlfn.IFS(P203&gt;250000,0.15,P203&gt;100000,0.12,P203&gt;50000,0.09,P203&gt;25000,0.07,P203&gt;5000,0.05,
 TRUE,0.02)</f>
        <v>0.05</v>
      </c>
    </row>
    <row r="204" spans="1:19" x14ac:dyDescent="0.3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VLOOKUP('Customer Info'!B196,'Customer Info'!B196:B695,1,0)</f>
        <v>Hallie</v>
      </c>
      <c r="H204" s="6" t="str">
        <f>VLOOKUP('Customer Info'!C196,'Customer Info'!C196:C695,1)</f>
        <v>Braunhardt</v>
      </c>
      <c r="I204" s="6" t="str">
        <f>VLOOKUP('Customer Info'!E196,'Customer Info'!E196:E695,1,0)</f>
        <v>Caloundra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990</v>
      </c>
      <c r="R204" s="2" t="s">
        <v>28</v>
      </c>
      <c r="S204" s="9">
        <f t="shared" si="19"/>
        <v>0.05</v>
      </c>
    </row>
    <row r="205" spans="1:19" x14ac:dyDescent="0.3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VLOOKUP('Customer Info'!B197,'Customer Info'!B197:B696,1,0)</f>
        <v>Harold</v>
      </c>
      <c r="H205" s="6" t="str">
        <f>VLOOKUP('Customer Info'!C197,'Customer Info'!C197:C696,1)</f>
        <v>Foulston</v>
      </c>
      <c r="I205" s="6" t="str">
        <f>VLOOKUP('Customer Info'!E197,'Customer Info'!E197:E696,1,0)</f>
        <v>Banda Aceh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840</v>
      </c>
      <c r="R205" s="2" t="s">
        <v>26</v>
      </c>
      <c r="S205" s="9">
        <f t="shared" si="19"/>
        <v>0.05</v>
      </c>
    </row>
    <row r="206" spans="1:19" x14ac:dyDescent="0.3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VLOOKUP('Customer Info'!B198,'Customer Info'!B198:B697,1,0)</f>
        <v>Harold</v>
      </c>
      <c r="H206" s="6" t="str">
        <f>VLOOKUP('Customer Info'!C198,'Customer Info'!C198:C697,1)</f>
        <v>Dahlen</v>
      </c>
      <c r="I206" s="6" t="str">
        <f>VLOOKUP('Customer Info'!E198,'Customer Info'!E198:E697,1,0)</f>
        <v>Melbourne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480</v>
      </c>
      <c r="R206" s="2" t="s">
        <v>50</v>
      </c>
      <c r="S206" s="9">
        <f t="shared" si="19"/>
        <v>0.02</v>
      </c>
    </row>
    <row r="207" spans="1:19" x14ac:dyDescent="0.3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VLOOKUP('Customer Info'!B199,'Customer Info'!B199:B698,1,0)</f>
        <v>Harold</v>
      </c>
      <c r="H207" s="6" t="str">
        <f>VLOOKUP('Customer Info'!C199,'Customer Info'!C199:C698,1)</f>
        <v>DeCherney</v>
      </c>
      <c r="I207" s="6" t="str">
        <f>VLOOKUP('Customer Info'!E199,'Customer Info'!E199:E698,1,0)</f>
        <v>Chennai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1152</v>
      </c>
      <c r="R207" s="2" t="s">
        <v>50</v>
      </c>
      <c r="S207" s="9">
        <f t="shared" si="19"/>
        <v>0.05</v>
      </c>
    </row>
    <row r="208" spans="1:19" x14ac:dyDescent="0.3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VLOOKUP('Customer Info'!B200,'Customer Info'!B200:B699,1,0)</f>
        <v>Harold</v>
      </c>
      <c r="H208" s="6" t="str">
        <f>VLOOKUP('Customer Info'!C200,'Customer Info'!C200:C699,1)</f>
        <v>Brown</v>
      </c>
      <c r="I208" s="6" t="str">
        <f>VLOOKUP('Customer Info'!E200,'Customer Info'!E200:E699,1,0)</f>
        <v>Jakarta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308</v>
      </c>
      <c r="R208" s="2" t="s">
        <v>50</v>
      </c>
      <c r="S208" s="9">
        <f t="shared" si="19"/>
        <v>0.02</v>
      </c>
    </row>
    <row r="209" spans="1:19" x14ac:dyDescent="0.3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VLOOKUP('Customer Info'!B201,'Customer Info'!B201:B700,1,0)</f>
        <v>Harry</v>
      </c>
      <c r="H209" s="6" t="str">
        <f>VLOOKUP('Customer Info'!C201,'Customer Info'!C201:C700,1)</f>
        <v>Boland</v>
      </c>
      <c r="I209" s="6" t="str">
        <f>VLOOKUP('Customer Info'!E201,'Customer Info'!E201:E700,1,0)</f>
        <v>Dortmund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1269</v>
      </c>
      <c r="R209" s="2" t="s">
        <v>28</v>
      </c>
      <c r="S209" s="9">
        <f t="shared" si="19"/>
        <v>0.05</v>
      </c>
    </row>
    <row r="210" spans="1:19" x14ac:dyDescent="0.3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VLOOKUP('Customer Info'!B202,'Customer Info'!B202:B701,1,0)</f>
        <v>Harry</v>
      </c>
      <c r="H210" s="6" t="str">
        <f>VLOOKUP('Customer Info'!C202,'Customer Info'!C202:C701,1)</f>
        <v>Brown</v>
      </c>
      <c r="I210" s="6" t="str">
        <f>VLOOKUP('Customer Info'!E202,'Customer Info'!E202:E701,1,0)</f>
        <v>Mataram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1802</v>
      </c>
      <c r="R210" s="2" t="s">
        <v>28</v>
      </c>
      <c r="S210" s="9">
        <f t="shared" si="19"/>
        <v>0.05</v>
      </c>
    </row>
    <row r="211" spans="1:19" x14ac:dyDescent="0.3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VLOOKUP('Customer Info'!B203,'Customer Info'!B203:B702,1,0)</f>
        <v>Heather</v>
      </c>
      <c r="H211" s="6" t="str">
        <f>VLOOKUP('Customer Info'!C203,'Customer Info'!C203:C702,1)</f>
        <v>Jackson</v>
      </c>
      <c r="I211" s="6" t="str">
        <f>VLOOKUP('Customer Info'!E203,'Customer Info'!E203:E702,1,0)</f>
        <v>Townsville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74</v>
      </c>
      <c r="R211" s="2" t="s">
        <v>26</v>
      </c>
      <c r="S211" s="9">
        <f t="shared" si="19"/>
        <v>0.02</v>
      </c>
    </row>
    <row r="212" spans="1:19" x14ac:dyDescent="0.3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VLOOKUP('Customer Info'!B204,'Customer Info'!B204:B703,1,0)</f>
        <v>Heather</v>
      </c>
      <c r="H212" s="6" t="str">
        <f>VLOOKUP('Customer Info'!C204,'Customer Info'!C204:C703,1)</f>
        <v>Fritzler</v>
      </c>
      <c r="I212" s="6" t="str">
        <f>VLOOKUP('Customer Info'!E204,'Customer Info'!E204:E703,1,0)</f>
        <v>Luoyang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128</v>
      </c>
      <c r="R212" s="2" t="s">
        <v>28</v>
      </c>
      <c r="S212" s="9">
        <f t="shared" si="19"/>
        <v>0.02</v>
      </c>
    </row>
    <row r="213" spans="1:19" x14ac:dyDescent="0.3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VLOOKUP('Customer Info'!B205,'Customer Info'!B205:B704,1,0)</f>
        <v>Helen</v>
      </c>
      <c r="H213" s="6" t="str">
        <f>VLOOKUP('Customer Info'!C205,'Customer Info'!C205:C704,1)</f>
        <v>Abelman</v>
      </c>
      <c r="I213" s="6" t="str">
        <f>VLOOKUP('Customer Info'!E205,'Customer Info'!E205:E704,1,0)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10</v>
      </c>
      <c r="R213" s="2" t="s">
        <v>50</v>
      </c>
      <c r="S213" s="9">
        <f t="shared" si="19"/>
        <v>0.02</v>
      </c>
    </row>
    <row r="214" spans="1:19" x14ac:dyDescent="0.3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VLOOKUP('Customer Info'!B206,'Customer Info'!B206:B705,1,0)</f>
        <v>Helen</v>
      </c>
      <c r="H214" s="6" t="str">
        <f>VLOOKUP('Customer Info'!C206,'Customer Info'!C206:C705,1)</f>
        <v>Abelman</v>
      </c>
      <c r="I214" s="6" t="str">
        <f>VLOOKUP('Customer Info'!E206,'Customer Info'!E206:E705,1,0)</f>
        <v>Munich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1712</v>
      </c>
      <c r="R214" s="2" t="s">
        <v>50</v>
      </c>
      <c r="S214" s="9">
        <f t="shared" si="19"/>
        <v>7.0000000000000007E-2</v>
      </c>
    </row>
    <row r="215" spans="1:19" x14ac:dyDescent="0.3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VLOOKUP('Customer Info'!B207,'Customer Info'!B207:B706,1,0)</f>
        <v>Helen</v>
      </c>
      <c r="H215" s="6" t="str">
        <f>VLOOKUP('Customer Info'!C207,'Customer Info'!C207:C706,1)</f>
        <v>Abelman</v>
      </c>
      <c r="I215" s="6" t="str">
        <f>VLOOKUP('Customer Info'!E207,'Customer Info'!E207:E706,1,0)</f>
        <v>Mangalore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378</v>
      </c>
      <c r="R215" s="2" t="s">
        <v>28</v>
      </c>
      <c r="S215" s="9">
        <f t="shared" si="19"/>
        <v>0.05</v>
      </c>
    </row>
    <row r="216" spans="1:19" x14ac:dyDescent="0.3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VLOOKUP('Customer Info'!B208,'Customer Info'!B208:B707,1,0)</f>
        <v>Hilary</v>
      </c>
      <c r="H216" s="6" t="str">
        <f>VLOOKUP('Customer Info'!C208,'Customer Info'!C208:C707,1)</f>
        <v>Fritzler</v>
      </c>
      <c r="I216" s="6" t="str">
        <f>VLOOKUP('Customer Info'!E208,'Customer Info'!E208:E707,1,0)</f>
        <v>Mysore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672</v>
      </c>
      <c r="R216" s="2" t="s">
        <v>28</v>
      </c>
      <c r="S216" s="9">
        <f t="shared" si="19"/>
        <v>0.05</v>
      </c>
    </row>
    <row r="217" spans="1:19" x14ac:dyDescent="0.3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VLOOKUP('Customer Info'!B209,'Customer Info'!B209:B708,1,0)</f>
        <v>Hunter</v>
      </c>
      <c r="H217" s="6" t="str">
        <f>VLOOKUP('Customer Info'!C209,'Customer Info'!C209:C708,1)</f>
        <v>Brennan</v>
      </c>
      <c r="I217" s="6" t="str">
        <f>VLOOKUP('Customer Info'!E209,'Customer Info'!E209:E708,1,0)</f>
        <v>Panihati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50</v>
      </c>
      <c r="R217" s="2" t="s">
        <v>28</v>
      </c>
      <c r="S217" s="9">
        <f t="shared" si="19"/>
        <v>0.02</v>
      </c>
    </row>
    <row r="218" spans="1:19" x14ac:dyDescent="0.3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VLOOKUP('Customer Info'!B210,'Customer Info'!B210:B709,1,0)</f>
        <v>Hunter</v>
      </c>
      <c r="H218" s="6" t="str">
        <f>VLOOKUP('Customer Info'!C210,'Customer Info'!C210:C709,1)</f>
        <v>Brown</v>
      </c>
      <c r="I218" s="6" t="str">
        <f>VLOOKUP('Customer Info'!E210,'Customer Info'!E210:E709,1,0)</f>
        <v>Wollongong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60</v>
      </c>
      <c r="R218" s="2" t="s">
        <v>28</v>
      </c>
      <c r="S218" s="9">
        <f t="shared" si="19"/>
        <v>0.02</v>
      </c>
    </row>
    <row r="219" spans="1:19" x14ac:dyDescent="0.3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VLOOKUP('Customer Info'!B211,'Customer Info'!B211:B710,1,0)</f>
        <v>Hunter</v>
      </c>
      <c r="H219" s="6" t="str">
        <f>VLOOKUP('Customer Info'!C211,'Customer Info'!C211:C710,1)</f>
        <v>Braunhardt</v>
      </c>
      <c r="I219" s="6" t="str">
        <f>VLOOKUP('Customer Info'!E211,'Customer Info'!E211:E710,1,0)</f>
        <v>Cuttack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146</v>
      </c>
      <c r="R219" s="2" t="s">
        <v>28</v>
      </c>
      <c r="S219" s="9">
        <f t="shared" si="19"/>
        <v>0.02</v>
      </c>
    </row>
    <row r="220" spans="1:19" x14ac:dyDescent="0.3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VLOOKUP('Customer Info'!B212,'Customer Info'!B212:B711,1,0)</f>
        <v>Hunter</v>
      </c>
      <c r="H220" s="6" t="str">
        <f>VLOOKUP('Customer Info'!C212,'Customer Info'!C212:C711,1)</f>
        <v>Hastings</v>
      </c>
      <c r="I220" s="6" t="str">
        <f>VLOOKUP('Customer Info'!E212,'Customer Info'!E212:E711,1,0)</f>
        <v>Pekanbaru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450</v>
      </c>
      <c r="R220" s="2" t="s">
        <v>50</v>
      </c>
      <c r="S220" s="9">
        <f t="shared" si="19"/>
        <v>0.05</v>
      </c>
    </row>
    <row r="221" spans="1:19" x14ac:dyDescent="0.3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VLOOKUP('Customer Info'!B213,'Customer Info'!B213:B712,1,0)</f>
        <v>Ionia</v>
      </c>
      <c r="H221" s="6" t="str">
        <f>VLOOKUP('Customer Info'!C213,'Customer Info'!C213:C712,1)</f>
        <v>Brown</v>
      </c>
      <c r="I221" s="6" t="str">
        <f>VLOOKUP('Customer Info'!E213,'Customer Info'!E213:E712,1,0)</f>
        <v>Dormagen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354</v>
      </c>
      <c r="R221" s="2" t="s">
        <v>50</v>
      </c>
      <c r="S221" s="9">
        <f t="shared" si="19"/>
        <v>0.05</v>
      </c>
    </row>
    <row r="222" spans="1:19" x14ac:dyDescent="0.3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VLOOKUP('Customer Info'!B214,'Customer Info'!B214:B713,1,0)</f>
        <v>Irene</v>
      </c>
      <c r="H222" s="6" t="str">
        <f>VLOOKUP('Customer Info'!C214,'Customer Info'!C214:C713,1)</f>
        <v>Braunhardt</v>
      </c>
      <c r="I222" s="6" t="str">
        <f>VLOOKUP('Customer Info'!E214,'Customer Info'!E214:E713,1,0)</f>
        <v>Bhavnagar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18</v>
      </c>
      <c r="R222" s="2" t="s">
        <v>50</v>
      </c>
      <c r="S222" s="9">
        <f t="shared" si="19"/>
        <v>0.02</v>
      </c>
    </row>
    <row r="223" spans="1:19" x14ac:dyDescent="0.3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VLOOKUP('Customer Info'!B215,'Customer Info'!B215:B714,1,0)</f>
        <v>Ivan</v>
      </c>
      <c r="H223" s="6" t="str">
        <f>VLOOKUP('Customer Info'!C215,'Customer Info'!C215:C714,1)</f>
        <v>Blackwell</v>
      </c>
      <c r="I223" s="6" t="str">
        <f>VLOOKUP('Customer Info'!E215,'Customer Info'!E215:E714,1,0)</f>
        <v>Shanghai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252</v>
      </c>
      <c r="R223" s="2" t="s">
        <v>28</v>
      </c>
      <c r="S223" s="9">
        <f t="shared" si="19"/>
        <v>0.02</v>
      </c>
    </row>
    <row r="224" spans="1:19" x14ac:dyDescent="0.3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VLOOKUP('Customer Info'!B216,'Customer Info'!B216:B715,1,0)</f>
        <v>Ivan</v>
      </c>
      <c r="H224" s="6" t="str">
        <f>VLOOKUP('Customer Info'!C216,'Customer Info'!C216:C715,1)</f>
        <v>Deggeller</v>
      </c>
      <c r="I224" s="6" t="str">
        <f>VLOOKUP('Customer Info'!E216,'Customer Info'!E216:E715,1,0)</f>
        <v>Perth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396</v>
      </c>
      <c r="R224" s="2" t="s">
        <v>28</v>
      </c>
      <c r="S224" s="9">
        <f t="shared" si="19"/>
        <v>0.05</v>
      </c>
    </row>
    <row r="225" spans="1:19" x14ac:dyDescent="0.3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VLOOKUP('Customer Info'!B217,'Customer Info'!B217:B716,1,0)</f>
        <v>Jack</v>
      </c>
      <c r="H225" s="6" t="str">
        <f>VLOOKUP('Customer Info'!C217,'Customer Info'!C217:C716,1)</f>
        <v>Beltran</v>
      </c>
      <c r="I225" s="6" t="str">
        <f>VLOOKUP('Customer Info'!E217,'Customer Info'!E217:E716,1,0)</f>
        <v>Taiyuan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26</v>
      </c>
      <c r="R225" s="2" t="s">
        <v>28</v>
      </c>
      <c r="S225" s="9">
        <f t="shared" si="19"/>
        <v>0.02</v>
      </c>
    </row>
    <row r="226" spans="1:19" x14ac:dyDescent="0.3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VLOOKUP('Customer Info'!B218,'Customer Info'!B218:B717,1,0)</f>
        <v>Jack</v>
      </c>
      <c r="H226" s="6" t="str">
        <f>VLOOKUP('Customer Info'!C218,'Customer Info'!C218:C717,1)</f>
        <v>Brennan</v>
      </c>
      <c r="I226" s="6" t="str">
        <f>VLOOKUP('Customer Info'!E218,'Customer Info'!E218:E717,1,0)</f>
        <v>Erftstadt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1267</v>
      </c>
      <c r="R226" s="2" t="s">
        <v>28</v>
      </c>
      <c r="S226" s="9">
        <f t="shared" si="19"/>
        <v>0.05</v>
      </c>
    </row>
    <row r="227" spans="1:19" x14ac:dyDescent="0.3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VLOOKUP('Customer Info'!B219,'Customer Info'!B219:B718,1,0)</f>
        <v>Jack</v>
      </c>
      <c r="H227" s="6" t="str">
        <f>VLOOKUP('Customer Info'!C219,'Customer Info'!C219:C718,1)</f>
        <v>Braunhardt</v>
      </c>
      <c r="I227" s="6" t="str">
        <f>VLOOKUP('Customer Info'!E219,'Customer Info'!E219:E718,1,0)</f>
        <v>Bremen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14</v>
      </c>
      <c r="R227" s="2" t="s">
        <v>28</v>
      </c>
      <c r="S227" s="9">
        <f t="shared" si="19"/>
        <v>0.02</v>
      </c>
    </row>
    <row r="228" spans="1:19" x14ac:dyDescent="0.3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VLOOKUP('Customer Info'!B220,'Customer Info'!B220:B719,1,0)</f>
        <v>Jack</v>
      </c>
      <c r="H228" s="6" t="str">
        <f>VLOOKUP('Customer Info'!C220,'Customer Info'!C220:C719,1)</f>
        <v>Braunhardt</v>
      </c>
      <c r="I228" s="6" t="str">
        <f>VLOOKUP('Customer Info'!E220,'Customer Info'!E220:E719,1,0)</f>
        <v>Oldenburg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657</v>
      </c>
      <c r="R228" s="2" t="s">
        <v>28</v>
      </c>
      <c r="S228" s="9">
        <f t="shared" si="19"/>
        <v>0.05</v>
      </c>
    </row>
    <row r="229" spans="1:19" x14ac:dyDescent="0.3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VLOOKUP('Customer Info'!B221,'Customer Info'!B221:B720,1,0)</f>
        <v>Jack</v>
      </c>
      <c r="H229" s="6" t="str">
        <f>VLOOKUP('Customer Info'!C221,'Customer Info'!C221:C720,1)</f>
        <v>Bavinger</v>
      </c>
      <c r="I229" s="6" t="str">
        <f>VLOOKUP('Customer Info'!E221,'Customer Info'!E221:E720,1,0)</f>
        <v>Jammu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48</v>
      </c>
      <c r="R229" s="2" t="s">
        <v>28</v>
      </c>
      <c r="S229" s="9">
        <f t="shared" si="19"/>
        <v>0.02</v>
      </c>
    </row>
    <row r="230" spans="1:19" x14ac:dyDescent="0.3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VLOOKUP('Customer Info'!B222,'Customer Info'!B222:B721,1,0)</f>
        <v>James</v>
      </c>
      <c r="H230" s="6" t="str">
        <f>VLOOKUP('Customer Info'!C222,'Customer Info'!C222:C721,1)</f>
        <v>Dunbar</v>
      </c>
      <c r="I230" s="6" t="str">
        <f>VLOOKUP('Customer Info'!E222,'Customer Info'!E222:E721,1,0)</f>
        <v>Dortmund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1356</v>
      </c>
      <c r="R230" s="2" t="s">
        <v>28</v>
      </c>
      <c r="S230" s="9">
        <f t="shared" si="19"/>
        <v>0.05</v>
      </c>
    </row>
    <row r="231" spans="1:19" x14ac:dyDescent="0.3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VLOOKUP('Customer Info'!B223,'Customer Info'!B223:B722,1,0)</f>
        <v>Jas</v>
      </c>
      <c r="H231" s="6" t="str">
        <f>VLOOKUP('Customer Info'!C223,'Customer Info'!C223:C722,1)</f>
        <v>Braunhardt</v>
      </c>
      <c r="I231" s="6" t="str">
        <f>VLOOKUP('Customer Info'!E223,'Customer Info'!E223:E722,1,0)</f>
        <v>Essen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198</v>
      </c>
      <c r="R231" s="2" t="s">
        <v>28</v>
      </c>
      <c r="S231" s="9">
        <f t="shared" si="19"/>
        <v>0.05</v>
      </c>
    </row>
    <row r="232" spans="1:19" x14ac:dyDescent="0.3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VLOOKUP('Customer Info'!B224,'Customer Info'!B224:B723,1,0)</f>
        <v>Jason</v>
      </c>
      <c r="H232" s="6" t="str">
        <f>VLOOKUP('Customer Info'!C224,'Customer Info'!C224:C723,1)</f>
        <v>Deggeller</v>
      </c>
      <c r="I232" s="6" t="str">
        <f>VLOOKUP('Customer Info'!E224,'Customer Info'!E224:E723,1,0)</f>
        <v>Sydney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236</v>
      </c>
      <c r="R232" s="2" t="s">
        <v>56</v>
      </c>
      <c r="S232" s="9">
        <f t="shared" si="19"/>
        <v>0.02</v>
      </c>
    </row>
    <row r="233" spans="1:19" x14ac:dyDescent="0.3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VLOOKUP('Customer Info'!B225,'Customer Info'!B225:B724,1,0)</f>
        <v>Jenna</v>
      </c>
      <c r="H233" s="6" t="str">
        <f>VLOOKUP('Customer Info'!C225,'Customer Info'!C225:C724,1)</f>
        <v>Brown</v>
      </c>
      <c r="I233" s="6" t="str">
        <f>VLOOKUP('Customer Info'!E225,'Customer Info'!E225:E724,1,0)</f>
        <v>Kanpur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576</v>
      </c>
      <c r="R233" s="2" t="s">
        <v>28</v>
      </c>
      <c r="S233" s="9">
        <f t="shared" si="19"/>
        <v>0.05</v>
      </c>
    </row>
    <row r="234" spans="1:19" x14ac:dyDescent="0.3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VLOOKUP('Customer Info'!B226,'Customer Info'!B226:B725,1,0)</f>
        <v>Jennifer</v>
      </c>
      <c r="H234" s="6" t="str">
        <f>VLOOKUP('Customer Info'!C226,'Customer Info'!C226:C725,1)</f>
        <v>Daniels</v>
      </c>
      <c r="I234" s="6" t="str">
        <f>VLOOKUP('Customer Info'!E226,'Customer Info'!E226:E725,1,0)</f>
        <v>Queanbeyan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16</v>
      </c>
      <c r="R234" s="2" t="s">
        <v>28</v>
      </c>
      <c r="S234" s="9">
        <f t="shared" si="19"/>
        <v>0.02</v>
      </c>
    </row>
    <row r="235" spans="1:19" x14ac:dyDescent="0.3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VLOOKUP('Customer Info'!B227,'Customer Info'!B227:B726,1,0)</f>
        <v>Jennifer</v>
      </c>
      <c r="H235" s="6" t="str">
        <f>VLOOKUP('Customer Info'!C227,'Customer Info'!C227:C726,1)</f>
        <v>Craven</v>
      </c>
      <c r="I235" s="6" t="str">
        <f>VLOOKUP('Customer Info'!E227,'Customer Info'!E227:E726,1,0)</f>
        <v>Krefeld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64</v>
      </c>
      <c r="R235" s="2" t="s">
        <v>28</v>
      </c>
      <c r="S235" s="9">
        <f t="shared" si="19"/>
        <v>0.02</v>
      </c>
    </row>
    <row r="236" spans="1:19" x14ac:dyDescent="0.3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VLOOKUP('Customer Info'!B228,'Customer Info'!B228:B727,1,0)</f>
        <v>Jennifer</v>
      </c>
      <c r="H236" s="6" t="str">
        <f>VLOOKUP('Customer Info'!C228,'Customer Info'!C228:C727,1)</f>
        <v>Fritzler</v>
      </c>
      <c r="I236" s="6" t="str">
        <f>VLOOKUP('Customer Info'!E228,'Customer Info'!E228:E727,1,0)</f>
        <v>Bielefeld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540</v>
      </c>
      <c r="R236" s="2" t="s">
        <v>50</v>
      </c>
      <c r="S236" s="9">
        <f t="shared" si="19"/>
        <v>0.02</v>
      </c>
    </row>
    <row r="237" spans="1:19" x14ac:dyDescent="0.3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VLOOKUP('Customer Info'!B229,'Customer Info'!B229:B728,1,0)</f>
        <v>Jeremy</v>
      </c>
      <c r="H237" s="6" t="str">
        <f>VLOOKUP('Customer Info'!C229,'Customer Info'!C229:C728,1)</f>
        <v>DeCherney</v>
      </c>
      <c r="I237" s="6" t="str">
        <f>VLOOKUP('Customer Info'!E229,'Customer Info'!E229:E728,1,0)</f>
        <v>Faridabad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582</v>
      </c>
      <c r="R237" s="2" t="s">
        <v>28</v>
      </c>
      <c r="S237" s="9">
        <f t="shared" si="19"/>
        <v>0.05</v>
      </c>
    </row>
    <row r="238" spans="1:19" x14ac:dyDescent="0.3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VLOOKUP('Customer Info'!B230,'Customer Info'!B230:B729,1,0)</f>
        <v>Jeremy</v>
      </c>
      <c r="H238" s="6" t="str">
        <f>VLOOKUP('Customer Info'!C230,'Customer Info'!C230:C729,1)</f>
        <v>Blackwell</v>
      </c>
      <c r="I238" s="6" t="str">
        <f>VLOOKUP('Customer Info'!E230,'Customer Info'!E230:E729,1,0)</f>
        <v>Jammu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164</v>
      </c>
      <c r="R238" s="2" t="s">
        <v>26</v>
      </c>
      <c r="S238" s="9">
        <f t="shared" si="19"/>
        <v>0.02</v>
      </c>
    </row>
    <row r="239" spans="1:19" x14ac:dyDescent="0.3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VLOOKUP('Customer Info'!B231,'Customer Info'!B231:B730,1,0)</f>
        <v>Jessica</v>
      </c>
      <c r="H239" s="6" t="str">
        <f>VLOOKUP('Customer Info'!C231,'Customer Info'!C231:C730,1)</f>
        <v>Brown</v>
      </c>
      <c r="I239" s="6" t="str">
        <f>VLOOKUP('Customer Info'!E231,'Customer Info'!E231:E730,1,0)</f>
        <v>Krefeld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20</v>
      </c>
      <c r="R239" s="2" t="s">
        <v>50</v>
      </c>
      <c r="S239" s="9">
        <f t="shared" si="19"/>
        <v>0.02</v>
      </c>
    </row>
    <row r="240" spans="1:19" x14ac:dyDescent="0.3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VLOOKUP('Customer Info'!B232,'Customer Info'!B232:B731,1,0)</f>
        <v>Jessica</v>
      </c>
      <c r="H240" s="6" t="str">
        <f>VLOOKUP('Customer Info'!C232,'Customer Info'!C232:C731,1)</f>
        <v>Murray</v>
      </c>
      <c r="I240" s="6" t="str">
        <f>VLOOKUP('Customer Info'!E232,'Customer Info'!E232:E731,1,0)</f>
        <v>Jakarta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605</v>
      </c>
      <c r="R240" s="2" t="s">
        <v>28</v>
      </c>
      <c r="S240" s="9">
        <f t="shared" si="19"/>
        <v>0.05</v>
      </c>
    </row>
    <row r="241" spans="1:19" x14ac:dyDescent="0.3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VLOOKUP('Customer Info'!B233,'Customer Info'!B233:B732,1,0)</f>
        <v>Jesus</v>
      </c>
      <c r="H241" s="6" t="str">
        <f>VLOOKUP('Customer Info'!C233,'Customer Info'!C233:C732,1)</f>
        <v>Brown</v>
      </c>
      <c r="I241" s="6" t="str">
        <f>VLOOKUP('Customer Info'!E233,'Customer Info'!E233:E732,1,0)</f>
        <v>Herten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77</v>
      </c>
      <c r="R241" s="2" t="s">
        <v>50</v>
      </c>
      <c r="S241" s="9">
        <f t="shared" si="19"/>
        <v>0.02</v>
      </c>
    </row>
    <row r="242" spans="1:19" x14ac:dyDescent="0.3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VLOOKUP('Customer Info'!B234,'Customer Info'!B234:B733,1,0)</f>
        <v>Jill</v>
      </c>
      <c r="H242" s="6" t="str">
        <f>VLOOKUP('Customer Info'!C234,'Customer Info'!C234:C733,1)</f>
        <v>DeCherney</v>
      </c>
      <c r="I242" s="6" t="str">
        <f>VLOOKUP('Customer Info'!E234,'Customer Info'!E234:E733,1,0)</f>
        <v>Wollongong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724</v>
      </c>
      <c r="R242" s="2" t="s">
        <v>28</v>
      </c>
      <c r="S242" s="9">
        <f t="shared" si="19"/>
        <v>0.05</v>
      </c>
    </row>
    <row r="243" spans="1:19" x14ac:dyDescent="0.3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VLOOKUP('Customer Info'!B235,'Customer Info'!B235:B734,1,0)</f>
        <v>Jill</v>
      </c>
      <c r="H243" s="6" t="str">
        <f>VLOOKUP('Customer Info'!C235,'Customer Info'!C235:C734,1)</f>
        <v>Sorensen</v>
      </c>
      <c r="I243" s="6" t="str">
        <f>VLOOKUP('Customer Info'!E235,'Customer Info'!E235:E734,1,0)</f>
        <v>Bengbu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576</v>
      </c>
      <c r="R243" s="2" t="s">
        <v>28</v>
      </c>
      <c r="S243" s="9">
        <f t="shared" si="19"/>
        <v>0.05</v>
      </c>
    </row>
    <row r="244" spans="1:19" x14ac:dyDescent="0.3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VLOOKUP('Customer Info'!B236,'Customer Info'!B236:B735,1,0)</f>
        <v>Jim</v>
      </c>
      <c r="H244" s="6" t="str">
        <f>VLOOKUP('Customer Info'!C236,'Customer Info'!C236:C735,1)</f>
        <v>Bavinger</v>
      </c>
      <c r="I244" s="6" t="str">
        <f>VLOOKUP('Customer Info'!E236,'Customer Info'!E236:E735,1,0)</f>
        <v>Qingdao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225</v>
      </c>
      <c r="R244" s="2" t="s">
        <v>28</v>
      </c>
      <c r="S244" s="9">
        <f t="shared" si="19"/>
        <v>0.02</v>
      </c>
    </row>
    <row r="245" spans="1:19" x14ac:dyDescent="0.3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VLOOKUP('Customer Info'!B237,'Customer Info'!B237:B736,1,0)</f>
        <v>Jim</v>
      </c>
      <c r="H245" s="6" t="str">
        <f>VLOOKUP('Customer Info'!C237,'Customer Info'!C237:C736,1)</f>
        <v>Calhoun</v>
      </c>
      <c r="I245" s="6" t="str">
        <f>VLOOKUP('Customer Info'!E237,'Customer Info'!E237:E736,1,0)</f>
        <v>Geelong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144</v>
      </c>
      <c r="R245" s="2" t="s">
        <v>28</v>
      </c>
      <c r="S245" s="9">
        <f t="shared" si="19"/>
        <v>0.05</v>
      </c>
    </row>
    <row r="246" spans="1:19" x14ac:dyDescent="0.3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VLOOKUP('Customer Info'!B238,'Customer Info'!B238:B737,1,0)</f>
        <v>Jim</v>
      </c>
      <c r="H246" s="6" t="str">
        <f>VLOOKUP('Customer Info'!C238,'Customer Info'!C238:C737,1)</f>
        <v>Barcio</v>
      </c>
      <c r="I246" s="6" t="str">
        <f>VLOOKUP('Customer Info'!E238,'Customer Info'!E238:E737,1,0)</f>
        <v>Jingmen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1720</v>
      </c>
      <c r="R246" s="2" t="s">
        <v>28</v>
      </c>
      <c r="S246" s="9">
        <f t="shared" si="19"/>
        <v>0.05</v>
      </c>
    </row>
    <row r="247" spans="1:19" x14ac:dyDescent="0.3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VLOOKUP('Customer Info'!B239,'Customer Info'!B239:B738,1,0)</f>
        <v>Joel</v>
      </c>
      <c r="H247" s="6" t="str">
        <f>VLOOKUP('Customer Info'!C239,'Customer Info'!C239:C738,1)</f>
        <v>Deggeller</v>
      </c>
      <c r="I247" s="6" t="str">
        <f>VLOOKUP('Customer Info'!E239,'Customer Info'!E239:E738,1,0)</f>
        <v>Nuremberg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2304</v>
      </c>
      <c r="R247" s="2" t="s">
        <v>28</v>
      </c>
      <c r="S247" s="9">
        <f t="shared" si="19"/>
        <v>7.0000000000000007E-2</v>
      </c>
    </row>
    <row r="248" spans="1:19" x14ac:dyDescent="0.3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VLOOKUP('Customer Info'!B240,'Customer Info'!B240:B739,1,0)</f>
        <v>John</v>
      </c>
      <c r="H248" s="6" t="str">
        <f>VLOOKUP('Customer Info'!C240,'Customer Info'!C240:C739,1)</f>
        <v>Brown</v>
      </c>
      <c r="I248" s="6" t="str">
        <f>VLOOKUP('Customer Info'!E240,'Customer Info'!E240:E739,1,0)</f>
        <v>Beijing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16</v>
      </c>
      <c r="R248" s="2" t="s">
        <v>50</v>
      </c>
      <c r="S248" s="9">
        <f t="shared" si="19"/>
        <v>0.02</v>
      </c>
    </row>
    <row r="249" spans="1:19" x14ac:dyDescent="0.3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VLOOKUP('Customer Info'!B241,'Customer Info'!B241:B740,1,0)</f>
        <v>John</v>
      </c>
      <c r="H249" s="6" t="str">
        <f>VLOOKUP('Customer Info'!C241,'Customer Info'!C241:C740,1)</f>
        <v>Brown</v>
      </c>
      <c r="I249" s="6" t="str">
        <f>VLOOKUP('Customer Info'!E241,'Customer Info'!E241:E740,1,0)</f>
        <v>Mianyang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86</v>
      </c>
      <c r="R249" s="2" t="s">
        <v>28</v>
      </c>
      <c r="S249" s="9">
        <f t="shared" si="19"/>
        <v>0.02</v>
      </c>
    </row>
    <row r="250" spans="1:19" x14ac:dyDescent="0.3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VLOOKUP('Customer Info'!B242,'Customer Info'!B242:B741,1,0)</f>
        <v>John</v>
      </c>
      <c r="H250" s="6" t="str">
        <f>VLOOKUP('Customer Info'!C242,'Customer Info'!C242:C741,1)</f>
        <v>Gordon</v>
      </c>
      <c r="I250" s="6" t="str">
        <f>VLOOKUP('Customer Info'!E242,'Customer Info'!E242:E741,1,0)</f>
        <v>Jena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423</v>
      </c>
      <c r="R250" s="2" t="s">
        <v>28</v>
      </c>
      <c r="S250" s="9">
        <f t="shared" si="19"/>
        <v>0.05</v>
      </c>
    </row>
    <row r="251" spans="1:19" x14ac:dyDescent="0.3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VLOOKUP('Customer Info'!B243,'Customer Info'!B243:B742,1,0)</f>
        <v>John</v>
      </c>
      <c r="H251" s="6" t="str">
        <f>VLOOKUP('Customer Info'!C243,'Customer Info'!C243:C742,1)</f>
        <v>Barnett</v>
      </c>
      <c r="I251" s="6" t="str">
        <f>VLOOKUP('Customer Info'!E243,'Customer Info'!E243:E742,1,0)</f>
        <v>Jakarta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33</v>
      </c>
      <c r="R251" s="2" t="s">
        <v>28</v>
      </c>
      <c r="S251" s="9">
        <f t="shared" si="19"/>
        <v>0.02</v>
      </c>
    </row>
    <row r="252" spans="1:19" x14ac:dyDescent="0.3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VLOOKUP('Customer Info'!B244,'Customer Info'!B244:B743,1,0)</f>
        <v>John</v>
      </c>
      <c r="H252" s="6" t="str">
        <f>VLOOKUP('Customer Info'!C244,'Customer Info'!C244:C743,1)</f>
        <v>Brown</v>
      </c>
      <c r="I252" s="6" t="str">
        <f>VLOOKUP('Customer Info'!E244,'Customer Info'!E244:E743,1,0)</f>
        <v>Queanbeyan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882</v>
      </c>
      <c r="R252" s="2" t="s">
        <v>28</v>
      </c>
      <c r="S252" s="9">
        <f t="shared" si="19"/>
        <v>0.05</v>
      </c>
    </row>
    <row r="253" spans="1:19" x14ac:dyDescent="0.3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VLOOKUP('Customer Info'!B245,'Customer Info'!B245:B744,1,0)</f>
        <v>Jonathan</v>
      </c>
      <c r="H253" s="6" t="str">
        <f>VLOOKUP('Customer Info'!C245,'Customer Info'!C245:C744,1)</f>
        <v>Fritzler</v>
      </c>
      <c r="I253" s="6" t="str">
        <f>VLOOKUP('Customer Info'!E245,'Customer Info'!E245:E744,1,0)</f>
        <v>Guangshui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35</v>
      </c>
      <c r="R253" s="2" t="s">
        <v>28</v>
      </c>
      <c r="S253" s="9">
        <f t="shared" si="19"/>
        <v>0.02</v>
      </c>
    </row>
    <row r="254" spans="1:19" x14ac:dyDescent="0.3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VLOOKUP('Customer Info'!B246,'Customer Info'!B246:B745,1,0)</f>
        <v>Joy</v>
      </c>
      <c r="H254" s="6" t="str">
        <f>VLOOKUP('Customer Info'!C246,'Customer Info'!C246:C745,1)</f>
        <v>Bavinger</v>
      </c>
      <c r="I254" s="6" t="str">
        <f>VLOOKUP('Customer Info'!E246,'Customer Info'!E246:E745,1,0)</f>
        <v>Tongchuan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51</v>
      </c>
      <c r="R254" s="2" t="s">
        <v>56</v>
      </c>
      <c r="S254" s="9">
        <f t="shared" si="19"/>
        <v>0.02</v>
      </c>
    </row>
    <row r="255" spans="1:19" x14ac:dyDescent="0.3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VLOOKUP('Customer Info'!B247,'Customer Info'!B247:B746,1,0)</f>
        <v>Joy</v>
      </c>
      <c r="H255" s="6" t="str">
        <f>VLOOKUP('Customer Info'!C247,'Customer Info'!C247:C746,1)</f>
        <v>Barnett</v>
      </c>
      <c r="I255" s="6" t="str">
        <f>VLOOKUP('Customer Info'!E247,'Customer Info'!E247:E746,1,0)</f>
        <v>Vijayawada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42</v>
      </c>
      <c r="R255" s="2" t="s">
        <v>28</v>
      </c>
      <c r="S255" s="9">
        <f t="shared" si="19"/>
        <v>0.02</v>
      </c>
    </row>
    <row r="256" spans="1:19" x14ac:dyDescent="0.3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VLOOKUP('Customer Info'!B248,'Customer Info'!B248:B747,1,0)</f>
        <v>Joy</v>
      </c>
      <c r="H256" s="6" t="str">
        <f>VLOOKUP('Customer Info'!C248,'Customer Info'!C248:C747,1)</f>
        <v>Brown</v>
      </c>
      <c r="I256" s="6" t="str">
        <f>VLOOKUP('Customer Info'!E248,'Customer Info'!E248:E747,1,0)</f>
        <v>Cairns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102</v>
      </c>
      <c r="R256" s="2" t="s">
        <v>50</v>
      </c>
      <c r="S256" s="9">
        <f t="shared" si="19"/>
        <v>0.02</v>
      </c>
    </row>
    <row r="257" spans="1:19" x14ac:dyDescent="0.3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VLOOKUP('Customer Info'!B249,'Customer Info'!B249:B748,1,0)</f>
        <v>Julia</v>
      </c>
      <c r="H257" s="6" t="str">
        <f>VLOOKUP('Customer Info'!C249,'Customer Info'!C249:C748,1)</f>
        <v>Barnett</v>
      </c>
      <c r="I257" s="6" t="str">
        <f>VLOOKUP('Customer Info'!E249,'Customer Info'!E249:E748,1,0)</f>
        <v>Zhuhai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975</v>
      </c>
      <c r="R257" s="2" t="s">
        <v>50</v>
      </c>
      <c r="S257" s="9">
        <f t="shared" si="19"/>
        <v>0.05</v>
      </c>
    </row>
    <row r="258" spans="1:19" x14ac:dyDescent="0.3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VLOOKUP('Customer Info'!B250,'Customer Info'!B250:B749,1,0)</f>
        <v>Julia</v>
      </c>
      <c r="H258" s="6" t="str">
        <f>VLOOKUP('Customer Info'!C250,'Customer Info'!C250:C749,1)</f>
        <v>Dunbar</v>
      </c>
      <c r="I258" s="6" t="str">
        <f>VLOOKUP('Customer Info'!E250,'Customer Info'!E250:E749,1,0)</f>
        <v>Melbourne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1582</v>
      </c>
      <c r="R258" s="2" t="s">
        <v>28</v>
      </c>
      <c r="S258" s="9">
        <f t="shared" si="19"/>
        <v>0.05</v>
      </c>
    </row>
    <row r="259" spans="1:19" x14ac:dyDescent="0.3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VLOOKUP('Customer Info'!B251,'Customer Info'!B251:B750,1,0)</f>
        <v>Julia</v>
      </c>
      <c r="H259" s="6" t="str">
        <f>VLOOKUP('Customer Info'!C251,'Customer Info'!C251:C750,1)</f>
        <v>Collins</v>
      </c>
      <c r="I259" s="6" t="str">
        <f>VLOOKUP('Customer Info'!E251,'Customer Info'!E251:E750,1,0)</f>
        <v>Cologne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224</v>
      </c>
      <c r="R259" s="2" t="s">
        <v>28</v>
      </c>
      <c r="S259" s="9">
        <f t="shared" si="19"/>
        <v>0.05</v>
      </c>
    </row>
    <row r="260" spans="1:19" x14ac:dyDescent="0.3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VLOOKUP('Customer Info'!B252,'Customer Info'!B252:B751,1,0)</f>
        <v>Julie</v>
      </c>
      <c r="H260" s="6" t="str">
        <f>VLOOKUP('Customer Info'!C252,'Customer Info'!C252:C751,1)</f>
        <v>Preis</v>
      </c>
      <c r="I260" s="6" t="str">
        <f>VLOOKUP('Customer Info'!E252,'Customer Info'!E252:E751,1,0)</f>
        <v>Norderstedt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1336</v>
      </c>
      <c r="R260" s="2" t="s">
        <v>28</v>
      </c>
      <c r="S260" s="9">
        <f t="shared" si="19"/>
        <v>0.05</v>
      </c>
    </row>
    <row r="261" spans="1:19" x14ac:dyDescent="0.3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VLOOKUP('Customer Info'!B253,'Customer Info'!B253:B752,1,0)</f>
        <v>Julie</v>
      </c>
      <c r="H261" s="6" t="str">
        <f>VLOOKUP('Customer Info'!C253,'Customer Info'!C253:C752,1)</f>
        <v>Calhoun</v>
      </c>
      <c r="I261" s="6" t="str">
        <f>VLOOKUP('Customer Info'!E253,'Customer Info'!E253:E752,1,0)</f>
        <v>Ballarat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39</v>
      </c>
      <c r="R261" s="2" t="s">
        <v>26</v>
      </c>
      <c r="S261" s="9">
        <f t="shared" si="19"/>
        <v>0.02</v>
      </c>
    </row>
    <row r="262" spans="1:19" x14ac:dyDescent="0.3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VLOOKUP('Customer Info'!B254,'Customer Info'!B254:B753,1,0)</f>
        <v>Julie</v>
      </c>
      <c r="H262" s="6" t="str">
        <f>VLOOKUP('Customer Info'!C254,'Customer Info'!C254:C753,1)</f>
        <v>Calhoun</v>
      </c>
      <c r="I262" s="6" t="str">
        <f>VLOOKUP('Customer Info'!E254,'Customer Info'!E254:E753,1,0)</f>
        <v>Bandung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4590</v>
      </c>
      <c r="R262" s="2" t="s">
        <v>28</v>
      </c>
      <c r="S262" s="9">
        <f t="shared" si="19"/>
        <v>7.0000000000000007E-2</v>
      </c>
    </row>
    <row r="263" spans="1:19" x14ac:dyDescent="0.3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VLOOKUP('Customer Info'!B255,'Customer Info'!B255:B754,1,0)</f>
        <v>Justin</v>
      </c>
      <c r="H263" s="6" t="str">
        <f>VLOOKUP('Customer Info'!C255,'Customer Info'!C255:C754,1)</f>
        <v>Arnett</v>
      </c>
      <c r="I263" s="6" t="str">
        <f>VLOOKUP('Customer Info'!E255,'Customer Info'!E255:E754,1,0)</f>
        <v>Gawler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430</v>
      </c>
      <c r="R263" s="2" t="s">
        <v>28</v>
      </c>
      <c r="S263" s="9">
        <f t="shared" si="19"/>
        <v>0.05</v>
      </c>
    </row>
    <row r="264" spans="1:19" x14ac:dyDescent="0.3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VLOOKUP('Customer Info'!B256,'Customer Info'!B256:B755,1,0)</f>
        <v>Justin</v>
      </c>
      <c r="H264" s="6" t="str">
        <f>VLOOKUP('Customer Info'!C256,'Customer Info'!C256:C755,1)</f>
        <v>Calhoun</v>
      </c>
      <c r="I264" s="6" t="str">
        <f>VLOOKUP('Customer Info'!E256,'Customer Info'!E256:E755,1,0)</f>
        <v>Surakarta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75</v>
      </c>
      <c r="R264" s="2" t="s">
        <v>26</v>
      </c>
      <c r="S264" s="9">
        <f t="shared" si="19"/>
        <v>0.02</v>
      </c>
    </row>
    <row r="265" spans="1:19" x14ac:dyDescent="0.3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VLOOKUP('Customer Info'!B257,'Customer Info'!B257:B756,1,0)</f>
        <v>Justin</v>
      </c>
      <c r="H265" s="6" t="str">
        <f>VLOOKUP('Customer Info'!C257,'Customer Info'!C257:C756,1)</f>
        <v>Brown</v>
      </c>
      <c r="I265" s="6" t="str">
        <f>VLOOKUP('Customer Info'!E257,'Customer Info'!E257:E756,1,0)</f>
        <v>Shangzhi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824</v>
      </c>
      <c r="R265" s="2" t="s">
        <v>28</v>
      </c>
      <c r="S265" s="9">
        <f t="shared" si="19"/>
        <v>0.05</v>
      </c>
    </row>
    <row r="266" spans="1:19" x14ac:dyDescent="0.3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VLOOKUP('Customer Info'!B258,'Customer Info'!B258:B757,1,0)</f>
        <v>Karen</v>
      </c>
      <c r="H266" s="6" t="str">
        <f>VLOOKUP('Customer Info'!C258,'Customer Info'!C258:C757,1)</f>
        <v>Bavinger</v>
      </c>
      <c r="I266" s="6" t="str">
        <f>VLOOKUP('Customer Info'!E258,'Customer Info'!E258:E757,1,0)</f>
        <v>Jiutai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14</v>
      </c>
      <c r="R266" s="2" t="s">
        <v>28</v>
      </c>
      <c r="S266" s="9">
        <f t="shared" si="19"/>
        <v>0.02</v>
      </c>
    </row>
    <row r="267" spans="1:19" x14ac:dyDescent="0.3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VLOOKUP('Customer Info'!B259,'Customer Info'!B259:B758,1,0)</f>
        <v>Katherine</v>
      </c>
      <c r="H267" s="6" t="str">
        <f>VLOOKUP('Customer Info'!C259,'Customer Info'!C259:C758,1)</f>
        <v>Cartwright</v>
      </c>
      <c r="I267" s="6" t="str">
        <f>VLOOKUP('Customer Info'!E259,'Customer Info'!E259:E758,1,0)</f>
        <v>Sydney</v>
      </c>
      <c r="J267" s="2">
        <v>9214</v>
      </c>
      <c r="K267" s="2">
        <v>8295</v>
      </c>
      <c r="L267" s="2">
        <v>4</v>
      </c>
      <c r="M267" s="7">
        <f t="shared" ref="M267:M330" si="20">(K267*L267)</f>
        <v>33180</v>
      </c>
      <c r="N267" s="7">
        <f t="shared" ref="N267:N330" si="21">(J267*L267)</f>
        <v>36856</v>
      </c>
      <c r="O267" s="2">
        <v>97</v>
      </c>
      <c r="P267" s="8">
        <f t="shared" ref="P267:P330" si="22">(N267+O267)</f>
        <v>36953</v>
      </c>
      <c r="Q267" s="8">
        <f t="shared" ref="Q267:Q330" si="23">(N267-M267)</f>
        <v>3676</v>
      </c>
      <c r="R267" s="2" t="s">
        <v>28</v>
      </c>
      <c r="S267" s="9">
        <f t="shared" ref="S267:S330" si="24">_xlfn.IFS(P267&gt;250000,0.15,P267&gt;100000,0.12,P267&gt;50000,0.09,P267&gt;25000,0.07,P267&gt;5000,0.05,
 TRUE,0.02)</f>
        <v>7.0000000000000007E-2</v>
      </c>
    </row>
    <row r="268" spans="1:19" x14ac:dyDescent="0.3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VLOOKUP('Customer Info'!B260,'Customer Info'!B260:B759,1,0)</f>
        <v>Katrina</v>
      </c>
      <c r="H268" s="6" t="str">
        <f>VLOOKUP('Customer Info'!C260,'Customer Info'!C260:C759,1)</f>
        <v>Bavinger</v>
      </c>
      <c r="I268" s="6" t="str">
        <f>VLOOKUP('Customer Info'!E260,'Customer Info'!E260:E759,1,0)</f>
        <v>Melbourne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540</v>
      </c>
      <c r="R268" s="2" t="s">
        <v>28</v>
      </c>
      <c r="S268" s="9">
        <f t="shared" si="24"/>
        <v>0.02</v>
      </c>
    </row>
    <row r="269" spans="1:19" x14ac:dyDescent="0.3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VLOOKUP('Customer Info'!B261,'Customer Info'!B261:B760,1,0)</f>
        <v>Kean</v>
      </c>
      <c r="H269" s="6" t="str">
        <f>VLOOKUP('Customer Info'!C261,'Customer Info'!C261:C760,1)</f>
        <v>Sorensen</v>
      </c>
      <c r="I269" s="6" t="str">
        <f>VLOOKUP('Customer Info'!E261,'Customer Info'!E261:E760,1,0)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264</v>
      </c>
      <c r="R269" s="2" t="s">
        <v>28</v>
      </c>
      <c r="S269" s="9">
        <f t="shared" si="24"/>
        <v>0.02</v>
      </c>
    </row>
    <row r="270" spans="1:19" x14ac:dyDescent="0.3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VLOOKUP('Customer Info'!B262,'Customer Info'!B262:B761,1,0)</f>
        <v>Kean</v>
      </c>
      <c r="H270" s="6" t="str">
        <f>VLOOKUP('Customer Info'!C262,'Customer Info'!C262:C761,1)</f>
        <v>Foulston</v>
      </c>
      <c r="I270" s="6" t="str">
        <f>VLOOKUP('Customer Info'!E262,'Customer Info'!E262:E761,1,0)</f>
        <v>Jakarta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2044</v>
      </c>
      <c r="R270" s="2" t="s">
        <v>50</v>
      </c>
      <c r="S270" s="9">
        <f t="shared" si="24"/>
        <v>7.0000000000000007E-2</v>
      </c>
    </row>
    <row r="271" spans="1:19" x14ac:dyDescent="0.3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VLOOKUP('Customer Info'!B263,'Customer Info'!B263:B762,1,0)</f>
        <v>Kean</v>
      </c>
      <c r="H271" s="6" t="str">
        <f>VLOOKUP('Customer Info'!C263,'Customer Info'!C263:C762,1)</f>
        <v>Craven</v>
      </c>
      <c r="I271" s="6" t="str">
        <f>VLOOKUP('Customer Info'!E263,'Customer Info'!E263:E762,1,0)</f>
        <v>Brisbane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591</v>
      </c>
      <c r="R271" s="2" t="s">
        <v>56</v>
      </c>
      <c r="S271" s="9">
        <f t="shared" si="24"/>
        <v>0.05</v>
      </c>
    </row>
    <row r="272" spans="1:19" x14ac:dyDescent="0.3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VLOOKUP('Customer Info'!B264,'Customer Info'!B264:B763,1,0)</f>
        <v>Keith</v>
      </c>
      <c r="H272" s="6" t="str">
        <f>VLOOKUP('Customer Info'!C264,'Customer Info'!C264:C763,1)</f>
        <v>Fox</v>
      </c>
      <c r="I272" s="6" t="str">
        <f>VLOOKUP('Customer Info'!E264,'Customer Info'!E264:E763,1,0)</f>
        <v>Jakarta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2270</v>
      </c>
      <c r="R272" s="2" t="s">
        <v>50</v>
      </c>
      <c r="S272" s="9">
        <f t="shared" si="24"/>
        <v>7.0000000000000007E-2</v>
      </c>
    </row>
    <row r="273" spans="1:19" x14ac:dyDescent="0.3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VLOOKUP('Customer Info'!B265,'Customer Info'!B265:B764,1,0)</f>
        <v>Kelly</v>
      </c>
      <c r="H273" s="6" t="str">
        <f>VLOOKUP('Customer Info'!C265,'Customer Info'!C265:C764,1)</f>
        <v>Beltran</v>
      </c>
      <c r="I273" s="6" t="str">
        <f>VLOOKUP('Customer Info'!E265,'Customer Info'!E265:E764,1,0)</f>
        <v>Sydney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483</v>
      </c>
      <c r="R273" s="2" t="s">
        <v>56</v>
      </c>
      <c r="S273" s="9">
        <f t="shared" si="24"/>
        <v>0.05</v>
      </c>
    </row>
    <row r="274" spans="1:19" x14ac:dyDescent="0.3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VLOOKUP('Customer Info'!B266,'Customer Info'!B266:B765,1,0)</f>
        <v>Kelly</v>
      </c>
      <c r="H274" s="6" t="str">
        <f>VLOOKUP('Customer Info'!C266,'Customer Info'!C266:C765,1)</f>
        <v>Williams</v>
      </c>
      <c r="I274" s="6" t="str">
        <f>VLOOKUP('Customer Info'!E266,'Customer Info'!E266:E765,1,0)</f>
        <v>Palu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1272</v>
      </c>
      <c r="R274" s="2" t="s">
        <v>28</v>
      </c>
      <c r="S274" s="9">
        <f t="shared" si="24"/>
        <v>7.0000000000000007E-2</v>
      </c>
    </row>
    <row r="275" spans="1:19" x14ac:dyDescent="0.3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VLOOKUP('Customer Info'!B267,'Customer Info'!B267:B766,1,0)</f>
        <v>Kelly</v>
      </c>
      <c r="H275" s="6" t="str">
        <f>VLOOKUP('Customer Info'!C267,'Customer Info'!C267:C766,1)</f>
        <v>Sorensen</v>
      </c>
      <c r="I275" s="6" t="str">
        <f>VLOOKUP('Customer Info'!E267,'Customer Info'!E267:E766,1,0)</f>
        <v>Sydney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942</v>
      </c>
      <c r="R275" s="2" t="s">
        <v>50</v>
      </c>
      <c r="S275" s="9">
        <f t="shared" si="24"/>
        <v>0.05</v>
      </c>
    </row>
    <row r="276" spans="1:19" x14ac:dyDescent="0.3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VLOOKUP('Customer Info'!B268,'Customer Info'!B268:B767,1,0)</f>
        <v>Kelly</v>
      </c>
      <c r="H276" s="6" t="str">
        <f>VLOOKUP('Customer Info'!C268,'Customer Info'!C268:C767,1)</f>
        <v>Beltran</v>
      </c>
      <c r="I276" s="6" t="str">
        <f>VLOOKUP('Customer Info'!E268,'Customer Info'!E268:E767,1,0)</f>
        <v>Tangshan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40</v>
      </c>
      <c r="R276" s="2" t="s">
        <v>50</v>
      </c>
      <c r="S276" s="9">
        <f t="shared" si="24"/>
        <v>0.02</v>
      </c>
    </row>
    <row r="277" spans="1:19" x14ac:dyDescent="0.3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VLOOKUP('Customer Info'!B269,'Customer Info'!B269:B768,1,0)</f>
        <v>Ken</v>
      </c>
      <c r="H277" s="6" t="str">
        <f>VLOOKUP('Customer Info'!C269,'Customer Info'!C269:C768,1)</f>
        <v>Fjeld</v>
      </c>
      <c r="I277" s="6" t="str">
        <f>VLOOKUP('Customer Info'!E269,'Customer Info'!E269:E768,1,0)</f>
        <v>Tegal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1485</v>
      </c>
      <c r="R277" s="2" t="s">
        <v>50</v>
      </c>
      <c r="S277" s="9">
        <f t="shared" si="24"/>
        <v>0.05</v>
      </c>
    </row>
    <row r="278" spans="1:19" x14ac:dyDescent="0.3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VLOOKUP('Customer Info'!B270,'Customer Info'!B270:B769,1,0)</f>
        <v>Kristen</v>
      </c>
      <c r="H278" s="6" t="str">
        <f>VLOOKUP('Customer Info'!C270,'Customer Info'!C270:C769,1)</f>
        <v>Collister</v>
      </c>
      <c r="I278" s="6" t="str">
        <f>VLOOKUP('Customer Info'!E270,'Customer Info'!E270:E769,1,0)</f>
        <v>Shihezi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21</v>
      </c>
      <c r="R278" s="2" t="s">
        <v>50</v>
      </c>
      <c r="S278" s="9">
        <f t="shared" si="24"/>
        <v>0.02</v>
      </c>
    </row>
    <row r="279" spans="1:19" x14ac:dyDescent="0.3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VLOOKUP('Customer Info'!B271,'Customer Info'!B271:B770,1,0)</f>
        <v>Kristina</v>
      </c>
      <c r="H279" s="6" t="str">
        <f>VLOOKUP('Customer Info'!C271,'Customer Info'!C271:C770,1)</f>
        <v>Brown</v>
      </c>
      <c r="I279" s="6" t="str">
        <f>VLOOKUP('Customer Info'!E271,'Customer Info'!E271:E770,1,0)</f>
        <v>Jakarta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348</v>
      </c>
      <c r="R279" s="2" t="s">
        <v>50</v>
      </c>
      <c r="S279" s="9">
        <f t="shared" si="24"/>
        <v>0.05</v>
      </c>
    </row>
    <row r="280" spans="1:19" x14ac:dyDescent="0.3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VLOOKUP('Customer Info'!B272,'Customer Info'!B272:B771,1,0)</f>
        <v>Kristina</v>
      </c>
      <c r="H280" s="6" t="str">
        <f>VLOOKUP('Customer Info'!C272,'Customer Info'!C272:C771,1)</f>
        <v>Brown</v>
      </c>
      <c r="I280" s="6" t="str">
        <f>VLOOKUP('Customer Info'!E272,'Customer Info'!E272:E771,1,0)</f>
        <v>Sydney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345</v>
      </c>
      <c r="R280" s="2" t="s">
        <v>26</v>
      </c>
      <c r="S280" s="9">
        <f t="shared" si="24"/>
        <v>0.05</v>
      </c>
    </row>
    <row r="281" spans="1:19" x14ac:dyDescent="0.3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VLOOKUP('Customer Info'!B273,'Customer Info'!B273:B772,1,0)</f>
        <v>Kunst</v>
      </c>
      <c r="H281" s="6" t="str">
        <f>VLOOKUP('Customer Info'!C273,'Customer Info'!C273:C772,1)</f>
        <v>Brennan</v>
      </c>
      <c r="I281" s="6" t="str">
        <f>VLOOKUP('Customer Info'!E273,'Customer Info'!E273:E772,1,0)</f>
        <v>Jakarta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8</v>
      </c>
      <c r="R281" s="2" t="s">
        <v>26</v>
      </c>
      <c r="S281" s="9">
        <f t="shared" si="24"/>
        <v>0.02</v>
      </c>
    </row>
    <row r="282" spans="1:19" x14ac:dyDescent="0.3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VLOOKUP('Customer Info'!B274,'Customer Info'!B274:B773,1,0)</f>
        <v>Larry</v>
      </c>
      <c r="H282" s="6" t="str">
        <f>VLOOKUP('Customer Info'!C274,'Customer Info'!C274:C773,1)</f>
        <v>Barcio</v>
      </c>
      <c r="I282" s="6" t="str">
        <f>VLOOKUP('Customer Info'!E274,'Customer Info'!E274:E773,1,0)</f>
        <v>Shangyu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720</v>
      </c>
      <c r="R282" s="2" t="s">
        <v>50</v>
      </c>
      <c r="S282" s="9">
        <f t="shared" si="24"/>
        <v>0.05</v>
      </c>
    </row>
    <row r="283" spans="1:19" x14ac:dyDescent="0.3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VLOOKUP('Customer Info'!B275,'Customer Info'!B275:B774,1,0)</f>
        <v>Laura</v>
      </c>
      <c r="H283" s="6" t="str">
        <f>VLOOKUP('Customer Info'!C275,'Customer Info'!C275:C774,1)</f>
        <v>Armstrong</v>
      </c>
      <c r="I283" s="6" t="str">
        <f>VLOOKUP('Customer Info'!E275,'Customer Info'!E275:E774,1,0)</f>
        <v>Torquay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363</v>
      </c>
      <c r="R283" s="2" t="s">
        <v>50</v>
      </c>
      <c r="S283" s="9">
        <f t="shared" si="24"/>
        <v>0.02</v>
      </c>
    </row>
    <row r="284" spans="1:19" x14ac:dyDescent="0.3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VLOOKUP('Customer Info'!B276,'Customer Info'!B276:B775,1,0)</f>
        <v>Laurel</v>
      </c>
      <c r="H284" s="6" t="str">
        <f>VLOOKUP('Customer Info'!C276,'Customer Info'!C276:C775,1)</f>
        <v>Collins</v>
      </c>
      <c r="I284" s="6" t="str">
        <f>VLOOKUP('Customer Info'!E276,'Customer Info'!E276:E775,1,0)</f>
        <v>Herten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348</v>
      </c>
      <c r="R284" s="2" t="s">
        <v>50</v>
      </c>
      <c r="S284" s="9">
        <f t="shared" si="24"/>
        <v>0.05</v>
      </c>
    </row>
    <row r="285" spans="1:19" x14ac:dyDescent="0.3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VLOOKUP('Customer Info'!B277,'Customer Info'!B277:B776,1,0)</f>
        <v>Laurel</v>
      </c>
      <c r="H285" s="6" t="str">
        <f>VLOOKUP('Customer Info'!C277,'Customer Info'!C277:C776,1)</f>
        <v>Sorensen</v>
      </c>
      <c r="I285" s="6" t="str">
        <f>VLOOKUP('Customer Info'!E277,'Customer Info'!E277:E776,1,0)</f>
        <v>Dongguan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240</v>
      </c>
      <c r="R285" s="2" t="s">
        <v>26</v>
      </c>
      <c r="S285" s="9">
        <f t="shared" si="24"/>
        <v>0.02</v>
      </c>
    </row>
    <row r="286" spans="1:19" x14ac:dyDescent="0.3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VLOOKUP('Customer Info'!B278,'Customer Info'!B278:B777,1,0)</f>
        <v>Laurel</v>
      </c>
      <c r="H286" s="6" t="str">
        <f>VLOOKUP('Customer Info'!C278,'Customer Info'!C278:C777,1)</f>
        <v>Beltran</v>
      </c>
      <c r="I286" s="6" t="str">
        <f>VLOOKUP('Customer Info'!E278,'Customer Info'!E278:E777,1,0)</f>
        <v>Melbourne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86</v>
      </c>
      <c r="R286" s="2" t="s">
        <v>28</v>
      </c>
      <c r="S286" s="9">
        <f t="shared" si="24"/>
        <v>0.02</v>
      </c>
    </row>
    <row r="287" spans="1:19" x14ac:dyDescent="0.3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VLOOKUP('Customer Info'!B279,'Customer Info'!B279:B778,1,0)</f>
        <v>Laurel</v>
      </c>
      <c r="H287" s="6" t="str">
        <f>VLOOKUP('Customer Info'!C279,'Customer Info'!C279:C778,1)</f>
        <v>Akin</v>
      </c>
      <c r="I287" s="6" t="str">
        <f>VLOOKUP('Customer Info'!E279,'Customer Info'!E279:E778,1,0)</f>
        <v>Bonn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12</v>
      </c>
      <c r="R287" s="2" t="s">
        <v>50</v>
      </c>
      <c r="S287" s="9">
        <f t="shared" si="24"/>
        <v>0.02</v>
      </c>
    </row>
    <row r="288" spans="1:19" x14ac:dyDescent="0.3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VLOOKUP('Customer Info'!B280,'Customer Info'!B280:B779,1,0)</f>
        <v>Laurel</v>
      </c>
      <c r="H288" s="6" t="str">
        <f>VLOOKUP('Customer Info'!C280,'Customer Info'!C280:C779,1)</f>
        <v>Carlisle</v>
      </c>
      <c r="I288" s="6" t="str">
        <f>VLOOKUP('Customer Info'!E280,'Customer Info'!E280:E779,1,0)</f>
        <v>Tasikmalaya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597</v>
      </c>
      <c r="R288" s="2" t="s">
        <v>28</v>
      </c>
      <c r="S288" s="9">
        <f t="shared" si="24"/>
        <v>0.05</v>
      </c>
    </row>
    <row r="289" spans="1:19" x14ac:dyDescent="0.3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VLOOKUP('Customer Info'!B281,'Customer Info'!B281:B780,1,0)</f>
        <v>Laurel</v>
      </c>
      <c r="H289" s="6" t="str">
        <f>VLOOKUP('Customer Info'!C281,'Customer Info'!C281:C780,1)</f>
        <v>Beltran</v>
      </c>
      <c r="I289" s="6" t="str">
        <f>VLOOKUP('Customer Info'!E281,'Customer Info'!E281:E780,1,0)</f>
        <v>Wuppertal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896</v>
      </c>
      <c r="R289" s="2" t="s">
        <v>28</v>
      </c>
      <c r="S289" s="9">
        <f t="shared" si="24"/>
        <v>0.05</v>
      </c>
    </row>
    <row r="290" spans="1:19" x14ac:dyDescent="0.3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VLOOKUP('Customer Info'!B282,'Customer Info'!B282:B781,1,0)</f>
        <v>Laurel</v>
      </c>
      <c r="H290" s="6" t="str">
        <f>VLOOKUP('Customer Info'!C282,'Customer Info'!C282:C781,1)</f>
        <v>Sorensen</v>
      </c>
      <c r="I290" s="6" t="str">
        <f>VLOOKUP('Customer Info'!E282,'Customer Info'!E282:E781,1,0)</f>
        <v>Leipzig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813</v>
      </c>
      <c r="R290" s="2" t="s">
        <v>28</v>
      </c>
      <c r="S290" s="9">
        <f t="shared" si="24"/>
        <v>0.05</v>
      </c>
    </row>
    <row r="291" spans="1:19" x14ac:dyDescent="0.3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VLOOKUP('Customer Info'!B283,'Customer Info'!B283:B782,1,0)</f>
        <v>Linda</v>
      </c>
      <c r="H291" s="6" t="str">
        <f>VLOOKUP('Customer Info'!C283,'Customer Info'!C283:C782,1)</f>
        <v>Sorensen</v>
      </c>
      <c r="I291" s="6" t="str">
        <f>VLOOKUP('Customer Info'!E283,'Customer Info'!E283:E782,1,0)</f>
        <v>Brisbane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792</v>
      </c>
      <c r="R291" s="2" t="s">
        <v>50</v>
      </c>
      <c r="S291" s="9">
        <f t="shared" si="24"/>
        <v>0.05</v>
      </c>
    </row>
    <row r="292" spans="1:19" x14ac:dyDescent="0.3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VLOOKUP('Customer Info'!B284,'Customer Info'!B284:B783,1,0)</f>
        <v>Lindsay</v>
      </c>
      <c r="H292" s="6" t="str">
        <f>VLOOKUP('Customer Info'!C284,'Customer Info'!C284:C783,1)</f>
        <v>Castell</v>
      </c>
      <c r="I292" s="6" t="str">
        <f>VLOOKUP('Customer Info'!E284,'Customer Info'!E284:E783,1,0)</f>
        <v>Depok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233</v>
      </c>
      <c r="R292" s="2" t="s">
        <v>28</v>
      </c>
      <c r="S292" s="9">
        <f t="shared" si="24"/>
        <v>0.02</v>
      </c>
    </row>
    <row r="293" spans="1:19" x14ac:dyDescent="0.3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VLOOKUP('Customer Info'!B285,'Customer Info'!B285:B784,1,0)</f>
        <v>Lindsay</v>
      </c>
      <c r="H293" s="6" t="str">
        <f>VLOOKUP('Customer Info'!C285,'Customer Info'!C285:C784,1)</f>
        <v>Sumrall</v>
      </c>
      <c r="I293" s="6" t="str">
        <f>VLOOKUP('Customer Info'!E285,'Customer Info'!E285:E784,1,0)</f>
        <v>Akola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556</v>
      </c>
      <c r="R293" s="2" t="s">
        <v>28</v>
      </c>
      <c r="S293" s="9">
        <f t="shared" si="24"/>
        <v>0.05</v>
      </c>
    </row>
    <row r="294" spans="1:19" x14ac:dyDescent="0.3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VLOOKUP('Customer Info'!B286,'Customer Info'!B286:B785,1,0)</f>
        <v>Lindsay</v>
      </c>
      <c r="H294" s="6" t="str">
        <f>VLOOKUP('Customer Info'!C286,'Customer Info'!C286:C785,1)</f>
        <v>Craven</v>
      </c>
      <c r="I294" s="6" t="str">
        <f>VLOOKUP('Customer Info'!E286,'Customer Info'!E286:E785,1,0)</f>
        <v>Canberra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18</v>
      </c>
      <c r="R294" s="2" t="s">
        <v>28</v>
      </c>
      <c r="S294" s="9">
        <f t="shared" si="24"/>
        <v>0.02</v>
      </c>
    </row>
    <row r="295" spans="1:19" x14ac:dyDescent="0.3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VLOOKUP('Customer Info'!B287,'Customer Info'!B287:B786,1,0)</f>
        <v>Lisa</v>
      </c>
      <c r="H295" s="6" t="str">
        <f>VLOOKUP('Customer Info'!C287,'Customer Info'!C287:C786,1)</f>
        <v>Preis</v>
      </c>
      <c r="I295" s="6" t="str">
        <f>VLOOKUP('Customer Info'!E287,'Customer Info'!E287:E786,1,0)</f>
        <v>Berlin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650</v>
      </c>
      <c r="R295" s="2" t="s">
        <v>28</v>
      </c>
      <c r="S295" s="9">
        <f t="shared" si="24"/>
        <v>0.05</v>
      </c>
    </row>
    <row r="296" spans="1:19" x14ac:dyDescent="0.3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VLOOKUP('Customer Info'!B288,'Customer Info'!B288:B787,1,0)</f>
        <v>Lisa</v>
      </c>
      <c r="H296" s="6" t="str">
        <f>VLOOKUP('Customer Info'!C288,'Customer Info'!C288:C787,1)</f>
        <v>Preis</v>
      </c>
      <c r="I296" s="6" t="str">
        <f>VLOOKUP('Customer Info'!E288,'Customer Info'!E288:E787,1,0)</f>
        <v>Townsville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456</v>
      </c>
      <c r="R296" s="2" t="s">
        <v>28</v>
      </c>
      <c r="S296" s="9">
        <f t="shared" si="24"/>
        <v>0.05</v>
      </c>
    </row>
    <row r="297" spans="1:19" x14ac:dyDescent="0.3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VLOOKUP('Customer Info'!B289,'Customer Info'!B289:B788,1,0)</f>
        <v>Lisa</v>
      </c>
      <c r="H297" s="6" t="str">
        <f>VLOOKUP('Customer Info'!C289,'Customer Info'!C289:C788,1)</f>
        <v>Currie</v>
      </c>
      <c r="I297" s="6" t="str">
        <f>VLOOKUP('Customer Info'!E289,'Customer Info'!E289:E788,1,0)</f>
        <v>Ningbo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429</v>
      </c>
      <c r="R297" s="2" t="s">
        <v>28</v>
      </c>
      <c r="S297" s="9">
        <f t="shared" si="24"/>
        <v>0.05</v>
      </c>
    </row>
    <row r="298" spans="1:19" x14ac:dyDescent="0.3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VLOOKUP('Customer Info'!B290,'Customer Info'!B290:B789,1,0)</f>
        <v>Lisa</v>
      </c>
      <c r="H298" s="6" t="str">
        <f>VLOOKUP('Customer Info'!C290,'Customer Info'!C290:C789,1)</f>
        <v>Brown</v>
      </c>
      <c r="I298" s="6" t="str">
        <f>VLOOKUP('Customer Info'!E290,'Customer Info'!E290:E789,1,0)</f>
        <v>Sydney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150</v>
      </c>
      <c r="R298" s="2" t="s">
        <v>28</v>
      </c>
      <c r="S298" s="9">
        <f t="shared" si="24"/>
        <v>0.02</v>
      </c>
    </row>
    <row r="299" spans="1:19" x14ac:dyDescent="0.3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VLOOKUP('Customer Info'!B291,'Customer Info'!B291:B790,1,0)</f>
        <v>Liz</v>
      </c>
      <c r="H299" s="6" t="str">
        <f>VLOOKUP('Customer Info'!C291,'Customer Info'!C291:C790,1)</f>
        <v>Foulston</v>
      </c>
      <c r="I299" s="6" t="str">
        <f>VLOOKUP('Customer Info'!E291,'Customer Info'!E291:E790,1,0)</f>
        <v>Zigong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</v>
      </c>
      <c r="R299" s="2" t="s">
        <v>28</v>
      </c>
      <c r="S299" s="9">
        <f t="shared" si="24"/>
        <v>0.02</v>
      </c>
    </row>
    <row r="300" spans="1:19" x14ac:dyDescent="0.3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VLOOKUP('Customer Info'!B292,'Customer Info'!B292:B791,1,0)</f>
        <v>Liz</v>
      </c>
      <c r="H300" s="6" t="str">
        <f>VLOOKUP('Customer Info'!C292,'Customer Info'!C292:C791,1)</f>
        <v>Carlisle</v>
      </c>
      <c r="I300" s="6" t="str">
        <f>VLOOKUP('Customer Info'!E292,'Customer Info'!E292:E791,1,0)</f>
        <v>Luoyang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202</v>
      </c>
      <c r="R300" s="2" t="s">
        <v>28</v>
      </c>
      <c r="S300" s="9">
        <f t="shared" si="24"/>
        <v>0.02</v>
      </c>
    </row>
    <row r="301" spans="1:19" x14ac:dyDescent="0.3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VLOOKUP('Customer Info'!B293,'Customer Info'!B293:B792,1,0)</f>
        <v>Logan</v>
      </c>
      <c r="H301" s="6" t="str">
        <f>VLOOKUP('Customer Info'!C293,'Customer Info'!C293:C792,1)</f>
        <v>Glocke</v>
      </c>
      <c r="I301" s="6" t="str">
        <f>VLOOKUP('Customer Info'!E293,'Customer Info'!E293:E792,1,0)</f>
        <v>Canberra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2536</v>
      </c>
      <c r="R301" s="2" t="s">
        <v>28</v>
      </c>
      <c r="S301" s="9">
        <f t="shared" si="24"/>
        <v>0.05</v>
      </c>
    </row>
    <row r="302" spans="1:19" x14ac:dyDescent="0.3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VLOOKUP('Customer Info'!B294,'Customer Info'!B294:B793,1,0)</f>
        <v>Logan</v>
      </c>
      <c r="H302" s="6" t="str">
        <f>VLOOKUP('Customer Info'!C294,'Customer Info'!C294:C793,1)</f>
        <v>Brown</v>
      </c>
      <c r="I302" s="6" t="str">
        <f>VLOOKUP('Customer Info'!E294,'Customer Info'!E294:E793,1,0)</f>
        <v>Gold Coast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1632</v>
      </c>
      <c r="R302" s="2" t="s">
        <v>28</v>
      </c>
      <c r="S302" s="9">
        <f t="shared" si="24"/>
        <v>0.05</v>
      </c>
    </row>
    <row r="303" spans="1:19" x14ac:dyDescent="0.3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VLOOKUP('Customer Info'!B295,'Customer Info'!B295:B794,1,0)</f>
        <v>Logan</v>
      </c>
      <c r="H303" s="6" t="str">
        <f>VLOOKUP('Customer Info'!C295,'Customer Info'!C295:C794,1)</f>
        <v>Chand</v>
      </c>
      <c r="I303" s="6" t="str">
        <f>VLOOKUP('Customer Info'!E295,'Customer Info'!E295:E794,1,0)</f>
        <v>Amravati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180</v>
      </c>
      <c r="R303" s="2" t="s">
        <v>28</v>
      </c>
      <c r="S303" s="9">
        <f t="shared" si="24"/>
        <v>0.02</v>
      </c>
    </row>
    <row r="304" spans="1:19" x14ac:dyDescent="0.3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VLOOKUP('Customer Info'!B296,'Customer Info'!B296:B795,1,0)</f>
        <v>Logan</v>
      </c>
      <c r="H304" s="6" t="str">
        <f>VLOOKUP('Customer Info'!C296,'Customer Info'!C296:C795,1)</f>
        <v>Brown</v>
      </c>
      <c r="I304" s="6" t="str">
        <f>VLOOKUP('Customer Info'!E296,'Customer Info'!E296:E795,1,0)</f>
        <v>Anshan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990</v>
      </c>
      <c r="R304" s="2" t="s">
        <v>50</v>
      </c>
      <c r="S304" s="9">
        <f t="shared" si="24"/>
        <v>0.05</v>
      </c>
    </row>
    <row r="305" spans="1:19" x14ac:dyDescent="0.3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VLOOKUP('Customer Info'!B297,'Customer Info'!B297:B796,1,0)</f>
        <v>Lynn</v>
      </c>
      <c r="H305" s="6" t="str">
        <f>VLOOKUP('Customer Info'!C297,'Customer Info'!C297:C796,1)</f>
        <v>Collister</v>
      </c>
      <c r="I305" s="6" t="str">
        <f>VLOOKUP('Customer Info'!E297,'Customer Info'!E297:E796,1,0)</f>
        <v>Kanpur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440</v>
      </c>
      <c r="R305" s="2" t="s">
        <v>28</v>
      </c>
      <c r="S305" s="9">
        <f t="shared" si="24"/>
        <v>0.05</v>
      </c>
    </row>
    <row r="306" spans="1:19" x14ac:dyDescent="0.3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VLOOKUP('Customer Info'!B298,'Customer Info'!B298:B797,1,0)</f>
        <v>Lynn</v>
      </c>
      <c r="H306" s="6" t="str">
        <f>VLOOKUP('Customer Info'!C298,'Customer Info'!C298:C797,1)</f>
        <v>Preis</v>
      </c>
      <c r="I306" s="6" t="str">
        <f>VLOOKUP('Customer Info'!E298,'Customer Info'!E298:E797,1,0)</f>
        <v>Guiping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635</v>
      </c>
      <c r="R306" s="2" t="s">
        <v>28</v>
      </c>
      <c r="S306" s="9">
        <f t="shared" si="24"/>
        <v>0.05</v>
      </c>
    </row>
    <row r="307" spans="1:19" x14ac:dyDescent="0.3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VLOOKUP('Customer Info'!B299,'Customer Info'!B299:B798,1,0)</f>
        <v>Magdelene</v>
      </c>
      <c r="H307" s="6" t="str">
        <f>VLOOKUP('Customer Info'!C299,'Customer Info'!C299:C798,1)</f>
        <v>Mitchum</v>
      </c>
      <c r="I307" s="6" t="str">
        <f>VLOOKUP('Customer Info'!E299,'Customer Info'!E299:E798,1,0)</f>
        <v>Berlin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8</v>
      </c>
      <c r="R307" s="2" t="s">
        <v>50</v>
      </c>
      <c r="S307" s="9">
        <f t="shared" si="24"/>
        <v>0.02</v>
      </c>
    </row>
    <row r="308" spans="1:19" x14ac:dyDescent="0.3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VLOOKUP('Customer Info'!B300,'Customer Info'!B300:B799,1,0)</f>
        <v>Marc</v>
      </c>
      <c r="H308" s="6" t="str">
        <f>VLOOKUP('Customer Info'!C300,'Customer Info'!C300:C799,1)</f>
        <v>Fjeld</v>
      </c>
      <c r="I308" s="6" t="str">
        <f>VLOOKUP('Customer Info'!E300,'Customer Info'!E300:E799,1,0)</f>
        <v>Bogor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145</v>
      </c>
      <c r="R308" s="2" t="s">
        <v>50</v>
      </c>
      <c r="S308" s="9">
        <f t="shared" si="24"/>
        <v>0.05</v>
      </c>
    </row>
    <row r="309" spans="1:19" x14ac:dyDescent="0.3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VLOOKUP('Customer Info'!B301,'Customer Info'!B301:B800,1,0)</f>
        <v>Maribeth</v>
      </c>
      <c r="H309" s="6" t="str">
        <f>VLOOKUP('Customer Info'!C301,'Customer Info'!C301:C800,1)</f>
        <v>Collister</v>
      </c>
      <c r="I309" s="6" t="str">
        <f>VLOOKUP('Customer Info'!E301,'Customer Info'!E301:E800,1,0)</f>
        <v>Adelaide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425</v>
      </c>
      <c r="R309" s="2" t="s">
        <v>26</v>
      </c>
      <c r="S309" s="9">
        <f t="shared" si="24"/>
        <v>0.05</v>
      </c>
    </row>
    <row r="310" spans="1:19" x14ac:dyDescent="0.3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VLOOKUP('Customer Info'!B302,'Customer Info'!B302:B801,1,0)</f>
        <v>Marina</v>
      </c>
      <c r="H310" s="6" t="str">
        <f>VLOOKUP('Customer Info'!C302,'Customer Info'!C302:C801,1)</f>
        <v>Fritzler</v>
      </c>
      <c r="I310" s="6" t="str">
        <f>VLOOKUP('Customer Info'!E302,'Customer Info'!E302:E801,1,0)</f>
        <v>Denpasar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60</v>
      </c>
      <c r="R310" s="2" t="s">
        <v>26</v>
      </c>
      <c r="S310" s="9">
        <f t="shared" si="24"/>
        <v>0.02</v>
      </c>
    </row>
    <row r="311" spans="1:19" x14ac:dyDescent="0.3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VLOOKUP('Customer Info'!B303,'Customer Info'!B303:B802,1,0)</f>
        <v>Mark</v>
      </c>
      <c r="H311" s="6" t="str">
        <f>VLOOKUP('Customer Info'!C303,'Customer Info'!C303:C802,1)</f>
        <v>Dilbeck</v>
      </c>
      <c r="I311" s="6" t="str">
        <f>VLOOKUP('Customer Info'!E303,'Customer Info'!E303:E802,1,0)</f>
        <v>Perth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230</v>
      </c>
      <c r="R311" s="2" t="s">
        <v>50</v>
      </c>
      <c r="S311" s="9">
        <f t="shared" si="24"/>
        <v>0.05</v>
      </c>
    </row>
    <row r="312" spans="1:19" x14ac:dyDescent="0.3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VLOOKUP('Customer Info'!B304,'Customer Info'!B304:B803,1,0)</f>
        <v>Mark</v>
      </c>
      <c r="H312" s="6" t="str">
        <f>VLOOKUP('Customer Info'!C304,'Customer Info'!C304:C803,1)</f>
        <v>Chen</v>
      </c>
      <c r="I312" s="6" t="str">
        <f>VLOOKUP('Customer Info'!E304,'Customer Info'!E304:E803,1,0)</f>
        <v>Karimnagar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132</v>
      </c>
      <c r="R312" s="2" t="s">
        <v>28</v>
      </c>
      <c r="S312" s="9">
        <f t="shared" si="24"/>
        <v>0.02</v>
      </c>
    </row>
    <row r="313" spans="1:19" x14ac:dyDescent="0.3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VLOOKUP('Customer Info'!B305,'Customer Info'!B305:B804,1,0)</f>
        <v>MaryBeth</v>
      </c>
      <c r="H313" s="6" t="str">
        <f>VLOOKUP('Customer Info'!C305,'Customer Info'!C305:C804,1)</f>
        <v>Braunhardt</v>
      </c>
      <c r="I313" s="6" t="str">
        <f>VLOOKUP('Customer Info'!E305,'Customer Info'!E305:E804,1,0)</f>
        <v>Licheng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258</v>
      </c>
      <c r="R313" s="2" t="s">
        <v>28</v>
      </c>
      <c r="S313" s="9">
        <f t="shared" si="24"/>
        <v>0.05</v>
      </c>
    </row>
    <row r="314" spans="1:19" x14ac:dyDescent="0.3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VLOOKUP('Customer Info'!B306,'Customer Info'!B306:B805,1,0)</f>
        <v>Matt</v>
      </c>
      <c r="H314" s="6" t="str">
        <f>VLOOKUP('Customer Info'!C306,'Customer Info'!C306:C805,1)</f>
        <v>Collins</v>
      </c>
      <c r="I314" s="6" t="str">
        <f>VLOOKUP('Customer Info'!E306,'Customer Info'!E306:E805,1,0)</f>
        <v>Mumbai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240</v>
      </c>
      <c r="R314" s="2" t="s">
        <v>50</v>
      </c>
      <c r="S314" s="9">
        <f t="shared" si="24"/>
        <v>0.02</v>
      </c>
    </row>
    <row r="315" spans="1:19" x14ac:dyDescent="0.3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VLOOKUP('Customer Info'!B307,'Customer Info'!B307:B806,1,0)</f>
        <v>Maureen</v>
      </c>
      <c r="H315" s="6" t="str">
        <f>VLOOKUP('Customer Info'!C307,'Customer Info'!C307:C806,1)</f>
        <v>Brennan</v>
      </c>
      <c r="I315" s="6" t="str">
        <f>VLOOKUP('Customer Info'!E307,'Customer Info'!E307:E806,1,0)</f>
        <v>Melton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595</v>
      </c>
      <c r="R315" s="2" t="s">
        <v>28</v>
      </c>
      <c r="S315" s="9">
        <f t="shared" si="24"/>
        <v>0.05</v>
      </c>
    </row>
    <row r="316" spans="1:19" x14ac:dyDescent="0.3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VLOOKUP('Customer Info'!B308,'Customer Info'!B308:B807,1,0)</f>
        <v>Maureen</v>
      </c>
      <c r="H316" s="6" t="str">
        <f>VLOOKUP('Customer Info'!C308,'Customer Info'!C308:C807,1)</f>
        <v>DeCherney</v>
      </c>
      <c r="I316" s="6" t="str">
        <f>VLOOKUP('Customer Info'!E308,'Customer Info'!E308:E807,1,0)</f>
        <v>BadenBaden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402</v>
      </c>
      <c r="R316" s="2" t="s">
        <v>50</v>
      </c>
      <c r="S316" s="9">
        <f t="shared" si="24"/>
        <v>0.05</v>
      </c>
    </row>
    <row r="317" spans="1:19" x14ac:dyDescent="0.3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VLOOKUP('Customer Info'!B309,'Customer Info'!B309:B808,1,0)</f>
        <v>Max</v>
      </c>
      <c r="H317" s="6" t="str">
        <f>VLOOKUP('Customer Info'!C309,'Customer Info'!C309:C808,1)</f>
        <v>Brown</v>
      </c>
      <c r="I317" s="6" t="str">
        <f>VLOOKUP('Customer Info'!E309,'Customer Info'!E309:E808,1,0)</f>
        <v>Cirebon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807</v>
      </c>
      <c r="R317" s="2" t="s">
        <v>50</v>
      </c>
      <c r="S317" s="9">
        <f t="shared" si="24"/>
        <v>0.05</v>
      </c>
    </row>
    <row r="318" spans="1:19" x14ac:dyDescent="0.3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VLOOKUP('Customer Info'!B310,'Customer Info'!B310:B809,1,0)</f>
        <v>Max</v>
      </c>
      <c r="H318" s="6" t="str">
        <f>VLOOKUP('Customer Info'!C310,'Customer Info'!C310:C809,1)</f>
        <v>Brown</v>
      </c>
      <c r="I318" s="6" t="str">
        <f>VLOOKUP('Customer Info'!E310,'Customer Info'!E310:E809,1,0)</f>
        <v>Newcastle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1557</v>
      </c>
      <c r="R318" s="2" t="s">
        <v>50</v>
      </c>
      <c r="S318" s="9">
        <f t="shared" si="24"/>
        <v>0.05</v>
      </c>
    </row>
    <row r="319" spans="1:19" x14ac:dyDescent="0.3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VLOOKUP('Customer Info'!B311,'Customer Info'!B311:B810,1,0)</f>
        <v>Max</v>
      </c>
      <c r="H319" s="6" t="str">
        <f>VLOOKUP('Customer Info'!C311,'Customer Info'!C311:C810,1)</f>
        <v>Brown</v>
      </c>
      <c r="I319" s="6" t="str">
        <f>VLOOKUP('Customer Info'!E311,'Customer Info'!E311:E810,1,0)</f>
        <v>Yuncheng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423</v>
      </c>
      <c r="R319" s="2" t="s">
        <v>28</v>
      </c>
      <c r="S319" s="9">
        <f t="shared" si="24"/>
        <v>0.05</v>
      </c>
    </row>
    <row r="320" spans="1:19" x14ac:dyDescent="0.3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VLOOKUP('Customer Info'!B312,'Customer Info'!B312:B811,1,0)</f>
        <v>Meg</v>
      </c>
      <c r="H320" s="6" t="str">
        <f>VLOOKUP('Customer Info'!C312,'Customer Info'!C312:C811,1)</f>
        <v>Sorensen</v>
      </c>
      <c r="I320" s="6" t="str">
        <f>VLOOKUP('Customer Info'!E312,'Customer Info'!E312:E811,1,0)</f>
        <v>Melbourne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1164</v>
      </c>
      <c r="R320" s="2" t="s">
        <v>50</v>
      </c>
      <c r="S320" s="9">
        <f t="shared" si="24"/>
        <v>0.05</v>
      </c>
    </row>
    <row r="321" spans="1:19" x14ac:dyDescent="0.3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VLOOKUP('Customer Info'!B313,'Customer Info'!B313:B812,1,0)</f>
        <v>Meg</v>
      </c>
      <c r="H321" s="6" t="str">
        <f>VLOOKUP('Customer Info'!C313,'Customer Info'!C313:C812,1)</f>
        <v>Collister</v>
      </c>
      <c r="I321" s="6" t="str">
        <f>VLOOKUP('Customer Info'!E313,'Customer Info'!E313:E812,1,0)</f>
        <v>Bangalore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108</v>
      </c>
      <c r="R321" s="2" t="s">
        <v>28</v>
      </c>
      <c r="S321" s="9">
        <f t="shared" si="24"/>
        <v>0.02</v>
      </c>
    </row>
    <row r="322" spans="1:19" x14ac:dyDescent="0.3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VLOOKUP('Customer Info'!B314,'Customer Info'!B314:B813,1,0)</f>
        <v>Melanie</v>
      </c>
      <c r="H322" s="6" t="str">
        <f>VLOOKUP('Customer Info'!C314,'Customer Info'!C314:C813,1)</f>
        <v>Preis</v>
      </c>
      <c r="I322" s="6" t="str">
        <f>VLOOKUP('Customer Info'!E314,'Customer Info'!E314:E813,1,0)</f>
        <v>Xining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784</v>
      </c>
      <c r="R322" s="2" t="s">
        <v>26</v>
      </c>
      <c r="S322" s="9">
        <f t="shared" si="24"/>
        <v>0.05</v>
      </c>
    </row>
    <row r="323" spans="1:19" x14ac:dyDescent="0.3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VLOOKUP('Customer Info'!B315,'Customer Info'!B315:B814,1,0)</f>
        <v>Michael</v>
      </c>
      <c r="H323" s="6" t="str">
        <f>VLOOKUP('Customer Info'!C315,'Customer Info'!C315:C814,1)</f>
        <v>Calhoun</v>
      </c>
      <c r="I323" s="6" t="str">
        <f>VLOOKUP('Customer Info'!E315,'Customer Info'!E315:E814,1,0)</f>
        <v>Sydney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10</v>
      </c>
      <c r="R323" s="2" t="s">
        <v>28</v>
      </c>
      <c r="S323" s="9">
        <f t="shared" si="24"/>
        <v>0.02</v>
      </c>
    </row>
    <row r="324" spans="1:19" x14ac:dyDescent="0.3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VLOOKUP('Customer Info'!B316,'Customer Info'!B316:B815,1,0)</f>
        <v>Michael</v>
      </c>
      <c r="H324" s="6" t="str">
        <f>VLOOKUP('Customer Info'!C316,'Customer Info'!C316:C815,1)</f>
        <v>Braunhardt</v>
      </c>
      <c r="I324" s="6" t="str">
        <f>VLOOKUP('Customer Info'!E316,'Customer Info'!E316:E815,1,0)</f>
        <v>Geelong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430</v>
      </c>
      <c r="R324" s="2" t="s">
        <v>50</v>
      </c>
      <c r="S324" s="9">
        <f t="shared" si="24"/>
        <v>0.05</v>
      </c>
    </row>
    <row r="325" spans="1:19" x14ac:dyDescent="0.3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VLOOKUP('Customer Info'!B317,'Customer Info'!B317:B816,1,0)</f>
        <v>Michael</v>
      </c>
      <c r="H325" s="6" t="str">
        <f>VLOOKUP('Customer Info'!C317,'Customer Info'!C317:C816,1)</f>
        <v>Collister</v>
      </c>
      <c r="I325" s="6" t="str">
        <f>VLOOKUP('Customer Info'!E317,'Customer Info'!E317:E816,1,0)</f>
        <v>Berlin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891</v>
      </c>
      <c r="R325" s="2" t="s">
        <v>28</v>
      </c>
      <c r="S325" s="9">
        <f t="shared" si="24"/>
        <v>0.05</v>
      </c>
    </row>
    <row r="326" spans="1:19" x14ac:dyDescent="0.3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VLOOKUP('Customer Info'!B318,'Customer Info'!B318:B817,1,0)</f>
        <v>Michael</v>
      </c>
      <c r="H326" s="6" t="str">
        <f>VLOOKUP('Customer Info'!C318,'Customer Info'!C318:C817,1)</f>
        <v>Calhoun</v>
      </c>
      <c r="I326" s="6" t="str">
        <f>VLOOKUP('Customer Info'!E318,'Customer Info'!E318:E817,1,0)</f>
        <v>Jakarta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303</v>
      </c>
      <c r="R326" s="2" t="s">
        <v>50</v>
      </c>
      <c r="S326" s="9">
        <f t="shared" si="24"/>
        <v>0.05</v>
      </c>
    </row>
    <row r="327" spans="1:19" x14ac:dyDescent="0.3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VLOOKUP('Customer Info'!B319,'Customer Info'!B319:B818,1,0)</f>
        <v>Michael</v>
      </c>
      <c r="H327" s="6" t="str">
        <f>VLOOKUP('Customer Info'!C319,'Customer Info'!C319:C818,1)</f>
        <v>Jackson</v>
      </c>
      <c r="I327" s="6" t="str">
        <f>VLOOKUP('Customer Info'!E319,'Customer Info'!E319:E818,1,0)</f>
        <v>Melbourne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150</v>
      </c>
      <c r="R327" s="2" t="s">
        <v>28</v>
      </c>
      <c r="S327" s="9">
        <f t="shared" si="24"/>
        <v>0.02</v>
      </c>
    </row>
    <row r="328" spans="1:19" x14ac:dyDescent="0.3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VLOOKUP('Customer Info'!B320,'Customer Info'!B320:B819,1,0)</f>
        <v>Michael</v>
      </c>
      <c r="H328" s="6" t="str">
        <f>VLOOKUP('Customer Info'!C320,'Customer Info'!C320:C819,1)</f>
        <v>Jackson</v>
      </c>
      <c r="I328" s="6" t="str">
        <f>VLOOKUP('Customer Info'!E320,'Customer Info'!E320:E819,1,0)</f>
        <v>Medan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90</v>
      </c>
      <c r="R328" s="2" t="s">
        <v>50</v>
      </c>
      <c r="S328" s="9">
        <f t="shared" si="24"/>
        <v>0.02</v>
      </c>
    </row>
    <row r="329" spans="1:19" x14ac:dyDescent="0.3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VLOOKUP('Customer Info'!B321,'Customer Info'!B321:B820,1,0)</f>
        <v>Michael</v>
      </c>
      <c r="H329" s="6" t="str">
        <f>VLOOKUP('Customer Info'!C321,'Customer Info'!C321:C820,1)</f>
        <v>Cartwright</v>
      </c>
      <c r="I329" s="6" t="str">
        <f>VLOOKUP('Customer Info'!E321,'Customer Info'!E321:E820,1,0)</f>
        <v>Vadodara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47</v>
      </c>
      <c r="R329" s="2" t="s">
        <v>26</v>
      </c>
      <c r="S329" s="9">
        <f t="shared" si="24"/>
        <v>0.02</v>
      </c>
    </row>
    <row r="330" spans="1:19" x14ac:dyDescent="0.3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VLOOKUP('Customer Info'!B322,'Customer Info'!B322:B821,1,0)</f>
        <v>Michelle</v>
      </c>
      <c r="H330" s="6" t="str">
        <f>VLOOKUP('Customer Info'!C322,'Customer Info'!C322:C821,1)</f>
        <v>Sorensen</v>
      </c>
      <c r="I330" s="6" t="str">
        <f>VLOOKUP('Customer Info'!E322,'Customer Info'!E322:E821,1,0)</f>
        <v>Mount Gambier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464</v>
      </c>
      <c r="R330" s="2" t="s">
        <v>28</v>
      </c>
      <c r="S330" s="9">
        <f t="shared" si="24"/>
        <v>0.05</v>
      </c>
    </row>
    <row r="331" spans="1:19" x14ac:dyDescent="0.3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VLOOKUP('Customer Info'!B323,'Customer Info'!B323:B822,1,0)</f>
        <v>Michelle</v>
      </c>
      <c r="H331" s="6" t="str">
        <f>VLOOKUP('Customer Info'!C323,'Customer Info'!C323:C822,1)</f>
        <v>Arnett</v>
      </c>
      <c r="I331" s="6" t="str">
        <f>VLOOKUP('Customer Info'!E323,'Customer Info'!E323:E822,1,0)</f>
        <v>Palembang</v>
      </c>
      <c r="J331" s="2">
        <v>1332</v>
      </c>
      <c r="K331" s="2">
        <v>1209</v>
      </c>
      <c r="L331" s="2">
        <v>4</v>
      </c>
      <c r="M331" s="7">
        <f t="shared" ref="M331:M394" si="25">(K331*L331)</f>
        <v>4836</v>
      </c>
      <c r="N331" s="7">
        <f t="shared" ref="N331:N394" si="26">(J331*L331)</f>
        <v>5328</v>
      </c>
      <c r="O331" s="2">
        <v>62</v>
      </c>
      <c r="P331" s="8">
        <f t="shared" ref="P331:P394" si="27">(N331+O331)</f>
        <v>5390</v>
      </c>
      <c r="Q331" s="8">
        <f t="shared" ref="Q331:Q394" si="28">(N331-M331)</f>
        <v>492</v>
      </c>
      <c r="R331" s="2" t="s">
        <v>50</v>
      </c>
      <c r="S331" s="9">
        <f t="shared" ref="S331:S394" si="29">_xlfn.IFS(P331&gt;250000,0.15,P331&gt;100000,0.12,P331&gt;50000,0.09,P331&gt;25000,0.07,P331&gt;5000,0.05,
 TRUE,0.02)</f>
        <v>0.05</v>
      </c>
    </row>
    <row r="332" spans="1:19" x14ac:dyDescent="0.3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VLOOKUP('Customer Info'!B324,'Customer Info'!B324:B823,1,0)</f>
        <v>Michelle</v>
      </c>
      <c r="H332" s="6" t="str">
        <f>VLOOKUP('Customer Info'!C324,'Customer Info'!C324:C823,1)</f>
        <v>Arnett</v>
      </c>
      <c r="I332" s="6" t="str">
        <f>VLOOKUP('Customer Info'!E324,'Customer Info'!E324:E823,1,0)</f>
        <v>Yancheng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960</v>
      </c>
      <c r="R332" s="2" t="s">
        <v>28</v>
      </c>
      <c r="S332" s="9">
        <f t="shared" si="29"/>
        <v>0.05</v>
      </c>
    </row>
    <row r="333" spans="1:19" x14ac:dyDescent="0.3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VLOOKUP('Customer Info'!B325,'Customer Info'!B325:B824,1,0)</f>
        <v>Mick</v>
      </c>
      <c r="H333" s="6" t="str">
        <f>VLOOKUP('Customer Info'!C325,'Customer Info'!C325:C824,1)</f>
        <v>Brown</v>
      </c>
      <c r="I333" s="6" t="str">
        <f>VLOOKUP('Customer Info'!E325,'Customer Info'!E325:E824,1,0)</f>
        <v>Shenzhen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136</v>
      </c>
      <c r="R333" s="2" t="s">
        <v>50</v>
      </c>
      <c r="S333" s="9">
        <f t="shared" si="29"/>
        <v>0.02</v>
      </c>
    </row>
    <row r="334" spans="1:19" x14ac:dyDescent="0.3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VLOOKUP('Customer Info'!B326,'Customer Info'!B326:B825,1,0)</f>
        <v>Mick</v>
      </c>
      <c r="H334" s="6" t="str">
        <f>VLOOKUP('Customer Info'!C326,'Customer Info'!C326:C825,1)</f>
        <v>Chand</v>
      </c>
      <c r="I334" s="6" t="str">
        <f>VLOOKUP('Customer Info'!E326,'Customer Info'!E326:E825,1,0)</f>
        <v>Banjarmasin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60</v>
      </c>
      <c r="R334" s="2" t="s">
        <v>56</v>
      </c>
      <c r="S334" s="9">
        <f t="shared" si="29"/>
        <v>0.02</v>
      </c>
    </row>
    <row r="335" spans="1:19" x14ac:dyDescent="0.3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VLOOKUP('Customer Info'!B327,'Customer Info'!B327:B826,1,0)</f>
        <v>Mick</v>
      </c>
      <c r="H335" s="6" t="str">
        <f>VLOOKUP('Customer Info'!C327,'Customer Info'!C327:C826,1)</f>
        <v>Brown</v>
      </c>
      <c r="I335" s="6" t="str">
        <f>VLOOKUP('Customer Info'!E327,'Customer Info'!E327:E826,1,0)</f>
        <v>Frankfurt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381</v>
      </c>
      <c r="R335" s="2" t="s">
        <v>28</v>
      </c>
      <c r="S335" s="9">
        <f t="shared" si="29"/>
        <v>0.02</v>
      </c>
    </row>
    <row r="336" spans="1:19" x14ac:dyDescent="0.3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VLOOKUP('Customer Info'!B328,'Customer Info'!B328:B827,1,0)</f>
        <v>Mike</v>
      </c>
      <c r="H336" s="6" t="str">
        <f>VLOOKUP('Customer Info'!C328,'Customer Info'!C328:C827,1)</f>
        <v>Sorensen</v>
      </c>
      <c r="I336" s="6" t="str">
        <f>VLOOKUP('Customer Info'!E328,'Customer Info'!E328:E827,1,0)</f>
        <v>Naihati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101</v>
      </c>
      <c r="R336" s="2" t="s">
        <v>28</v>
      </c>
      <c r="S336" s="9">
        <f t="shared" si="29"/>
        <v>0.02</v>
      </c>
    </row>
    <row r="337" spans="1:19" x14ac:dyDescent="0.3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VLOOKUP('Customer Info'!B329,'Customer Info'!B329:B828,1,0)</f>
        <v>Mike</v>
      </c>
      <c r="H337" s="6" t="str">
        <f>VLOOKUP('Customer Info'!C329,'Customer Info'!C329:C828,1)</f>
        <v>Hightower</v>
      </c>
      <c r="I337" s="6" t="str">
        <f>VLOOKUP('Customer Info'!E329,'Customer Info'!E329:E828,1,0)</f>
        <v>Gorakhpur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134</v>
      </c>
      <c r="R337" s="2" t="s">
        <v>28</v>
      </c>
      <c r="S337" s="9">
        <f t="shared" si="29"/>
        <v>0.02</v>
      </c>
    </row>
    <row r="338" spans="1:19" x14ac:dyDescent="0.3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VLOOKUP('Customer Info'!B330,'Customer Info'!B330:B829,1,0)</f>
        <v>Mike</v>
      </c>
      <c r="H338" s="6" t="str">
        <f>VLOOKUP('Customer Info'!C330,'Customer Info'!C330:C829,1)</f>
        <v>Gockenbach</v>
      </c>
      <c r="I338" s="6" t="str">
        <f>VLOOKUP('Customer Info'!E330,'Customer Info'!E330:E829,1,0)</f>
        <v>Caloundra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466</v>
      </c>
      <c r="R338" s="2" t="s">
        <v>28</v>
      </c>
      <c r="S338" s="9">
        <f t="shared" si="29"/>
        <v>0.05</v>
      </c>
    </row>
    <row r="339" spans="1:19" x14ac:dyDescent="0.3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VLOOKUP('Customer Info'!B331,'Customer Info'!B331:B830,1,0)</f>
        <v>Mike</v>
      </c>
      <c r="H339" s="6" t="str">
        <f>VLOOKUP('Customer Info'!C331,'Customer Info'!C331:C830,1)</f>
        <v>Brown</v>
      </c>
      <c r="I339" s="6" t="str">
        <f>VLOOKUP('Customer Info'!E331,'Customer Info'!E331:E830,1,0)</f>
        <v>Jakarta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717</v>
      </c>
      <c r="R339" s="2" t="s">
        <v>56</v>
      </c>
      <c r="S339" s="9">
        <f t="shared" si="29"/>
        <v>0.05</v>
      </c>
    </row>
    <row r="340" spans="1:19" x14ac:dyDescent="0.3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VLOOKUP('Customer Info'!B332,'Customer Info'!B332:B831,1,0)</f>
        <v>Mitch</v>
      </c>
      <c r="H340" s="6" t="str">
        <f>VLOOKUP('Customer Info'!C332,'Customer Info'!C332:C831,1)</f>
        <v>Sorensen</v>
      </c>
      <c r="I340" s="6" t="str">
        <f>VLOOKUP('Customer Info'!E332,'Customer Info'!E332:E831,1,0)</f>
        <v>Berlin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175</v>
      </c>
      <c r="R340" s="2" t="s">
        <v>28</v>
      </c>
      <c r="S340" s="9">
        <f t="shared" si="29"/>
        <v>0.02</v>
      </c>
    </row>
    <row r="341" spans="1:19" x14ac:dyDescent="0.3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VLOOKUP('Customer Info'!B333,'Customer Info'!B333:B832,1,0)</f>
        <v>Mitch</v>
      </c>
      <c r="H341" s="6" t="str">
        <f>VLOOKUP('Customer Info'!C333,'Customer Info'!C333:C832,1)</f>
        <v>Sorensen</v>
      </c>
      <c r="I341" s="6" t="str">
        <f>VLOOKUP('Customer Info'!E333,'Customer Info'!E333:E832,1,0)</f>
        <v>Surakarta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126</v>
      </c>
      <c r="R341" s="2" t="s">
        <v>50</v>
      </c>
      <c r="S341" s="9">
        <f t="shared" si="29"/>
        <v>0.02</v>
      </c>
    </row>
    <row r="342" spans="1:19" x14ac:dyDescent="0.3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VLOOKUP('Customer Info'!B334,'Customer Info'!B334:B833,1,0)</f>
        <v>Monica</v>
      </c>
      <c r="H342" s="6" t="str">
        <f>VLOOKUP('Customer Info'!C334,'Customer Info'!C334:C833,1)</f>
        <v>Brennan</v>
      </c>
      <c r="I342" s="6" t="str">
        <f>VLOOKUP('Customer Info'!E334,'Customer Info'!E334:E833,1,0)</f>
        <v>Lismore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212</v>
      </c>
      <c r="R342" s="2" t="s">
        <v>50</v>
      </c>
      <c r="S342" s="9">
        <f t="shared" si="29"/>
        <v>0.05</v>
      </c>
    </row>
    <row r="343" spans="1:19" x14ac:dyDescent="0.3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VLOOKUP('Customer Info'!B335,'Customer Info'!B335:B834,1,0)</f>
        <v>Muhammed</v>
      </c>
      <c r="H343" s="6" t="str">
        <f>VLOOKUP('Customer Info'!C335,'Customer Info'!C335:C834,1)</f>
        <v>Brown</v>
      </c>
      <c r="I343" s="6" t="str">
        <f>VLOOKUP('Customer Info'!E335,'Customer Info'!E335:E834,1,0)</f>
        <v>Nellore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438</v>
      </c>
      <c r="R343" s="2" t="s">
        <v>50</v>
      </c>
      <c r="S343" s="9">
        <f t="shared" si="29"/>
        <v>0.05</v>
      </c>
    </row>
    <row r="344" spans="1:19" x14ac:dyDescent="0.3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VLOOKUP('Customer Info'!B336,'Customer Info'!B336:B835,1,0)</f>
        <v>Muhammed</v>
      </c>
      <c r="H344" s="6" t="str">
        <f>VLOOKUP('Customer Info'!C336,'Customer Info'!C336:C835,1)</f>
        <v>Braunhardt</v>
      </c>
      <c r="I344" s="6" t="str">
        <f>VLOOKUP('Customer Info'!E336,'Customer Info'!E336:E835,1,0)</f>
        <v>Lohne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792</v>
      </c>
      <c r="R344" s="2" t="s">
        <v>28</v>
      </c>
      <c r="S344" s="9">
        <f t="shared" si="29"/>
        <v>0.05</v>
      </c>
    </row>
    <row r="345" spans="1:19" x14ac:dyDescent="0.3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VLOOKUP('Customer Info'!B337,'Customer Info'!B337:B836,1,0)</f>
        <v>Nancy</v>
      </c>
      <c r="H345" s="6" t="str">
        <f>VLOOKUP('Customer Info'!C337,'Customer Info'!C337:C836,1)</f>
        <v>Cartwright</v>
      </c>
      <c r="I345" s="6" t="str">
        <f>VLOOKUP('Customer Info'!E337,'Customer Info'!E337:E836,1,0)</f>
        <v>Tengzhou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644</v>
      </c>
      <c r="R345" s="2" t="s">
        <v>28</v>
      </c>
      <c r="S345" s="9">
        <f t="shared" si="29"/>
        <v>0.05</v>
      </c>
    </row>
    <row r="346" spans="1:19" x14ac:dyDescent="0.3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VLOOKUP('Customer Info'!B338,'Customer Info'!B338:B837,1,0)</f>
        <v>Nat</v>
      </c>
      <c r="H346" s="6" t="str">
        <f>VLOOKUP('Customer Info'!C338,'Customer Info'!C338:C837,1)</f>
        <v>Brennan</v>
      </c>
      <c r="I346" s="6" t="str">
        <f>VLOOKUP('Customer Info'!E338,'Customer Info'!E338:E837,1,0)</f>
        <v>Shanghai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225</v>
      </c>
      <c r="R346" s="2" t="s">
        <v>28</v>
      </c>
      <c r="S346" s="9">
        <f t="shared" si="29"/>
        <v>0.05</v>
      </c>
    </row>
    <row r="347" spans="1:19" x14ac:dyDescent="0.3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VLOOKUP('Customer Info'!B339,'Customer Info'!B339:B838,1,0)</f>
        <v>Natalie</v>
      </c>
      <c r="H347" s="6" t="str">
        <f>VLOOKUP('Customer Info'!C339,'Customer Info'!C339:C838,1)</f>
        <v>Carlisle</v>
      </c>
      <c r="I347" s="6" t="str">
        <f>VLOOKUP('Customer Info'!E339,'Customer Info'!E339:E838,1,0)</f>
        <v>Anqing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82</v>
      </c>
      <c r="R347" s="2" t="s">
        <v>26</v>
      </c>
      <c r="S347" s="9">
        <f t="shared" si="29"/>
        <v>0.02</v>
      </c>
    </row>
    <row r="348" spans="1:19" x14ac:dyDescent="0.3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VLOOKUP('Customer Info'!B340,'Customer Info'!B340:B839,1,0)</f>
        <v>Natalie</v>
      </c>
      <c r="H348" s="6" t="str">
        <f>VLOOKUP('Customer Info'!C340,'Customer Info'!C340:C839,1)</f>
        <v>Sorensen</v>
      </c>
      <c r="I348" s="6" t="str">
        <f>VLOOKUP('Customer Info'!E340,'Customer Info'!E340:E839,1,0)</f>
        <v>Ningbo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636</v>
      </c>
      <c r="R348" s="2" t="s">
        <v>28</v>
      </c>
      <c r="S348" s="9">
        <f t="shared" si="29"/>
        <v>0.05</v>
      </c>
    </row>
    <row r="349" spans="1:19" x14ac:dyDescent="0.3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VLOOKUP('Customer Info'!B341,'Customer Info'!B341:B840,1,0)</f>
        <v>Nathan</v>
      </c>
      <c r="H349" s="6" t="str">
        <f>VLOOKUP('Customer Info'!C341,'Customer Info'!C341:C840,1)</f>
        <v>Coakley</v>
      </c>
      <c r="I349" s="6" t="str">
        <f>VLOOKUP('Customer Info'!E341,'Customer Info'!E341:E840,1,0)</f>
        <v>Depok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103</v>
      </c>
      <c r="R349" s="2" t="s">
        <v>26</v>
      </c>
      <c r="S349" s="9">
        <f t="shared" si="29"/>
        <v>0.02</v>
      </c>
    </row>
    <row r="350" spans="1:19" x14ac:dyDescent="0.3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VLOOKUP('Customer Info'!B342,'Customer Info'!B342:B841,1,0)</f>
        <v>Neil</v>
      </c>
      <c r="H350" s="6" t="str">
        <f>VLOOKUP('Customer Info'!C342,'Customer Info'!C342:C841,1)</f>
        <v>Akin</v>
      </c>
      <c r="I350" s="6" t="str">
        <f>VLOOKUP('Customer Info'!E342,'Customer Info'!E342:E841,1,0)</f>
        <v>Mount Isa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340</v>
      </c>
      <c r="R350" s="2" t="s">
        <v>50</v>
      </c>
      <c r="S350" s="9">
        <f t="shared" si="29"/>
        <v>0.05</v>
      </c>
    </row>
    <row r="351" spans="1:19" x14ac:dyDescent="0.3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VLOOKUP('Customer Info'!B343,'Customer Info'!B343:B842,1,0)</f>
        <v>Neil</v>
      </c>
      <c r="H351" s="6" t="str">
        <f>VLOOKUP('Customer Info'!C343,'Customer Info'!C343:C842,1)</f>
        <v>Brennan</v>
      </c>
      <c r="I351" s="6" t="str">
        <f>VLOOKUP('Customer Info'!E343,'Customer Info'!E343:E842,1,0)</f>
        <v>Malang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576</v>
      </c>
      <c r="R351" s="2" t="s">
        <v>50</v>
      </c>
      <c r="S351" s="9">
        <f t="shared" si="29"/>
        <v>0.05</v>
      </c>
    </row>
    <row r="352" spans="1:19" x14ac:dyDescent="0.3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VLOOKUP('Customer Info'!B344,'Customer Info'!B344:B843,1,0)</f>
        <v>Neoma</v>
      </c>
      <c r="H352" s="6" t="str">
        <f>VLOOKUP('Customer Info'!C344,'Customer Info'!C344:C843,1)</f>
        <v>Braunhardt</v>
      </c>
      <c r="I352" s="6" t="str">
        <f>VLOOKUP('Customer Info'!E344,'Customer Info'!E344:E843,1,0)</f>
        <v>Guwahati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330</v>
      </c>
      <c r="R352" s="2" t="s">
        <v>50</v>
      </c>
      <c r="S352" s="9">
        <f t="shared" si="29"/>
        <v>0.05</v>
      </c>
    </row>
    <row r="353" spans="1:19" x14ac:dyDescent="0.3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VLOOKUP('Customer Info'!B345,'Customer Info'!B345:B844,1,0)</f>
        <v>Nick</v>
      </c>
      <c r="H353" s="6" t="str">
        <f>VLOOKUP('Customer Info'!C345,'Customer Info'!C345:C844,1)</f>
        <v>Preis</v>
      </c>
      <c r="I353" s="6" t="str">
        <f>VLOOKUP('Customer Info'!E345,'Customer Info'!E345:E844,1,0)</f>
        <v>Lucknow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48</v>
      </c>
      <c r="R353" s="2" t="s">
        <v>28</v>
      </c>
      <c r="S353" s="9">
        <f t="shared" si="29"/>
        <v>0.02</v>
      </c>
    </row>
    <row r="354" spans="1:19" x14ac:dyDescent="0.3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VLOOKUP('Customer Info'!B346,'Customer Info'!B346:B845,1,0)</f>
        <v>Nick</v>
      </c>
      <c r="H354" s="6" t="str">
        <f>VLOOKUP('Customer Info'!C346,'Customer Info'!C346:C845,1)</f>
        <v>Sorensen</v>
      </c>
      <c r="I354" s="6" t="str">
        <f>VLOOKUP('Customer Info'!E346,'Customer Info'!E346:E845,1,0)</f>
        <v>Surabaya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3576</v>
      </c>
      <c r="R354" s="2" t="s">
        <v>50</v>
      </c>
      <c r="S354" s="9">
        <f t="shared" si="29"/>
        <v>0.09</v>
      </c>
    </row>
    <row r="355" spans="1:19" x14ac:dyDescent="0.3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VLOOKUP('Customer Info'!B347,'Customer Info'!B347:B846,1,0)</f>
        <v>Nicole</v>
      </c>
      <c r="H355" s="6" t="str">
        <f>VLOOKUP('Customer Info'!C347,'Customer Info'!C347:C846,1)</f>
        <v>Fjeld</v>
      </c>
      <c r="I355" s="6" t="str">
        <f>VLOOKUP('Customer Info'!E347,'Customer Info'!E347:E846,1,0)</f>
        <v>Berlin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993</v>
      </c>
      <c r="R355" s="2" t="s">
        <v>28</v>
      </c>
      <c r="S355" s="9">
        <f t="shared" si="29"/>
        <v>0.05</v>
      </c>
    </row>
    <row r="356" spans="1:19" x14ac:dyDescent="0.3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VLOOKUP('Customer Info'!B348,'Customer Info'!B348:B847,1,0)</f>
        <v>Olvera</v>
      </c>
      <c r="H356" s="6" t="str">
        <f>VLOOKUP('Customer Info'!C348,'Customer Info'!C348:C847,1)</f>
        <v>Sorensen</v>
      </c>
      <c r="I356" s="6" t="str">
        <f>VLOOKUP('Customer Info'!E348,'Customer Info'!E348:E847,1,0)</f>
        <v>Neubrandenburg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981</v>
      </c>
      <c r="R356" s="2" t="s">
        <v>50</v>
      </c>
      <c r="S356" s="9">
        <f t="shared" si="29"/>
        <v>7.0000000000000007E-2</v>
      </c>
    </row>
    <row r="357" spans="1:19" x14ac:dyDescent="0.3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VLOOKUP('Customer Info'!B349,'Customer Info'!B349:B848,1,0)</f>
        <v>Olvera</v>
      </c>
      <c r="H357" s="6" t="str">
        <f>VLOOKUP('Customer Info'!C349,'Customer Info'!C349:C848,1)</f>
        <v>Sorensen</v>
      </c>
      <c r="I357" s="6" t="str">
        <f>VLOOKUP('Customer Info'!E349,'Customer Info'!E349:E848,1,0)</f>
        <v>Wollongong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44</v>
      </c>
      <c r="R357" s="2" t="s">
        <v>28</v>
      </c>
      <c r="S357" s="9">
        <f t="shared" si="29"/>
        <v>0.02</v>
      </c>
    </row>
    <row r="358" spans="1:19" x14ac:dyDescent="0.3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VLOOKUP('Customer Info'!B350,'Customer Info'!B350:B849,1,0)</f>
        <v>Pamela</v>
      </c>
      <c r="H358" s="6" t="str">
        <f>VLOOKUP('Customer Info'!C350,'Customer Info'!C350:C849,1)</f>
        <v>Sorensen</v>
      </c>
      <c r="I358" s="6" t="str">
        <f>VLOOKUP('Customer Info'!E350,'Customer Info'!E350:E849,1,0)</f>
        <v>Berlin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268</v>
      </c>
      <c r="R358" s="2" t="s">
        <v>50</v>
      </c>
      <c r="S358" s="9">
        <f t="shared" si="29"/>
        <v>0.02</v>
      </c>
    </row>
    <row r="359" spans="1:19" x14ac:dyDescent="0.3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VLOOKUP('Customer Info'!B351,'Customer Info'!B351:B850,1,0)</f>
        <v>Pamela</v>
      </c>
      <c r="H359" s="6" t="str">
        <f>VLOOKUP('Customer Info'!C351,'Customer Info'!C351:C850,1)</f>
        <v>Bern</v>
      </c>
      <c r="I359" s="6" t="str">
        <f>VLOOKUP('Customer Info'!E351,'Customer Info'!E351:E850,1,0)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36</v>
      </c>
      <c r="R359" s="2" t="s">
        <v>28</v>
      </c>
      <c r="S359" s="9">
        <f t="shared" si="29"/>
        <v>0.02</v>
      </c>
    </row>
    <row r="360" spans="1:19" x14ac:dyDescent="0.3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VLOOKUP('Customer Info'!B352,'Customer Info'!B352:B851,1,0)</f>
        <v>Pamela</v>
      </c>
      <c r="H360" s="6" t="str">
        <f>VLOOKUP('Customer Info'!C352,'Customer Info'!C352:C851,1)</f>
        <v>Mitchum</v>
      </c>
      <c r="I360" s="6" t="str">
        <f>VLOOKUP('Customer Info'!E352,'Customer Info'!E352:E851,1,0)</f>
        <v>Bremen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2925</v>
      </c>
      <c r="R360" s="2" t="s">
        <v>28</v>
      </c>
      <c r="S360" s="9">
        <f t="shared" si="29"/>
        <v>7.0000000000000007E-2</v>
      </c>
    </row>
    <row r="361" spans="1:19" x14ac:dyDescent="0.3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VLOOKUP('Customer Info'!B353,'Customer Info'!B353:B852,1,0)</f>
        <v>Parhena</v>
      </c>
      <c r="H361" s="6" t="str">
        <f>VLOOKUP('Customer Info'!C353,'Customer Info'!C353:C852,1)</f>
        <v>Cartwright</v>
      </c>
      <c r="I361" s="6" t="str">
        <f>VLOOKUP('Customer Info'!E353,'Customer Info'!E353:E852,1,0)</f>
        <v>Bandung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14</v>
      </c>
      <c r="R361" s="2" t="s">
        <v>50</v>
      </c>
      <c r="S361" s="9">
        <f t="shared" si="29"/>
        <v>0.02</v>
      </c>
    </row>
    <row r="362" spans="1:19" x14ac:dyDescent="0.3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VLOOKUP('Customer Info'!B354,'Customer Info'!B354:B853,1,0)</f>
        <v>Patricia</v>
      </c>
      <c r="H362" s="6" t="str">
        <f>VLOOKUP('Customer Info'!C354,'Customer Info'!C354:C853,1)</f>
        <v>Gordon</v>
      </c>
      <c r="I362" s="6" t="str">
        <f>VLOOKUP('Customer Info'!E354,'Customer Info'!E354:E853,1,0)</f>
        <v>Pimpri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20</v>
      </c>
      <c r="R362" s="2" t="s">
        <v>50</v>
      </c>
      <c r="S362" s="9">
        <f t="shared" si="29"/>
        <v>0.02</v>
      </c>
    </row>
    <row r="363" spans="1:19" x14ac:dyDescent="0.3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VLOOKUP('Customer Info'!B355,'Customer Info'!B355:B854,1,0)</f>
        <v>Patrick</v>
      </c>
      <c r="H363" s="6" t="str">
        <f>VLOOKUP('Customer Info'!C355,'Customer Info'!C355:C854,1)</f>
        <v>Brennan</v>
      </c>
      <c r="I363" s="6" t="str">
        <f>VLOOKUP('Customer Info'!E355,'Customer Info'!E355:E854,1,0)</f>
        <v>Sydney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24</v>
      </c>
      <c r="R363" s="2" t="s">
        <v>28</v>
      </c>
      <c r="S363" s="9">
        <f t="shared" si="29"/>
        <v>0.02</v>
      </c>
    </row>
    <row r="364" spans="1:19" x14ac:dyDescent="0.3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VLOOKUP('Customer Info'!B356,'Customer Info'!B356:B855,1,0)</f>
        <v>Patrick</v>
      </c>
      <c r="H364" s="6" t="str">
        <f>VLOOKUP('Customer Info'!C356,'Customer Info'!C356:C855,1)</f>
        <v>Blackwell</v>
      </c>
      <c r="I364" s="6" t="str">
        <f>VLOOKUP('Customer Info'!E356,'Customer Info'!E356:E855,1,0)</f>
        <v>Brisbane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6414</v>
      </c>
      <c r="R364" s="2" t="s">
        <v>50</v>
      </c>
      <c r="S364" s="9">
        <f t="shared" si="29"/>
        <v>0.09</v>
      </c>
    </row>
    <row r="365" spans="1:19" x14ac:dyDescent="0.3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VLOOKUP('Customer Info'!B357,'Customer Info'!B357:B856,1,0)</f>
        <v>Patrick</v>
      </c>
      <c r="H365" s="6" t="str">
        <f>VLOOKUP('Customer Info'!C357,'Customer Info'!C357:C856,1)</f>
        <v>Bzostek</v>
      </c>
      <c r="I365" s="6" t="str">
        <f>VLOOKUP('Customer Info'!E357,'Customer Info'!E357:E856,1,0)</f>
        <v>Krefeld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320</v>
      </c>
      <c r="R365" s="2" t="s">
        <v>50</v>
      </c>
      <c r="S365" s="9">
        <f t="shared" si="29"/>
        <v>0.05</v>
      </c>
    </row>
    <row r="366" spans="1:19" x14ac:dyDescent="0.3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VLOOKUP('Customer Info'!B358,'Customer Info'!B358:B857,1,0)</f>
        <v>Paul</v>
      </c>
      <c r="H366" s="6" t="str">
        <f>VLOOKUP('Customer Info'!C358,'Customer Info'!C358:C857,1)</f>
        <v>Brown</v>
      </c>
      <c r="I366" s="6" t="str">
        <f>VLOOKUP('Customer Info'!E358,'Customer Info'!E358:E857,1,0)</f>
        <v>Durgapur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306</v>
      </c>
      <c r="R366" s="2" t="s">
        <v>28</v>
      </c>
      <c r="S366" s="9">
        <f t="shared" si="29"/>
        <v>0.05</v>
      </c>
    </row>
    <row r="367" spans="1:19" x14ac:dyDescent="0.3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VLOOKUP('Customer Info'!B359,'Customer Info'!B359:B858,1,0)</f>
        <v>Paul</v>
      </c>
      <c r="H367" s="6" t="str">
        <f>VLOOKUP('Customer Info'!C359,'Customer Info'!C359:C858,1)</f>
        <v>Braunhardt</v>
      </c>
      <c r="I367" s="6" t="str">
        <f>VLOOKUP('Customer Info'!E359,'Customer Info'!E359:E858,1,0)</f>
        <v>Gold Coast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300</v>
      </c>
      <c r="R367" s="2" t="s">
        <v>28</v>
      </c>
      <c r="S367" s="9">
        <f t="shared" si="29"/>
        <v>0.05</v>
      </c>
    </row>
    <row r="368" spans="1:19" x14ac:dyDescent="0.3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VLOOKUP('Customer Info'!B360,'Customer Info'!B360:B859,1,0)</f>
        <v>Paul</v>
      </c>
      <c r="H368" s="6" t="str">
        <f>VLOOKUP('Customer Info'!C360,'Customer Info'!C360:C859,1)</f>
        <v>Sorensen</v>
      </c>
      <c r="I368" s="6" t="str">
        <f>VLOOKUP('Customer Info'!E360,'Customer Info'!E360:E859,1,0)</f>
        <v>Kwinana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144</v>
      </c>
      <c r="R368" s="2" t="s">
        <v>28</v>
      </c>
      <c r="S368" s="9">
        <f t="shared" si="29"/>
        <v>0.02</v>
      </c>
    </row>
    <row r="369" spans="1:19" x14ac:dyDescent="0.3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VLOOKUP('Customer Info'!B361,'Customer Info'!B361:B860,1,0)</f>
        <v>Pauline</v>
      </c>
      <c r="H369" s="6" t="str">
        <f>VLOOKUP('Customer Info'!C361,'Customer Info'!C361:C860,1)</f>
        <v>Chand</v>
      </c>
      <c r="I369" s="6" t="str">
        <f>VLOOKUP('Customer Info'!E361,'Customer Info'!E361:E860,1,0)</f>
        <v>Perth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218</v>
      </c>
      <c r="R369" s="2" t="s">
        <v>28</v>
      </c>
      <c r="S369" s="9">
        <f t="shared" si="29"/>
        <v>0.02</v>
      </c>
    </row>
    <row r="370" spans="1:19" x14ac:dyDescent="0.3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VLOOKUP('Customer Info'!B362,'Customer Info'!B362:B861,1,0)</f>
        <v>Peter</v>
      </c>
      <c r="H370" s="6" t="str">
        <f>VLOOKUP('Customer Info'!C362,'Customer Info'!C362:C861,1)</f>
        <v>BŸhler</v>
      </c>
      <c r="I370" s="6" t="str">
        <f>VLOOKUP('Customer Info'!E362,'Customer Info'!E362:E861,1,0)</f>
        <v>Dresden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10</v>
      </c>
      <c r="R370" s="2" t="s">
        <v>50</v>
      </c>
      <c r="S370" s="9">
        <f t="shared" si="29"/>
        <v>0.02</v>
      </c>
    </row>
    <row r="371" spans="1:19" x14ac:dyDescent="0.3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VLOOKUP('Customer Info'!B363,'Customer Info'!B363:B862,1,0)</f>
        <v>Peter</v>
      </c>
      <c r="H371" s="6" t="str">
        <f>VLOOKUP('Customer Info'!C363,'Customer Info'!C363:C862,1)</f>
        <v>Jackson</v>
      </c>
      <c r="I371" s="6" t="str">
        <f>VLOOKUP('Customer Info'!E363,'Customer Info'!E363:E862,1,0)</f>
        <v>Hamburg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108</v>
      </c>
      <c r="R371" s="2" t="s">
        <v>28</v>
      </c>
      <c r="S371" s="9">
        <f t="shared" si="29"/>
        <v>0.02</v>
      </c>
    </row>
    <row r="372" spans="1:19" x14ac:dyDescent="0.3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VLOOKUP('Customer Info'!B364,'Customer Info'!B364:B863,1,0)</f>
        <v>Peter</v>
      </c>
      <c r="H372" s="6" t="str">
        <f>VLOOKUP('Customer Info'!C364,'Customer Info'!C364:C863,1)</f>
        <v>Arnett</v>
      </c>
      <c r="I372" s="6" t="str">
        <f>VLOOKUP('Customer Info'!E364,'Customer Info'!E364:E863,1,0)</f>
        <v>Wolfsburg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918</v>
      </c>
      <c r="R372" s="2" t="s">
        <v>28</v>
      </c>
      <c r="S372" s="9">
        <f t="shared" si="29"/>
        <v>0.05</v>
      </c>
    </row>
    <row r="373" spans="1:19" x14ac:dyDescent="0.3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VLOOKUP('Customer Info'!B365,'Customer Info'!B365:B864,1,0)</f>
        <v>Philip</v>
      </c>
      <c r="H373" s="6" t="str">
        <f>VLOOKUP('Customer Info'!C365,'Customer Info'!C365:C864,1)</f>
        <v>Brennan</v>
      </c>
      <c r="I373" s="6" t="str">
        <f>VLOOKUP('Customer Info'!E365,'Customer Info'!E365:E864,1,0)</f>
        <v>Mount Isa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219</v>
      </c>
      <c r="R373" s="2" t="s">
        <v>28</v>
      </c>
      <c r="S373" s="9">
        <f t="shared" si="29"/>
        <v>0.02</v>
      </c>
    </row>
    <row r="374" spans="1:19" x14ac:dyDescent="0.3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VLOOKUP('Customer Info'!B366,'Customer Info'!B366:B865,1,0)</f>
        <v>Philip</v>
      </c>
      <c r="H374" s="6" t="str">
        <f>VLOOKUP('Customer Info'!C366,'Customer Info'!C366:C865,1)</f>
        <v>Brown</v>
      </c>
      <c r="I374" s="6" t="str">
        <f>VLOOKUP('Customer Info'!E366,'Customer Info'!E366:E865,1,0)</f>
        <v>Binjai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1782</v>
      </c>
      <c r="R374" s="2" t="s">
        <v>56</v>
      </c>
      <c r="S374" s="9">
        <f t="shared" si="29"/>
        <v>0.05</v>
      </c>
    </row>
    <row r="375" spans="1:19" x14ac:dyDescent="0.3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VLOOKUP('Customer Info'!B367,'Customer Info'!B367:B866,1,0)</f>
        <v>Philip</v>
      </c>
      <c r="H375" s="6" t="str">
        <f>VLOOKUP('Customer Info'!C367,'Customer Info'!C367:C866,1)</f>
        <v>Collister</v>
      </c>
      <c r="I375" s="6" t="str">
        <f>VLOOKUP('Customer Info'!E367,'Customer Info'!E367:E866,1,0)</f>
        <v>Remscheid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570</v>
      </c>
      <c r="R375" s="2" t="s">
        <v>50</v>
      </c>
      <c r="S375" s="9">
        <f t="shared" si="29"/>
        <v>7.0000000000000007E-2</v>
      </c>
    </row>
    <row r="376" spans="1:19" x14ac:dyDescent="0.3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VLOOKUP('Customer Info'!B368,'Customer Info'!B368:B867,1,0)</f>
        <v>Philisse</v>
      </c>
      <c r="H376" s="6" t="str">
        <f>VLOOKUP('Customer Info'!C368,'Customer Info'!C368:C867,1)</f>
        <v>Braunhardt</v>
      </c>
      <c r="I376" s="6" t="str">
        <f>VLOOKUP('Customer Info'!E368,'Customer Info'!E368:E867,1,0)</f>
        <v>Devonport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340</v>
      </c>
      <c r="R376" s="2" t="s">
        <v>50</v>
      </c>
      <c r="S376" s="9">
        <f t="shared" si="29"/>
        <v>0.02</v>
      </c>
    </row>
    <row r="377" spans="1:19" x14ac:dyDescent="0.3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VLOOKUP('Customer Info'!B369,'Customer Info'!B369:B868,1,0)</f>
        <v>Philisse</v>
      </c>
      <c r="H377" s="6" t="str">
        <f>VLOOKUP('Customer Info'!C369,'Customer Info'!C369:C868,1)</f>
        <v>Brown</v>
      </c>
      <c r="I377" s="6" t="str">
        <f>VLOOKUP('Customer Info'!E369,'Customer Info'!E369:E868,1,0)</f>
        <v>Potsdam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532</v>
      </c>
      <c r="R377" s="2" t="s">
        <v>28</v>
      </c>
      <c r="S377" s="9">
        <f t="shared" si="29"/>
        <v>0.05</v>
      </c>
    </row>
    <row r="378" spans="1:19" x14ac:dyDescent="0.3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VLOOKUP('Customer Info'!B370,'Customer Info'!B370:B869,1,0)</f>
        <v>Quincy</v>
      </c>
      <c r="H378" s="6" t="str">
        <f>VLOOKUP('Customer Info'!C370,'Customer Info'!C370:C869,1)</f>
        <v>Braunhardt</v>
      </c>
      <c r="I378" s="6" t="str">
        <f>VLOOKUP('Customer Info'!E370,'Customer Info'!E370:E869,1,0)</f>
        <v>Gold Coast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4</v>
      </c>
      <c r="R378" s="2" t="s">
        <v>28</v>
      </c>
      <c r="S378" s="9">
        <f t="shared" si="29"/>
        <v>0.02</v>
      </c>
    </row>
    <row r="379" spans="1:19" x14ac:dyDescent="0.3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VLOOKUP('Customer Info'!B371,'Customer Info'!B371:B870,1,0)</f>
        <v>Rachel</v>
      </c>
      <c r="H379" s="6" t="str">
        <f>VLOOKUP('Customer Info'!C371,'Customer Info'!C371:C870,1)</f>
        <v>Brown</v>
      </c>
      <c r="I379" s="6" t="str">
        <f>VLOOKUP('Customer Info'!E371,'Customer Info'!E371:E870,1,0)</f>
        <v>Caloundra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345</v>
      </c>
      <c r="R379" s="2" t="s">
        <v>50</v>
      </c>
      <c r="S379" s="9">
        <f t="shared" si="29"/>
        <v>0.05</v>
      </c>
    </row>
    <row r="380" spans="1:19" x14ac:dyDescent="0.3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VLOOKUP('Customer Info'!B372,'Customer Info'!B372:B871,1,0)</f>
        <v>Rachel</v>
      </c>
      <c r="H380" s="6" t="str">
        <f>VLOOKUP('Customer Info'!C372,'Customer Info'!C372:C871,1)</f>
        <v>Brown</v>
      </c>
      <c r="I380" s="6" t="str">
        <f>VLOOKUP('Customer Info'!E372,'Customer Info'!E372:E871,1,0)</f>
        <v>Mianyang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405</v>
      </c>
      <c r="R380" s="2" t="s">
        <v>28</v>
      </c>
      <c r="S380" s="9">
        <f t="shared" si="29"/>
        <v>0.05</v>
      </c>
    </row>
    <row r="381" spans="1:19" x14ac:dyDescent="0.3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VLOOKUP('Customer Info'!B373,'Customer Info'!B373:B872,1,0)</f>
        <v>Rachel</v>
      </c>
      <c r="H381" s="6" t="str">
        <f>VLOOKUP('Customer Info'!C373,'Customer Info'!C373:C872,1)</f>
        <v>Brown</v>
      </c>
      <c r="I381" s="6" t="str">
        <f>VLOOKUP('Customer Info'!E373,'Customer Info'!E373:E872,1,0)</f>
        <v>Nagercoil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315</v>
      </c>
      <c r="R381" s="2" t="s">
        <v>50</v>
      </c>
      <c r="S381" s="9">
        <f t="shared" si="29"/>
        <v>0.05</v>
      </c>
    </row>
    <row r="382" spans="1:19" x14ac:dyDescent="0.3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VLOOKUP('Customer Info'!B374,'Customer Info'!B374:B873,1,0)</f>
        <v>Rachel</v>
      </c>
      <c r="H382" s="6" t="str">
        <f>VLOOKUP('Customer Info'!C374,'Customer Info'!C374:C873,1)</f>
        <v>Brennan</v>
      </c>
      <c r="I382" s="6" t="str">
        <f>VLOOKUP('Customer Info'!E374,'Customer Info'!E374:E873,1,0)</f>
        <v>Fuzhou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711</v>
      </c>
      <c r="R382" s="2" t="s">
        <v>28</v>
      </c>
      <c r="S382" s="9">
        <f t="shared" si="29"/>
        <v>0.05</v>
      </c>
    </row>
    <row r="383" spans="1:19" x14ac:dyDescent="0.3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VLOOKUP('Customer Info'!B375,'Customer Info'!B375:B874,1,0)</f>
        <v>Rachel</v>
      </c>
      <c r="H383" s="6" t="str">
        <f>VLOOKUP('Customer Info'!C375,'Customer Info'!C375:C874,1)</f>
        <v>Jackson</v>
      </c>
      <c r="I383" s="6" t="str">
        <f>VLOOKUP('Customer Info'!E375,'Customer Info'!E375:E874,1,0)</f>
        <v>Raipur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368</v>
      </c>
      <c r="R383" s="2" t="s">
        <v>50</v>
      </c>
      <c r="S383" s="9">
        <f t="shared" si="29"/>
        <v>0.05</v>
      </c>
    </row>
    <row r="384" spans="1:19" x14ac:dyDescent="0.3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VLOOKUP('Customer Info'!B376,'Customer Info'!B376:B875,1,0)</f>
        <v>Ralph</v>
      </c>
      <c r="H384" s="6" t="str">
        <f>VLOOKUP('Customer Info'!C376,'Customer Info'!C376:C875,1)</f>
        <v>Chand</v>
      </c>
      <c r="I384" s="6" t="str">
        <f>VLOOKUP('Customer Info'!E376,'Customer Info'!E376:E875,1,0)</f>
        <v>Perth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1242</v>
      </c>
      <c r="R384" s="2" t="s">
        <v>26</v>
      </c>
      <c r="S384" s="9">
        <f t="shared" si="29"/>
        <v>0.05</v>
      </c>
    </row>
    <row r="385" spans="1:19" x14ac:dyDescent="0.3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VLOOKUP('Customer Info'!B377,'Customer Info'!B377:B876,1,0)</f>
        <v>Ralph</v>
      </c>
      <c r="H385" s="6" t="str">
        <f>VLOOKUP('Customer Info'!C377,'Customer Info'!C377:C876,1)</f>
        <v>Arnett</v>
      </c>
      <c r="I385" s="6" t="str">
        <f>VLOOKUP('Customer Info'!E377,'Customer Info'!E377:E876,1,0)</f>
        <v>Jhansi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2912</v>
      </c>
      <c r="R385" s="2" t="s">
        <v>50</v>
      </c>
      <c r="S385" s="9">
        <f t="shared" si="29"/>
        <v>7.0000000000000007E-2</v>
      </c>
    </row>
    <row r="386" spans="1:19" x14ac:dyDescent="0.3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VLOOKUP('Customer Info'!B378,'Customer Info'!B378:B877,1,0)</f>
        <v>Ralph</v>
      </c>
      <c r="H386" s="6" t="str">
        <f>VLOOKUP('Customer Info'!C378,'Customer Info'!C378:C877,1)</f>
        <v>Arnett</v>
      </c>
      <c r="I386" s="6" t="str">
        <f>VLOOKUP('Customer Info'!E378,'Customer Info'!E378:E877,1,0)</f>
        <v>Shenyang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24</v>
      </c>
      <c r="R386" s="2" t="s">
        <v>26</v>
      </c>
      <c r="S386" s="9">
        <f t="shared" si="29"/>
        <v>0.02</v>
      </c>
    </row>
    <row r="387" spans="1:19" x14ac:dyDescent="0.3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VLOOKUP('Customer Info'!B379,'Customer Info'!B379:B878,1,0)</f>
        <v>Ralph</v>
      </c>
      <c r="H387" s="6" t="str">
        <f>VLOOKUP('Customer Info'!C379,'Customer Info'!C379:C878,1)</f>
        <v>Arnett</v>
      </c>
      <c r="I387" s="6" t="str">
        <f>VLOOKUP('Customer Info'!E379,'Customer Info'!E379:E878,1,0)</f>
        <v>Suzhou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78</v>
      </c>
      <c r="R387" s="2" t="s">
        <v>28</v>
      </c>
      <c r="S387" s="9">
        <f t="shared" si="29"/>
        <v>0.02</v>
      </c>
    </row>
    <row r="388" spans="1:19" x14ac:dyDescent="0.3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VLOOKUP('Customer Info'!B380,'Customer Info'!B380:B879,1,0)</f>
        <v>Ralph</v>
      </c>
      <c r="H388" s="6" t="str">
        <f>VLOOKUP('Customer Info'!C380,'Customer Info'!C380:C879,1)</f>
        <v>Arnett</v>
      </c>
      <c r="I388" s="6" t="str">
        <f>VLOOKUP('Customer Info'!E380,'Customer Info'!E380:E879,1,0)</f>
        <v>Wolfsburg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28</v>
      </c>
      <c r="R388" s="2" t="s">
        <v>50</v>
      </c>
      <c r="S388" s="9">
        <f t="shared" si="29"/>
        <v>0.02</v>
      </c>
    </row>
    <row r="389" spans="1:19" x14ac:dyDescent="0.3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VLOOKUP('Customer Info'!B381,'Customer Info'!B381:B880,1,0)</f>
        <v>Ralph</v>
      </c>
      <c r="H389" s="6" t="str">
        <f>VLOOKUP('Customer Info'!C381,'Customer Info'!C381:C880,1)</f>
        <v>Boland</v>
      </c>
      <c r="I389" s="6" t="str">
        <f>VLOOKUP('Customer Info'!E381,'Customer Info'!E381:E880,1,0)</f>
        <v>Bundaberg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3456</v>
      </c>
      <c r="R389" s="2" t="s">
        <v>28</v>
      </c>
      <c r="S389" s="9">
        <f t="shared" si="29"/>
        <v>0.09</v>
      </c>
    </row>
    <row r="390" spans="1:19" x14ac:dyDescent="0.3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VLOOKUP('Customer Info'!B382,'Customer Info'!B382:B881,1,0)</f>
        <v>Randy</v>
      </c>
      <c r="H390" s="6" t="str">
        <f>VLOOKUP('Customer Info'!C382,'Customer Info'!C382:C881,1)</f>
        <v>Collister</v>
      </c>
      <c r="I390" s="6" t="str">
        <f>VLOOKUP('Customer Info'!E382,'Customer Info'!E382:E881,1,0)</f>
        <v>Adelaide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233</v>
      </c>
      <c r="R390" s="2" t="s">
        <v>28</v>
      </c>
      <c r="S390" s="9">
        <f t="shared" si="29"/>
        <v>0.02</v>
      </c>
    </row>
    <row r="391" spans="1:19" x14ac:dyDescent="0.3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VLOOKUP('Customer Info'!B383,'Customer Info'!B383:B882,1,0)</f>
        <v>Randy</v>
      </c>
      <c r="H391" s="6" t="str">
        <f>VLOOKUP('Customer Info'!C383,'Customer Info'!C383:C882,1)</f>
        <v>Barcio</v>
      </c>
      <c r="I391" s="6" t="str">
        <f>VLOOKUP('Customer Info'!E383,'Customer Info'!E383:E882,1,0)</f>
        <v>Wollongong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216</v>
      </c>
      <c r="R391" s="2" t="s">
        <v>28</v>
      </c>
      <c r="S391" s="9">
        <f t="shared" si="29"/>
        <v>0.05</v>
      </c>
    </row>
    <row r="392" spans="1:19" x14ac:dyDescent="0.3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VLOOKUP('Customer Info'!B384,'Customer Info'!B384:B883,1,0)</f>
        <v>Resi</v>
      </c>
      <c r="H392" s="6" t="str">
        <f>VLOOKUP('Customer Info'!C384,'Customer Info'!C384:C883,1)</f>
        <v>Braunhardt</v>
      </c>
      <c r="I392" s="6" t="str">
        <f>VLOOKUP('Customer Info'!E384,'Customer Info'!E384:E883,1,0)</f>
        <v>Gelsenkirchen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232</v>
      </c>
      <c r="R392" s="2" t="s">
        <v>28</v>
      </c>
      <c r="S392" s="9">
        <f t="shared" si="29"/>
        <v>0.05</v>
      </c>
    </row>
    <row r="393" spans="1:19" x14ac:dyDescent="0.3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VLOOKUP('Customer Info'!B385,'Customer Info'!B385:B884,1,0)</f>
        <v>Rick</v>
      </c>
      <c r="H393" s="6" t="str">
        <f>VLOOKUP('Customer Info'!C385,'Customer Info'!C385:C884,1)</f>
        <v>Foulston</v>
      </c>
      <c r="I393" s="6" t="str">
        <f>VLOOKUP('Customer Info'!E385,'Customer Info'!E385:E884,1,0)</f>
        <v>Lucknow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3564</v>
      </c>
      <c r="R393" s="2" t="s">
        <v>28</v>
      </c>
      <c r="S393" s="9">
        <f t="shared" si="29"/>
        <v>7.0000000000000007E-2</v>
      </c>
    </row>
    <row r="394" spans="1:19" x14ac:dyDescent="0.3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VLOOKUP('Customer Info'!B386,'Customer Info'!B386:B885,1,0)</f>
        <v>Rick</v>
      </c>
      <c r="H394" s="6" t="str">
        <f>VLOOKUP('Customer Info'!C386,'Customer Info'!C386:C885,1)</f>
        <v>Barcio</v>
      </c>
      <c r="I394" s="6" t="str">
        <f>VLOOKUP('Customer Info'!E386,'Customer Info'!E386:E885,1,0)</f>
        <v>Bhiwandi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1065</v>
      </c>
      <c r="R394" s="2" t="s">
        <v>56</v>
      </c>
      <c r="S394" s="9">
        <f t="shared" si="29"/>
        <v>0.05</v>
      </c>
    </row>
    <row r="395" spans="1:19" x14ac:dyDescent="0.3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VLOOKUP('Customer Info'!B387,'Customer Info'!B387:B886,1,0)</f>
        <v>Rick</v>
      </c>
      <c r="H395" s="6" t="str">
        <f>VLOOKUP('Customer Info'!C387,'Customer Info'!C387:C886,1)</f>
        <v>Collister</v>
      </c>
      <c r="I395" s="6" t="str">
        <f>VLOOKUP('Customer Info'!E387,'Customer Info'!E387:E886,1,0)</f>
        <v>Surakarta</v>
      </c>
      <c r="J395" s="2">
        <v>751</v>
      </c>
      <c r="K395" s="2">
        <v>696</v>
      </c>
      <c r="L395" s="2">
        <v>2</v>
      </c>
      <c r="M395" s="7">
        <f t="shared" ref="M395:M458" si="30">(K395*L395)</f>
        <v>1392</v>
      </c>
      <c r="N395" s="7">
        <f t="shared" ref="N395:N458" si="31">(J395*L395)</f>
        <v>1502</v>
      </c>
      <c r="O395" s="2">
        <v>98</v>
      </c>
      <c r="P395" s="8">
        <f t="shared" ref="P395:P458" si="32">(N395+O395)</f>
        <v>1600</v>
      </c>
      <c r="Q395" s="8">
        <f t="shared" ref="Q395:Q458" si="33">(N395-M395)</f>
        <v>110</v>
      </c>
      <c r="R395" s="2" t="s">
        <v>26</v>
      </c>
      <c r="S395" s="9">
        <f t="shared" ref="S395:S458" si="34">_xlfn.IFS(P395&gt;250000,0.15,P395&gt;100000,0.12,P395&gt;50000,0.09,P395&gt;25000,0.07,P395&gt;5000,0.05,
 TRUE,0.02)</f>
        <v>0.02</v>
      </c>
    </row>
    <row r="396" spans="1:19" x14ac:dyDescent="0.3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VLOOKUP('Customer Info'!B388,'Customer Info'!B388:B887,1,0)</f>
        <v>Ritsa</v>
      </c>
      <c r="H396" s="6" t="str">
        <f>VLOOKUP('Customer Info'!C388,'Customer Info'!C388:C887,1)</f>
        <v>Fjeld</v>
      </c>
      <c r="I396" s="6" t="str">
        <f>VLOOKUP('Customer Info'!E388,'Customer Info'!E388:E887,1,0)</f>
        <v>Hamburg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1456</v>
      </c>
      <c r="R396" s="2" t="s">
        <v>56</v>
      </c>
      <c r="S396" s="9">
        <f t="shared" si="34"/>
        <v>0.05</v>
      </c>
    </row>
    <row r="397" spans="1:19" x14ac:dyDescent="0.3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VLOOKUP('Customer Info'!B389,'Customer Info'!B389:B888,1,0)</f>
        <v>Ritsa</v>
      </c>
      <c r="H397" s="6" t="str">
        <f>VLOOKUP('Customer Info'!C389,'Customer Info'!C389:C888,1)</f>
        <v>Chand</v>
      </c>
      <c r="I397" s="6" t="str">
        <f>VLOOKUP('Customer Info'!E389,'Customer Info'!E389:E888,1,0)</f>
        <v>Datong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394</v>
      </c>
      <c r="R397" s="2" t="s">
        <v>28</v>
      </c>
      <c r="S397" s="9">
        <f t="shared" si="34"/>
        <v>0.05</v>
      </c>
    </row>
    <row r="398" spans="1:19" x14ac:dyDescent="0.3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VLOOKUP('Customer Info'!B390,'Customer Info'!B390:B889,1,0)</f>
        <v>Rob</v>
      </c>
      <c r="H398" s="6" t="str">
        <f>VLOOKUP('Customer Info'!C390,'Customer Info'!C390:C889,1)</f>
        <v>Sorensen</v>
      </c>
      <c r="I398" s="6" t="str">
        <f>VLOOKUP('Customer Info'!E390,'Customer Info'!E390:E889,1,0)</f>
        <v>Wodonga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30</v>
      </c>
      <c r="R398" s="2" t="s">
        <v>28</v>
      </c>
      <c r="S398" s="9">
        <f t="shared" si="34"/>
        <v>0.02</v>
      </c>
    </row>
    <row r="399" spans="1:19" x14ac:dyDescent="0.3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VLOOKUP('Customer Info'!B391,'Customer Info'!B391:B890,1,0)</f>
        <v>Rob</v>
      </c>
      <c r="H399" s="6" t="str">
        <f>VLOOKUP('Customer Info'!C391,'Customer Info'!C391:C890,1)</f>
        <v>Craven</v>
      </c>
      <c r="I399" s="6" t="str">
        <f>VLOOKUP('Customer Info'!E391,'Customer Info'!E391:E890,1,0)</f>
        <v>Harbin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1720</v>
      </c>
      <c r="R399" s="2" t="s">
        <v>26</v>
      </c>
      <c r="S399" s="9">
        <f t="shared" si="34"/>
        <v>0.05</v>
      </c>
    </row>
    <row r="400" spans="1:19" x14ac:dyDescent="0.3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VLOOKUP('Customer Info'!B392,'Customer Info'!B392:B891,1,0)</f>
        <v>Robert</v>
      </c>
      <c r="H400" s="6" t="str">
        <f>VLOOKUP('Customer Info'!C392,'Customer Info'!C392:C891,1)</f>
        <v>Akin</v>
      </c>
      <c r="I400" s="6" t="str">
        <f>VLOOKUP('Customer Info'!E392,'Customer Info'!E392:E891,1,0)</f>
        <v>Sydney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1425</v>
      </c>
      <c r="R400" s="2" t="s">
        <v>28</v>
      </c>
      <c r="S400" s="9">
        <f t="shared" si="34"/>
        <v>0.05</v>
      </c>
    </row>
    <row r="401" spans="1:19" x14ac:dyDescent="0.3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VLOOKUP('Customer Info'!B393,'Customer Info'!B393:B892,1,0)</f>
        <v>Robert</v>
      </c>
      <c r="H401" s="6" t="str">
        <f>VLOOKUP('Customer Info'!C393,'Customer Info'!C393:C892,1)</f>
        <v>Dilbeck</v>
      </c>
      <c r="I401" s="6" t="str">
        <f>VLOOKUP('Customer Info'!E393,'Customer Info'!E393:E892,1,0)</f>
        <v>Bihar Sharif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154</v>
      </c>
      <c r="R401" s="2" t="s">
        <v>28</v>
      </c>
      <c r="S401" s="9">
        <f t="shared" si="34"/>
        <v>0.02</v>
      </c>
    </row>
    <row r="402" spans="1:19" x14ac:dyDescent="0.3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VLOOKUP('Customer Info'!B394,'Customer Info'!B394:B893,1,0)</f>
        <v>Robert</v>
      </c>
      <c r="H402" s="6" t="str">
        <f>VLOOKUP('Customer Info'!C394,'Customer Info'!C394:C893,1)</f>
        <v>Barcio</v>
      </c>
      <c r="I402" s="6" t="str">
        <f>VLOOKUP('Customer Info'!E394,'Customer Info'!E394:E893,1,0)</f>
        <v>Melton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1164</v>
      </c>
      <c r="R402" s="2" t="s">
        <v>28</v>
      </c>
      <c r="S402" s="9">
        <f t="shared" si="34"/>
        <v>0.05</v>
      </c>
    </row>
    <row r="403" spans="1:19" x14ac:dyDescent="0.3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VLOOKUP('Customer Info'!B395,'Customer Info'!B395:B894,1,0)</f>
        <v>Robert</v>
      </c>
      <c r="H403" s="6" t="str">
        <f>VLOOKUP('Customer Info'!C395,'Customer Info'!C395:C894,1)</f>
        <v>Sorensen</v>
      </c>
      <c r="I403" s="6" t="str">
        <f>VLOOKUP('Customer Info'!E395,'Customer Info'!E395:E894,1,0)</f>
        <v>Emden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219</v>
      </c>
      <c r="R403" s="2" t="s">
        <v>28</v>
      </c>
      <c r="S403" s="9">
        <f t="shared" si="34"/>
        <v>0.02</v>
      </c>
    </row>
    <row r="404" spans="1:19" x14ac:dyDescent="0.3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VLOOKUP('Customer Info'!B396,'Customer Info'!B396:B895,1,0)</f>
        <v>Roger</v>
      </c>
      <c r="H404" s="6" t="str">
        <f>VLOOKUP('Customer Info'!C396,'Customer Info'!C396:C895,1)</f>
        <v>Barcio</v>
      </c>
      <c r="I404" s="6" t="str">
        <f>VLOOKUP('Customer Info'!E396,'Customer Info'!E396:E895,1,0)</f>
        <v>Wollongong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17</v>
      </c>
      <c r="R404" s="2" t="s">
        <v>26</v>
      </c>
      <c r="S404" s="9">
        <f t="shared" si="34"/>
        <v>0.02</v>
      </c>
    </row>
    <row r="405" spans="1:19" x14ac:dyDescent="0.3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VLOOKUP('Customer Info'!B397,'Customer Info'!B397:B896,1,0)</f>
        <v>Roger</v>
      </c>
      <c r="H405" s="6" t="str">
        <f>VLOOKUP('Customer Info'!C397,'Customer Info'!C397:C896,1)</f>
        <v>Applegate</v>
      </c>
      <c r="I405" s="6" t="str">
        <f>VLOOKUP('Customer Info'!E397,'Customer Info'!E397:E896,1,0)</f>
        <v>Bremen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354</v>
      </c>
      <c r="R405" s="2" t="s">
        <v>56</v>
      </c>
      <c r="S405" s="9">
        <f t="shared" si="34"/>
        <v>0.02</v>
      </c>
    </row>
    <row r="406" spans="1:19" x14ac:dyDescent="0.3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VLOOKUP('Customer Info'!B398,'Customer Info'!B398:B897,1,0)</f>
        <v>Roger</v>
      </c>
      <c r="H406" s="6" t="str">
        <f>VLOOKUP('Customer Info'!C398,'Customer Info'!C398:C897,1)</f>
        <v>Akin</v>
      </c>
      <c r="I406" s="6" t="str">
        <f>VLOOKUP('Customer Info'!E398,'Customer Info'!E398:E897,1,0)</f>
        <v>Celle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462</v>
      </c>
      <c r="R406" s="2" t="s">
        <v>28</v>
      </c>
      <c r="S406" s="9">
        <f t="shared" si="34"/>
        <v>0.05</v>
      </c>
    </row>
    <row r="407" spans="1:19" x14ac:dyDescent="0.3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VLOOKUP('Customer Info'!B399,'Customer Info'!B399:B898,1,0)</f>
        <v>Roland</v>
      </c>
      <c r="H407" s="6" t="str">
        <f>VLOOKUP('Customer Info'!C399,'Customer Info'!C399:C898,1)</f>
        <v>Carlisle</v>
      </c>
      <c r="I407" s="6" t="str">
        <f>VLOOKUP('Customer Info'!E399,'Customer Info'!E399:E898,1,0)</f>
        <v>Caloundra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35</v>
      </c>
      <c r="R407" s="2" t="s">
        <v>28</v>
      </c>
      <c r="S407" s="9">
        <f t="shared" si="34"/>
        <v>0.02</v>
      </c>
    </row>
    <row r="408" spans="1:19" x14ac:dyDescent="0.3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VLOOKUP('Customer Info'!B400,'Customer Info'!B400:B899,1,0)</f>
        <v>Roland</v>
      </c>
      <c r="H408" s="6" t="str">
        <f>VLOOKUP('Customer Info'!C400,'Customer Info'!C400:C899,1)</f>
        <v>Cartwright</v>
      </c>
      <c r="I408" s="6" t="str">
        <f>VLOOKUP('Customer Info'!E400,'Customer Info'!E400:E899,1,0)</f>
        <v>Frankfurt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559</v>
      </c>
      <c r="R408" s="2" t="s">
        <v>50</v>
      </c>
      <c r="S408" s="9">
        <f t="shared" si="34"/>
        <v>0.05</v>
      </c>
    </row>
    <row r="409" spans="1:19" x14ac:dyDescent="0.3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VLOOKUP('Customer Info'!B401,'Customer Info'!B401:B900,1,0)</f>
        <v>Roy</v>
      </c>
      <c r="H409" s="6" t="str">
        <f>VLOOKUP('Customer Info'!C401,'Customer Info'!C401:C900,1)</f>
        <v>Preis</v>
      </c>
      <c r="I409" s="6" t="str">
        <f>VLOOKUP('Customer Info'!E401,'Customer Info'!E401:E900,1,0)</f>
        <v>Bogor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350</v>
      </c>
      <c r="R409" s="2" t="s">
        <v>26</v>
      </c>
      <c r="S409" s="9">
        <f t="shared" si="34"/>
        <v>0.02</v>
      </c>
    </row>
    <row r="410" spans="1:19" x14ac:dyDescent="0.3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VLOOKUP('Customer Info'!B402,'Customer Info'!B402:B901,1,0)</f>
        <v>Roy</v>
      </c>
      <c r="H410" s="6" t="str">
        <f>VLOOKUP('Customer Info'!C402,'Customer Info'!C402:C901,1)</f>
        <v>Braunhardt</v>
      </c>
      <c r="I410" s="6" t="str">
        <f>VLOOKUP('Customer Info'!E402,'Customer Info'!E402:E901,1,0)</f>
        <v>Melbourne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276</v>
      </c>
      <c r="R410" s="2" t="s">
        <v>50</v>
      </c>
      <c r="S410" s="9">
        <f t="shared" si="34"/>
        <v>0.02</v>
      </c>
    </row>
    <row r="411" spans="1:19" x14ac:dyDescent="0.3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VLOOKUP('Customer Info'!B403,'Customer Info'!B403:B902,1,0)</f>
        <v>Ruben</v>
      </c>
      <c r="H411" s="6" t="str">
        <f>VLOOKUP('Customer Info'!C403,'Customer Info'!C403:C902,1)</f>
        <v>Ausman</v>
      </c>
      <c r="I411" s="6" t="str">
        <f>VLOOKUP('Customer Info'!E403,'Customer Info'!E403:E902,1,0)</f>
        <v>Sonneberg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1001</v>
      </c>
      <c r="R411" s="2" t="s">
        <v>50</v>
      </c>
      <c r="S411" s="9">
        <f t="shared" si="34"/>
        <v>0.05</v>
      </c>
    </row>
    <row r="412" spans="1:19" x14ac:dyDescent="0.3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VLOOKUP('Customer Info'!B404,'Customer Info'!B404:B903,1,0)</f>
        <v>Russell</v>
      </c>
      <c r="H412" s="6" t="str">
        <f>VLOOKUP('Customer Info'!C404,'Customer Info'!C404:C903,1)</f>
        <v>Akin</v>
      </c>
      <c r="I412" s="6" t="str">
        <f>VLOOKUP('Customer Info'!E404,'Customer Info'!E404:E903,1,0)</f>
        <v>Gorakhpur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75</v>
      </c>
      <c r="R412" s="2" t="s">
        <v>28</v>
      </c>
      <c r="S412" s="9">
        <f t="shared" si="34"/>
        <v>0.02</v>
      </c>
    </row>
    <row r="413" spans="1:19" x14ac:dyDescent="0.3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VLOOKUP('Customer Info'!B405,'Customer Info'!B405:B904,1,0)</f>
        <v>Ryan</v>
      </c>
      <c r="H413" s="6" t="str">
        <f>VLOOKUP('Customer Info'!C405,'Customer Info'!C405:C904,1)</f>
        <v>Carlisle</v>
      </c>
      <c r="I413" s="6" t="str">
        <f>VLOOKUP('Customer Info'!E405,'Customer Info'!E405:E904,1,0)</f>
        <v>Kanpur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140</v>
      </c>
      <c r="R413" s="2" t="s">
        <v>26</v>
      </c>
      <c r="S413" s="9">
        <f t="shared" si="34"/>
        <v>0.02</v>
      </c>
    </row>
    <row r="414" spans="1:19" x14ac:dyDescent="0.3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VLOOKUP('Customer Info'!B406,'Customer Info'!B406:B905,1,0)</f>
        <v>Ryan</v>
      </c>
      <c r="H414" s="6" t="str">
        <f>VLOOKUP('Customer Info'!C406,'Customer Info'!C406:C905,1)</f>
        <v>Akin</v>
      </c>
      <c r="I414" s="6" t="str">
        <f>VLOOKUP('Customer Info'!E406,'Customer Info'!E406:E905,1,0)</f>
        <v>Bayreuth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51</v>
      </c>
      <c r="R414" s="2" t="s">
        <v>50</v>
      </c>
      <c r="S414" s="9">
        <f t="shared" si="34"/>
        <v>0.02</v>
      </c>
    </row>
    <row r="415" spans="1:19" x14ac:dyDescent="0.3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VLOOKUP('Customer Info'!B407,'Customer Info'!B407:B906,1,0)</f>
        <v>Sally</v>
      </c>
      <c r="H415" s="6" t="str">
        <f>VLOOKUP('Customer Info'!C407,'Customer Info'!C407:C906,1)</f>
        <v>Braunhardt</v>
      </c>
      <c r="I415" s="6" t="str">
        <f>VLOOKUP('Customer Info'!E407,'Customer Info'!E407:E906,1,0)</f>
        <v>Depok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91</v>
      </c>
      <c r="R415" s="2" t="s">
        <v>28</v>
      </c>
      <c r="S415" s="9">
        <f t="shared" si="34"/>
        <v>0.02</v>
      </c>
    </row>
    <row r="416" spans="1:19" x14ac:dyDescent="0.3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VLOOKUP('Customer Info'!B408,'Customer Info'!B408:B907,1,0)</f>
        <v>Sally</v>
      </c>
      <c r="H416" s="6" t="str">
        <f>VLOOKUP('Customer Info'!C408,'Customer Info'!C408:C907,1)</f>
        <v>Glocke</v>
      </c>
      <c r="I416" s="6" t="str">
        <f>VLOOKUP('Customer Info'!E408,'Customer Info'!E408:E907,1,0)</f>
        <v>CastropRauxel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434</v>
      </c>
      <c r="R416" s="2" t="s">
        <v>28</v>
      </c>
      <c r="S416" s="9">
        <f t="shared" si="34"/>
        <v>0.05</v>
      </c>
    </row>
    <row r="417" spans="1:19" x14ac:dyDescent="0.3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VLOOKUP('Customer Info'!B409,'Customer Info'!B409:B908,1,0)</f>
        <v>Sam</v>
      </c>
      <c r="H417" s="6" t="str">
        <f>VLOOKUP('Customer Info'!C409,'Customer Info'!C409:C908,1)</f>
        <v>Calhoun</v>
      </c>
      <c r="I417" s="6" t="str">
        <f>VLOOKUP('Customer Info'!E409,'Customer Info'!E409:E908,1,0)</f>
        <v>Hyderabad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1416</v>
      </c>
      <c r="R417" s="2" t="s">
        <v>28</v>
      </c>
      <c r="S417" s="9">
        <f t="shared" si="34"/>
        <v>0.05</v>
      </c>
    </row>
    <row r="418" spans="1:19" x14ac:dyDescent="0.3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VLOOKUP('Customer Info'!B410,'Customer Info'!B410:B909,1,0)</f>
        <v>Sam</v>
      </c>
      <c r="H418" s="6" t="str">
        <f>VLOOKUP('Customer Info'!C410,'Customer Info'!C410:C909,1)</f>
        <v>Sorensen</v>
      </c>
      <c r="I418" s="6" t="str">
        <f>VLOOKUP('Customer Info'!E410,'Customer Info'!E410:E909,1,0)</f>
        <v>Yanji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707</v>
      </c>
      <c r="R418" s="2" t="s">
        <v>50</v>
      </c>
      <c r="S418" s="9">
        <f t="shared" si="34"/>
        <v>0.05</v>
      </c>
    </row>
    <row r="419" spans="1:19" x14ac:dyDescent="0.3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VLOOKUP('Customer Info'!B411,'Customer Info'!B411:B910,1,0)</f>
        <v>Sanjit</v>
      </c>
      <c r="H419" s="6" t="str">
        <f>VLOOKUP('Customer Info'!C411,'Customer Info'!C411:C910,1)</f>
        <v>Collister</v>
      </c>
      <c r="I419" s="6" t="str">
        <f>VLOOKUP('Customer Info'!E411,'Customer Info'!E411:E910,1,0)</f>
        <v>Munich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236</v>
      </c>
      <c r="R419" s="2" t="s">
        <v>50</v>
      </c>
      <c r="S419" s="9">
        <f t="shared" si="34"/>
        <v>0.05</v>
      </c>
    </row>
    <row r="420" spans="1:19" x14ac:dyDescent="0.3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VLOOKUP('Customer Info'!B412,'Customer Info'!B412:B911,1,0)</f>
        <v>Sanjit</v>
      </c>
      <c r="H420" s="6" t="str">
        <f>VLOOKUP('Customer Info'!C412,'Customer Info'!C412:C911,1)</f>
        <v>Calhoun</v>
      </c>
      <c r="I420" s="6" t="str">
        <f>VLOOKUP('Customer Info'!E412,'Customer Info'!E412:E911,1,0)</f>
        <v>Thiruvananthapuram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94</v>
      </c>
      <c r="R420" s="2" t="s">
        <v>28</v>
      </c>
      <c r="S420" s="9">
        <f t="shared" si="34"/>
        <v>0.02</v>
      </c>
    </row>
    <row r="421" spans="1:19" x14ac:dyDescent="0.3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VLOOKUP('Customer Info'!B413,'Customer Info'!B413:B912,1,0)</f>
        <v>Sara</v>
      </c>
      <c r="H421" s="6" t="str">
        <f>VLOOKUP('Customer Info'!C413,'Customer Info'!C413:C912,1)</f>
        <v>Brown</v>
      </c>
      <c r="I421" s="6" t="str">
        <f>VLOOKUP('Customer Info'!E413,'Customer Info'!E413:E912,1,0)</f>
        <v>Luoyang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73</v>
      </c>
      <c r="R421" s="2" t="s">
        <v>50</v>
      </c>
      <c r="S421" s="9">
        <f t="shared" si="34"/>
        <v>0.02</v>
      </c>
    </row>
    <row r="422" spans="1:19" x14ac:dyDescent="0.3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VLOOKUP('Customer Info'!B414,'Customer Info'!B414:B913,1,0)</f>
        <v>Sarah</v>
      </c>
      <c r="H422" s="6" t="str">
        <f>VLOOKUP('Customer Info'!C414,'Customer Info'!C414:C913,1)</f>
        <v>Collister</v>
      </c>
      <c r="I422" s="6" t="str">
        <f>VLOOKUP('Customer Info'!E414,'Customer Info'!E414:E913,1,0)</f>
        <v>Xianning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130</v>
      </c>
      <c r="R422" s="2" t="s">
        <v>28</v>
      </c>
      <c r="S422" s="9">
        <f t="shared" si="34"/>
        <v>0.02</v>
      </c>
    </row>
    <row r="423" spans="1:19" x14ac:dyDescent="0.3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VLOOKUP('Customer Info'!B415,'Customer Info'!B415:B914,1,0)</f>
        <v>Sarah</v>
      </c>
      <c r="H423" s="6" t="str">
        <f>VLOOKUP('Customer Info'!C415,'Customer Info'!C415:C914,1)</f>
        <v>Bern</v>
      </c>
      <c r="I423" s="6" t="str">
        <f>VLOOKUP('Customer Info'!E415,'Customer Info'!E415:E914,1,0)</f>
        <v>Wollongong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78</v>
      </c>
      <c r="R423" s="2" t="s">
        <v>28</v>
      </c>
      <c r="S423" s="9">
        <f t="shared" si="34"/>
        <v>0.02</v>
      </c>
    </row>
    <row r="424" spans="1:19" x14ac:dyDescent="0.3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VLOOKUP('Customer Info'!B416,'Customer Info'!B416:B915,1,0)</f>
        <v>Sarah</v>
      </c>
      <c r="H424" s="6" t="str">
        <f>VLOOKUP('Customer Info'!C416,'Customer Info'!C416:C915,1)</f>
        <v>Foster</v>
      </c>
      <c r="I424" s="6" t="str">
        <f>VLOOKUP('Customer Info'!E416,'Customer Info'!E416:E915,1,0)</f>
        <v>Harbin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459</v>
      </c>
      <c r="R424" s="2" t="s">
        <v>26</v>
      </c>
      <c r="S424" s="9">
        <f t="shared" si="34"/>
        <v>0.05</v>
      </c>
    </row>
    <row r="425" spans="1:19" x14ac:dyDescent="0.3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VLOOKUP('Customer Info'!B417,'Customer Info'!B417:B916,1,0)</f>
        <v>Scott</v>
      </c>
      <c r="H425" s="6" t="str">
        <f>VLOOKUP('Customer Info'!C417,'Customer Info'!C417:C916,1)</f>
        <v>Calhoun</v>
      </c>
      <c r="I425" s="6" t="str">
        <f>VLOOKUP('Customer Info'!E417,'Customer Info'!E417:E916,1,0)</f>
        <v>Freiburg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164</v>
      </c>
      <c r="R425" s="2" t="s">
        <v>28</v>
      </c>
      <c r="S425" s="9">
        <f t="shared" si="34"/>
        <v>0.02</v>
      </c>
    </row>
    <row r="426" spans="1:19" x14ac:dyDescent="0.3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VLOOKUP('Customer Info'!B418,'Customer Info'!B418:B917,1,0)</f>
        <v>Scott</v>
      </c>
      <c r="H426" s="6" t="str">
        <f>VLOOKUP('Customer Info'!C418,'Customer Info'!C418:C917,1)</f>
        <v>Sorensen</v>
      </c>
      <c r="I426" s="6" t="str">
        <f>VLOOKUP('Customer Info'!E418,'Customer Info'!E418:E917,1,0)</f>
        <v>Launceston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1556</v>
      </c>
      <c r="R426" s="2" t="s">
        <v>28</v>
      </c>
      <c r="S426" s="9">
        <f t="shared" si="34"/>
        <v>0.05</v>
      </c>
    </row>
    <row r="427" spans="1:19" x14ac:dyDescent="0.3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VLOOKUP('Customer Info'!B419,'Customer Info'!B419:B918,1,0)</f>
        <v>Shahid</v>
      </c>
      <c r="H427" s="6" t="str">
        <f>VLOOKUP('Customer Info'!C419,'Customer Info'!C419:C918,1)</f>
        <v>Blackwell</v>
      </c>
      <c r="I427" s="6" t="str">
        <f>VLOOKUP('Customer Info'!E419,'Customer Info'!E419:E918,1,0)</f>
        <v>Leipzig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4815</v>
      </c>
      <c r="R427" s="2" t="s">
        <v>28</v>
      </c>
      <c r="S427" s="9">
        <f t="shared" si="34"/>
        <v>7.0000000000000007E-2</v>
      </c>
    </row>
    <row r="428" spans="1:19" x14ac:dyDescent="0.3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VLOOKUP('Customer Info'!B420,'Customer Info'!B420:B919,1,0)</f>
        <v>Shahid</v>
      </c>
      <c r="H428" s="6" t="str">
        <f>VLOOKUP('Customer Info'!C420,'Customer Info'!C420:C919,1)</f>
        <v>Chand</v>
      </c>
      <c r="I428" s="6" t="str">
        <f>VLOOKUP('Customer Info'!E420,'Customer Info'!E420:E919,1,0)</f>
        <v>Solapur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455</v>
      </c>
      <c r="R428" s="2" t="s">
        <v>28</v>
      </c>
      <c r="S428" s="9">
        <f t="shared" si="34"/>
        <v>0.05</v>
      </c>
    </row>
    <row r="429" spans="1:19" x14ac:dyDescent="0.3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VLOOKUP('Customer Info'!B421,'Customer Info'!B421:B920,1,0)</f>
        <v>Shaun</v>
      </c>
      <c r="H429" s="6" t="str">
        <f>VLOOKUP('Customer Info'!C421,'Customer Info'!C421:C920,1)</f>
        <v>Sorensen</v>
      </c>
      <c r="I429" s="6" t="str">
        <f>VLOOKUP('Customer Info'!E421,'Customer Info'!E421:E920,1,0)</f>
        <v>Medan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318</v>
      </c>
      <c r="R429" s="2" t="s">
        <v>28</v>
      </c>
      <c r="S429" s="9">
        <f t="shared" si="34"/>
        <v>0.02</v>
      </c>
    </row>
    <row r="430" spans="1:19" x14ac:dyDescent="0.3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VLOOKUP('Customer Info'!B422,'Customer Info'!B422:B921,1,0)</f>
        <v>Sheri</v>
      </c>
      <c r="H430" s="6" t="str">
        <f>VLOOKUP('Customer Info'!C422,'Customer Info'!C422:C921,1)</f>
        <v>Gordon</v>
      </c>
      <c r="I430" s="6" t="str">
        <f>VLOOKUP('Customer Info'!E422,'Customer Info'!E422:E921,1,0)</f>
        <v>Bogor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708</v>
      </c>
      <c r="R430" s="2" t="s">
        <v>26</v>
      </c>
      <c r="S430" s="9">
        <f t="shared" si="34"/>
        <v>0.05</v>
      </c>
    </row>
    <row r="431" spans="1:19" x14ac:dyDescent="0.3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VLOOKUP('Customer Info'!B423,'Customer Info'!B423:B922,1,0)</f>
        <v>Shirley</v>
      </c>
      <c r="H431" s="6" t="str">
        <f>VLOOKUP('Customer Info'!C423,'Customer Info'!C423:C922,1)</f>
        <v>Glocke</v>
      </c>
      <c r="I431" s="6" t="str">
        <f>VLOOKUP('Customer Info'!E423,'Customer Info'!E423:E922,1,0)</f>
        <v>Gold Coast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848</v>
      </c>
      <c r="R431" s="2" t="s">
        <v>26</v>
      </c>
      <c r="S431" s="9">
        <f t="shared" si="34"/>
        <v>0.05</v>
      </c>
    </row>
    <row r="432" spans="1:19" x14ac:dyDescent="0.3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VLOOKUP('Customer Info'!B424,'Customer Info'!B424:B923,1,0)</f>
        <v>Shirley</v>
      </c>
      <c r="H432" s="6" t="str">
        <f>VLOOKUP('Customer Info'!C424,'Customer Info'!C424:C923,1)</f>
        <v>Preis</v>
      </c>
      <c r="I432" s="6" t="str">
        <f>VLOOKUP('Customer Info'!E424,'Customer Info'!E424:E923,1,0)</f>
        <v>Bijapur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102</v>
      </c>
      <c r="R432" s="2" t="s">
        <v>50</v>
      </c>
      <c r="S432" s="9">
        <f t="shared" si="34"/>
        <v>0.02</v>
      </c>
    </row>
    <row r="433" spans="1:19" x14ac:dyDescent="0.3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VLOOKUP('Customer Info'!B425,'Customer Info'!B425:B924,1,0)</f>
        <v>Shui</v>
      </c>
      <c r="H433" s="6" t="str">
        <f>VLOOKUP('Customer Info'!C425,'Customer Info'!C425:C924,1)</f>
        <v>Sorensen</v>
      </c>
      <c r="I433" s="6" t="str">
        <f>VLOOKUP('Customer Info'!E425,'Customer Info'!E425:E924,1,0)</f>
        <v>Jakarta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140</v>
      </c>
      <c r="R433" s="2" t="s">
        <v>28</v>
      </c>
      <c r="S433" s="9">
        <f t="shared" si="34"/>
        <v>0.02</v>
      </c>
    </row>
    <row r="434" spans="1:19" x14ac:dyDescent="0.3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VLOOKUP('Customer Info'!B426,'Customer Info'!B426:B925,1,0)</f>
        <v>Shui</v>
      </c>
      <c r="H434" s="6" t="str">
        <f>VLOOKUP('Customer Info'!C426,'Customer Info'!C426:C925,1)</f>
        <v>Sorensen</v>
      </c>
      <c r="I434" s="6" t="str">
        <f>VLOOKUP('Customer Info'!E426,'Customer Info'!E426:E925,1,0)</f>
        <v>Melbourne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477</v>
      </c>
      <c r="R434" s="2" t="s">
        <v>28</v>
      </c>
      <c r="S434" s="9">
        <f t="shared" si="34"/>
        <v>0.02</v>
      </c>
    </row>
    <row r="435" spans="1:19" x14ac:dyDescent="0.3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VLOOKUP('Customer Info'!B427,'Customer Info'!B427:B926,1,0)</f>
        <v>Sonia</v>
      </c>
      <c r="H435" s="6" t="str">
        <f>VLOOKUP('Customer Info'!C427,'Customer Info'!C427:C926,1)</f>
        <v>Sorensen</v>
      </c>
      <c r="I435" s="6" t="str">
        <f>VLOOKUP('Customer Info'!E427,'Customer Info'!E427:E926,1,0)</f>
        <v>Canberra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30</v>
      </c>
      <c r="R435" s="2" t="s">
        <v>28</v>
      </c>
      <c r="S435" s="9">
        <f t="shared" si="34"/>
        <v>0.02</v>
      </c>
    </row>
    <row r="436" spans="1:19" x14ac:dyDescent="0.3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VLOOKUP('Customer Info'!B428,'Customer Info'!B428:B927,1,0)</f>
        <v>Stefania</v>
      </c>
      <c r="H436" s="6" t="str">
        <f>VLOOKUP('Customer Info'!C428,'Customer Info'!C428:C927,1)</f>
        <v>Brown</v>
      </c>
      <c r="I436" s="6" t="str">
        <f>VLOOKUP('Customer Info'!E428,'Customer Info'!E428:E927,1,0)</f>
        <v>Albury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94</v>
      </c>
      <c r="R436" s="2" t="s">
        <v>28</v>
      </c>
      <c r="S436" s="9">
        <f t="shared" si="34"/>
        <v>0.02</v>
      </c>
    </row>
    <row r="437" spans="1:19" x14ac:dyDescent="0.3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VLOOKUP('Customer Info'!B429,'Customer Info'!B429:B928,1,0)</f>
        <v>Stefanie</v>
      </c>
      <c r="H437" s="6" t="str">
        <f>VLOOKUP('Customer Info'!C429,'Customer Info'!C429:C928,1)</f>
        <v>Brown</v>
      </c>
      <c r="I437" s="6" t="str">
        <f>VLOOKUP('Customer Info'!E429,'Customer Info'!E429:E928,1,0)</f>
        <v>Durgapur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48</v>
      </c>
      <c r="R437" s="2" t="s">
        <v>50</v>
      </c>
      <c r="S437" s="9">
        <f t="shared" si="34"/>
        <v>0.02</v>
      </c>
    </row>
    <row r="438" spans="1:19" x14ac:dyDescent="0.3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VLOOKUP('Customer Info'!B430,'Customer Info'!B430:B929,1,0)</f>
        <v>Stefanie</v>
      </c>
      <c r="H438" s="6" t="str">
        <f>VLOOKUP('Customer Info'!C430,'Customer Info'!C430:C929,1)</f>
        <v>Braunhardt</v>
      </c>
      <c r="I438" s="6" t="str">
        <f>VLOOKUP('Customer Info'!E430,'Customer Info'!E430:E929,1,0)</f>
        <v>Geraldton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501</v>
      </c>
      <c r="R438" s="2" t="s">
        <v>28</v>
      </c>
      <c r="S438" s="9">
        <f t="shared" si="34"/>
        <v>0.05</v>
      </c>
    </row>
    <row r="439" spans="1:19" x14ac:dyDescent="0.3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VLOOKUP('Customer Info'!B431,'Customer Info'!B431:B930,1,0)</f>
        <v>Steve</v>
      </c>
      <c r="H439" s="6" t="str">
        <f>VLOOKUP('Customer Info'!C431,'Customer Info'!C431:C930,1)</f>
        <v>Carroll</v>
      </c>
      <c r="I439" s="6" t="str">
        <f>VLOOKUP('Customer Info'!E431,'Customer Info'!E431:E930,1,0)</f>
        <v>Qingdao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3128</v>
      </c>
      <c r="R439" s="2" t="s">
        <v>28</v>
      </c>
      <c r="S439" s="9">
        <f t="shared" si="34"/>
        <v>7.0000000000000007E-2</v>
      </c>
    </row>
    <row r="440" spans="1:19" x14ac:dyDescent="0.3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VLOOKUP('Customer Info'!B432,'Customer Info'!B432:B931,1,0)</f>
        <v>Steve</v>
      </c>
      <c r="H440" s="6" t="str">
        <f>VLOOKUP('Customer Info'!C432,'Customer Info'!C432:C931,1)</f>
        <v>Brown</v>
      </c>
      <c r="I440" s="6" t="str">
        <f>VLOOKUP('Customer Info'!E432,'Customer Info'!E432:E931,1,0)</f>
        <v>Delhi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2528</v>
      </c>
      <c r="R440" s="2" t="s">
        <v>50</v>
      </c>
      <c r="S440" s="9">
        <f t="shared" si="34"/>
        <v>7.0000000000000007E-2</v>
      </c>
    </row>
    <row r="441" spans="1:19" x14ac:dyDescent="0.3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VLOOKUP('Customer Info'!B433,'Customer Info'!B433:B932,1,0)</f>
        <v>Steven</v>
      </c>
      <c r="H441" s="6" t="str">
        <f>VLOOKUP('Customer Info'!C433,'Customer Info'!C433:C932,1)</f>
        <v>Carlisle</v>
      </c>
      <c r="I441" s="6" t="str">
        <f>VLOOKUP('Customer Info'!E433,'Customer Info'!E433:E932,1,0)</f>
        <v>Newcastle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410</v>
      </c>
      <c r="R441" s="2" t="s">
        <v>28</v>
      </c>
      <c r="S441" s="9">
        <f t="shared" si="34"/>
        <v>0.05</v>
      </c>
    </row>
    <row r="442" spans="1:19" x14ac:dyDescent="0.3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VLOOKUP('Customer Info'!B434,'Customer Info'!B434:B933,1,0)</f>
        <v>Steven</v>
      </c>
      <c r="H442" s="6" t="str">
        <f>VLOOKUP('Customer Info'!C434,'Customer Info'!C434:C933,1)</f>
        <v>Sorensen</v>
      </c>
      <c r="I442" s="6" t="str">
        <f>VLOOKUP('Customer Info'!E434,'Customer Info'!E434:E933,1,0)</f>
        <v>Adelaide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905</v>
      </c>
      <c r="R442" s="2" t="s">
        <v>28</v>
      </c>
      <c r="S442" s="9">
        <f t="shared" si="34"/>
        <v>0.05</v>
      </c>
    </row>
    <row r="443" spans="1:19" x14ac:dyDescent="0.3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VLOOKUP('Customer Info'!B435,'Customer Info'!B435:B934,1,0)</f>
        <v>Steven</v>
      </c>
      <c r="H443" s="6" t="str">
        <f>VLOOKUP('Customer Info'!C435,'Customer Info'!C435:C934,1)</f>
        <v>Cartwright</v>
      </c>
      <c r="I443" s="6" t="str">
        <f>VLOOKUP('Customer Info'!E435,'Customer Info'!E435:E934,1,0)</f>
        <v>Newcastle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720</v>
      </c>
      <c r="R443" s="2" t="s">
        <v>28</v>
      </c>
      <c r="S443" s="9">
        <f t="shared" si="34"/>
        <v>0.05</v>
      </c>
    </row>
    <row r="444" spans="1:19" x14ac:dyDescent="0.3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VLOOKUP('Customer Info'!B436,'Customer Info'!B436:B935,1,0)</f>
        <v>Steven</v>
      </c>
      <c r="H444" s="6" t="str">
        <f>VLOOKUP('Customer Info'!C436,'Customer Info'!C436:C935,1)</f>
        <v>Preis</v>
      </c>
      <c r="I444" s="6" t="str">
        <f>VLOOKUP('Customer Info'!E436,'Customer Info'!E436:E935,1,0)</f>
        <v>Bonn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124</v>
      </c>
      <c r="R444" s="2" t="s">
        <v>50</v>
      </c>
      <c r="S444" s="9">
        <f t="shared" si="34"/>
        <v>0.02</v>
      </c>
    </row>
    <row r="445" spans="1:19" x14ac:dyDescent="0.3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VLOOKUP('Customer Info'!B437,'Customer Info'!B437:B936,1,0)</f>
        <v>Stewart</v>
      </c>
      <c r="H445" s="6" t="str">
        <f>VLOOKUP('Customer Info'!C437,'Customer Info'!C437:C936,1)</f>
        <v>Sorensen</v>
      </c>
      <c r="I445" s="6" t="str">
        <f>VLOOKUP('Customer Info'!E437,'Customer Info'!E437:E936,1,0)</f>
        <v>Shenyang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76</v>
      </c>
      <c r="R445" s="2" t="s">
        <v>26</v>
      </c>
      <c r="S445" s="9">
        <f t="shared" si="34"/>
        <v>0.02</v>
      </c>
    </row>
    <row r="446" spans="1:19" x14ac:dyDescent="0.3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VLOOKUP('Customer Info'!B438,'Customer Info'!B438:B937,1,0)</f>
        <v>Stuart</v>
      </c>
      <c r="H446" s="6" t="str">
        <f>VLOOKUP('Customer Info'!C438,'Customer Info'!C438:C937,1)</f>
        <v>Braunhardt</v>
      </c>
      <c r="I446" s="6" t="str">
        <f>VLOOKUP('Customer Info'!E438,'Customer Info'!E438:E937,1,0)</f>
        <v>Pforzheim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882</v>
      </c>
      <c r="R446" s="2" t="s">
        <v>56</v>
      </c>
      <c r="S446" s="9">
        <f t="shared" si="34"/>
        <v>0.05</v>
      </c>
    </row>
    <row r="447" spans="1:19" x14ac:dyDescent="0.3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VLOOKUP('Customer Info'!B439,'Customer Info'!B439:B938,1,0)</f>
        <v>Stuart</v>
      </c>
      <c r="H447" s="6" t="str">
        <f>VLOOKUP('Customer Info'!C439,'Customer Info'!C439:C938,1)</f>
        <v>Braunhardt</v>
      </c>
      <c r="I447" s="6" t="str">
        <f>VLOOKUP('Customer Info'!E439,'Customer Info'!E439:E938,1,0)</f>
        <v>Raipur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180</v>
      </c>
      <c r="R447" s="2" t="s">
        <v>26</v>
      </c>
      <c r="S447" s="9">
        <f t="shared" si="34"/>
        <v>0.05</v>
      </c>
    </row>
    <row r="448" spans="1:19" x14ac:dyDescent="0.3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VLOOKUP('Customer Info'!B440,'Customer Info'!B440:B939,1,0)</f>
        <v>Stuart</v>
      </c>
      <c r="H448" s="6" t="str">
        <f>VLOOKUP('Customer Info'!C440,'Customer Info'!C440:C939,1)</f>
        <v>Calhoun</v>
      </c>
      <c r="I448" s="6" t="str">
        <f>VLOOKUP('Customer Info'!E440,'Customer Info'!E440:E939,1,0)</f>
        <v>Bochum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146</v>
      </c>
      <c r="R448" s="2" t="s">
        <v>28</v>
      </c>
      <c r="S448" s="9">
        <f t="shared" si="34"/>
        <v>0.02</v>
      </c>
    </row>
    <row r="449" spans="1:19" x14ac:dyDescent="0.3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VLOOKUP('Customer Info'!B441,'Customer Info'!B441:B940,1,0)</f>
        <v>Stuart</v>
      </c>
      <c r="H449" s="6" t="str">
        <f>VLOOKUP('Customer Info'!C441,'Customer Info'!C441:C940,1)</f>
        <v>Sumrall</v>
      </c>
      <c r="I449" s="6" t="str">
        <f>VLOOKUP('Customer Info'!E441,'Customer Info'!E441:E940,1,0)</f>
        <v>Hobart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1430</v>
      </c>
      <c r="R449" s="2" t="s">
        <v>50</v>
      </c>
      <c r="S449" s="9">
        <f t="shared" si="34"/>
        <v>0.05</v>
      </c>
    </row>
    <row r="450" spans="1:19" x14ac:dyDescent="0.3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VLOOKUP('Customer Info'!B442,'Customer Info'!B442:B941,1,0)</f>
        <v>Stuart</v>
      </c>
      <c r="H450" s="6" t="str">
        <f>VLOOKUP('Customer Info'!C442,'Customer Info'!C442:C941,1)</f>
        <v>Calhoun</v>
      </c>
      <c r="I450" s="6" t="str">
        <f>VLOOKUP('Customer Info'!E442,'Customer Info'!E442:E941,1,0)</f>
        <v>Nowra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60</v>
      </c>
      <c r="R450" s="2" t="s">
        <v>50</v>
      </c>
      <c r="S450" s="9">
        <f t="shared" si="34"/>
        <v>0.05</v>
      </c>
    </row>
    <row r="451" spans="1:19" x14ac:dyDescent="0.3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VLOOKUP('Customer Info'!B443,'Customer Info'!B443:B942,1,0)</f>
        <v>Sung</v>
      </c>
      <c r="H451" s="6" t="str">
        <f>VLOOKUP('Customer Info'!C443,'Customer Info'!C443:C942,1)</f>
        <v>Preis</v>
      </c>
      <c r="I451" s="6" t="str">
        <f>VLOOKUP('Customer Info'!E443,'Customer Info'!E443:E942,1,0)</f>
        <v>Solapur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398</v>
      </c>
      <c r="R451" s="2" t="s">
        <v>28</v>
      </c>
      <c r="S451" s="9">
        <f t="shared" si="34"/>
        <v>0.05</v>
      </c>
    </row>
    <row r="452" spans="1:19" x14ac:dyDescent="0.3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VLOOKUP('Customer Info'!B444,'Customer Info'!B444:B943,1,0)</f>
        <v>Sung</v>
      </c>
      <c r="H452" s="6" t="str">
        <f>VLOOKUP('Customer Info'!C444,'Customer Info'!C444:C943,1)</f>
        <v>Brown</v>
      </c>
      <c r="I452" s="6" t="str">
        <f>VLOOKUP('Customer Info'!E444,'Customer Info'!E444:E943,1,0)</f>
        <v>Chaozhou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4932</v>
      </c>
      <c r="R452" s="2" t="s">
        <v>28</v>
      </c>
      <c r="S452" s="9">
        <f t="shared" si="34"/>
        <v>0.09</v>
      </c>
    </row>
    <row r="453" spans="1:19" x14ac:dyDescent="0.3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VLOOKUP('Customer Info'!B445,'Customer Info'!B445:B944,1,0)</f>
        <v>Susan</v>
      </c>
      <c r="H453" s="6" t="str">
        <f>VLOOKUP('Customer Info'!C445,'Customer Info'!C445:C944,1)</f>
        <v>Braunhardt</v>
      </c>
      <c r="I453" s="6" t="str">
        <f>VLOOKUP('Customer Info'!E445,'Customer Info'!E445:E944,1,0)</f>
        <v>Padang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182</v>
      </c>
      <c r="R453" s="2" t="s">
        <v>28</v>
      </c>
      <c r="S453" s="9">
        <f t="shared" si="34"/>
        <v>0.02</v>
      </c>
    </row>
    <row r="454" spans="1:19" x14ac:dyDescent="0.3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VLOOKUP('Customer Info'!B446,'Customer Info'!B446:B945,1,0)</f>
        <v>Susan</v>
      </c>
      <c r="H454" s="6" t="str">
        <f>VLOOKUP('Customer Info'!C446,'Customer Info'!C446:C945,1)</f>
        <v>Braunhardt</v>
      </c>
      <c r="I454" s="6" t="str">
        <f>VLOOKUP('Customer Info'!E446,'Customer Info'!E446:E945,1,0)</f>
        <v>Brisbane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12</v>
      </c>
      <c r="R454" s="2" t="s">
        <v>50</v>
      </c>
      <c r="S454" s="9">
        <f t="shared" si="34"/>
        <v>0.02</v>
      </c>
    </row>
    <row r="455" spans="1:19" x14ac:dyDescent="0.3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VLOOKUP('Customer Info'!B447,'Customer Info'!B447:B946,1,0)</f>
        <v>Sylvia</v>
      </c>
      <c r="H455" s="6" t="str">
        <f>VLOOKUP('Customer Info'!C447,'Customer Info'!C447:C946,1)</f>
        <v>Foulston</v>
      </c>
      <c r="I455" s="6" t="str">
        <f>VLOOKUP('Customer Info'!E447,'Customer Info'!E447:E946,1,0)</f>
        <v>Ludwigsburg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33</v>
      </c>
      <c r="R455" s="2" t="s">
        <v>28</v>
      </c>
      <c r="S455" s="9">
        <f t="shared" si="34"/>
        <v>0.02</v>
      </c>
    </row>
    <row r="456" spans="1:19" x14ac:dyDescent="0.3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VLOOKUP('Customer Info'!B448,'Customer Info'!B448:B947,1,0)</f>
        <v>Tamara</v>
      </c>
      <c r="H456" s="6" t="str">
        <f>VLOOKUP('Customer Info'!C448,'Customer Info'!C448:C947,1)</f>
        <v>Sorensen</v>
      </c>
      <c r="I456" s="6" t="str">
        <f>VLOOKUP('Customer Info'!E448,'Customer Info'!E448:E947,1,0)</f>
        <v>Perth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508</v>
      </c>
      <c r="R456" s="2" t="s">
        <v>50</v>
      </c>
      <c r="S456" s="9">
        <f t="shared" si="34"/>
        <v>0.05</v>
      </c>
    </row>
    <row r="457" spans="1:19" x14ac:dyDescent="0.3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VLOOKUP('Customer Info'!B449,'Customer Info'!B449:B948,1,0)</f>
        <v>Tamara</v>
      </c>
      <c r="H457" s="6" t="str">
        <f>VLOOKUP('Customer Info'!C449,'Customer Info'!C449:C948,1)</f>
        <v>Sorensen</v>
      </c>
      <c r="I457" s="6" t="str">
        <f>VLOOKUP('Customer Info'!E449,'Customer Info'!E449:E948,1,0)</f>
        <v>Sindelfingen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301</v>
      </c>
      <c r="R457" s="2" t="s">
        <v>28</v>
      </c>
      <c r="S457" s="9">
        <f t="shared" si="34"/>
        <v>0.02</v>
      </c>
    </row>
    <row r="458" spans="1:19" x14ac:dyDescent="0.3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VLOOKUP('Customer Info'!B450,'Customer Info'!B450:B949,1,0)</f>
        <v>Tamara</v>
      </c>
      <c r="H458" s="6" t="str">
        <f>VLOOKUP('Customer Info'!C450,'Customer Info'!C450:C949,1)</f>
        <v>Blackwell</v>
      </c>
      <c r="I458" s="6" t="str">
        <f>VLOOKUP('Customer Info'!E450,'Customer Info'!E450:E949,1,0)</f>
        <v>Canberra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14</v>
      </c>
      <c r="R458" s="2" t="s">
        <v>28</v>
      </c>
      <c r="S458" s="9">
        <f t="shared" si="34"/>
        <v>0.02</v>
      </c>
    </row>
    <row r="459" spans="1:19" x14ac:dyDescent="0.3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VLOOKUP('Customer Info'!B451,'Customer Info'!B451:B950,1,0)</f>
        <v>Tamara</v>
      </c>
      <c r="H459" s="6" t="str">
        <f>VLOOKUP('Customer Info'!C451,'Customer Info'!C451:C950,1)</f>
        <v>Chand</v>
      </c>
      <c r="I459" s="6" t="str">
        <f>VLOOKUP('Customer Info'!E451,'Customer Info'!E451:E950,1,0)</f>
        <v>Yogyakarta</v>
      </c>
      <c r="J459" s="2">
        <v>1770</v>
      </c>
      <c r="K459" s="2">
        <v>1592</v>
      </c>
      <c r="L459" s="2">
        <v>14</v>
      </c>
      <c r="M459" s="7">
        <f t="shared" ref="M459:M522" si="35">(K459*L459)</f>
        <v>22288</v>
      </c>
      <c r="N459" s="7">
        <f t="shared" ref="N459:N522" si="36">(J459*L459)</f>
        <v>24780</v>
      </c>
      <c r="O459" s="2">
        <v>89</v>
      </c>
      <c r="P459" s="8">
        <f t="shared" ref="P459:P522" si="37">(N459+O459)</f>
        <v>24869</v>
      </c>
      <c r="Q459" s="8">
        <f t="shared" ref="Q459:Q522" si="38">(N459-M459)</f>
        <v>2492</v>
      </c>
      <c r="R459" s="2" t="s">
        <v>28</v>
      </c>
      <c r="S459" s="9">
        <f t="shared" ref="S459:S522" si="39">_xlfn.IFS(P459&gt;250000,0.15,P459&gt;100000,0.12,P459&gt;50000,0.09,P459&gt;25000,0.07,P459&gt;5000,0.05,
 TRUE,0.02)</f>
        <v>0.05</v>
      </c>
    </row>
    <row r="460" spans="1:19" x14ac:dyDescent="0.3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VLOOKUP('Customer Info'!B452,'Customer Info'!B452:B951,1,0)</f>
        <v>Ted</v>
      </c>
      <c r="H460" s="6" t="str">
        <f>VLOOKUP('Customer Info'!C452,'Customer Info'!C452:C951,1)</f>
        <v>Sorensen</v>
      </c>
      <c r="I460" s="6" t="str">
        <f>VLOOKUP('Customer Info'!E452,'Customer Info'!E452:E951,1,0)</f>
        <v>Bendigo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11207</v>
      </c>
      <c r="R460" s="2" t="s">
        <v>50</v>
      </c>
      <c r="S460" s="9">
        <f t="shared" si="39"/>
        <v>0.12</v>
      </c>
    </row>
    <row r="461" spans="1:19" x14ac:dyDescent="0.3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VLOOKUP('Customer Info'!B453,'Customer Info'!B453:B952,1,0)</f>
        <v>Ted</v>
      </c>
      <c r="H461" s="6" t="str">
        <f>VLOOKUP('Customer Info'!C453,'Customer Info'!C453:C952,1)</f>
        <v>Sorensen</v>
      </c>
      <c r="I461" s="6" t="str">
        <f>VLOOKUP('Customer Info'!E453,'Customer Info'!E453:E952,1,0)</f>
        <v>Gold Coast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13</v>
      </c>
      <c r="R461" s="2" t="s">
        <v>50</v>
      </c>
      <c r="S461" s="9">
        <f t="shared" si="39"/>
        <v>0.02</v>
      </c>
    </row>
    <row r="462" spans="1:19" x14ac:dyDescent="0.3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VLOOKUP('Customer Info'!B454,'Customer Info'!B454:B953,1,0)</f>
        <v>Thais</v>
      </c>
      <c r="H462" s="6" t="str">
        <f>VLOOKUP('Customer Info'!C454,'Customer Info'!C454:C953,1)</f>
        <v>Preis</v>
      </c>
      <c r="I462" s="6" t="str">
        <f>VLOOKUP('Customer Info'!E454,'Customer Info'!E454:E953,1,0)</f>
        <v>Essen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8</v>
      </c>
      <c r="R462" s="2" t="s">
        <v>28</v>
      </c>
      <c r="S462" s="9">
        <f t="shared" si="39"/>
        <v>0.02</v>
      </c>
    </row>
    <row r="463" spans="1:19" x14ac:dyDescent="0.3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VLOOKUP('Customer Info'!B455,'Customer Info'!B455:B954,1,0)</f>
        <v>Thea</v>
      </c>
      <c r="H463" s="6" t="str">
        <f>VLOOKUP('Customer Info'!C455,'Customer Info'!C455:C954,1)</f>
        <v>Glocke</v>
      </c>
      <c r="I463" s="6" t="str">
        <f>VLOOKUP('Customer Info'!E455,'Customer Info'!E455:E954,1,0)</f>
        <v>Jining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2740</v>
      </c>
      <c r="R463" s="2" t="s">
        <v>28</v>
      </c>
      <c r="S463" s="9">
        <f t="shared" si="39"/>
        <v>7.0000000000000007E-2</v>
      </c>
    </row>
    <row r="464" spans="1:19" x14ac:dyDescent="0.3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VLOOKUP('Customer Info'!B456,'Customer Info'!B456:B955,1,0)</f>
        <v>Thea</v>
      </c>
      <c r="H464" s="6" t="str">
        <f>VLOOKUP('Customer Info'!C456,'Customer Info'!C456:C955,1)</f>
        <v>Braunhardt</v>
      </c>
      <c r="I464" s="6" t="str">
        <f>VLOOKUP('Customer Info'!E456,'Customer Info'!E456:E955,1,0)</f>
        <v>Moers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8271</v>
      </c>
      <c r="R464" s="2" t="s">
        <v>28</v>
      </c>
      <c r="S464" s="9">
        <f t="shared" si="39"/>
        <v>0.09</v>
      </c>
    </row>
    <row r="465" spans="1:19" x14ac:dyDescent="0.3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VLOOKUP('Customer Info'!B457,'Customer Info'!B457:B956,1,0)</f>
        <v>Thea</v>
      </c>
      <c r="H465" s="6" t="str">
        <f>VLOOKUP('Customer Info'!C457,'Customer Info'!C457:C956,1)</f>
        <v>Braunhardt</v>
      </c>
      <c r="I465" s="6" t="str">
        <f>VLOOKUP('Customer Info'!E457,'Customer Info'!E457:E956,1,0)</f>
        <v>Anshan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84</v>
      </c>
      <c r="R465" s="2" t="s">
        <v>50</v>
      </c>
      <c r="S465" s="9">
        <f t="shared" si="39"/>
        <v>0.02</v>
      </c>
    </row>
    <row r="466" spans="1:19" x14ac:dyDescent="0.3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VLOOKUP('Customer Info'!B458,'Customer Info'!B458:B957,1,0)</f>
        <v>Thomas</v>
      </c>
      <c r="H466" s="6" t="str">
        <f>VLOOKUP('Customer Info'!C458,'Customer Info'!C458:C957,1)</f>
        <v>Boland</v>
      </c>
      <c r="I466" s="6" t="str">
        <f>VLOOKUP('Customer Info'!E458,'Customer Info'!E458:E957,1,0)</f>
        <v>Surabaya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15</v>
      </c>
      <c r="R466" s="2" t="s">
        <v>28</v>
      </c>
      <c r="S466" s="9">
        <f t="shared" si="39"/>
        <v>0.02</v>
      </c>
    </row>
    <row r="467" spans="1:19" x14ac:dyDescent="0.3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VLOOKUP('Customer Info'!B459,'Customer Info'!B459:B958,1,0)</f>
        <v>Thomas</v>
      </c>
      <c r="H467" s="6" t="str">
        <f>VLOOKUP('Customer Info'!C459,'Customer Info'!C459:C958,1)</f>
        <v>Brennan</v>
      </c>
      <c r="I467" s="6" t="str">
        <f>VLOOKUP('Customer Info'!E459,'Customer Info'!E459:E958,1,0)</f>
        <v>Launceston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5</v>
      </c>
      <c r="R467" s="2" t="s">
        <v>50</v>
      </c>
      <c r="S467" s="9">
        <f t="shared" si="39"/>
        <v>0.02</v>
      </c>
    </row>
    <row r="468" spans="1:19" x14ac:dyDescent="0.3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VLOOKUP('Customer Info'!B460,'Customer Info'!B460:B959,1,0)</f>
        <v>Thomas</v>
      </c>
      <c r="H468" s="6" t="str">
        <f>VLOOKUP('Customer Info'!C460,'Customer Info'!C460:C959,1)</f>
        <v>Blackwell</v>
      </c>
      <c r="I468" s="6" t="str">
        <f>VLOOKUP('Customer Info'!E460,'Customer Info'!E460:E959,1,0)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35</v>
      </c>
      <c r="R468" s="2" t="s">
        <v>28</v>
      </c>
      <c r="S468" s="9">
        <f t="shared" si="39"/>
        <v>0.02</v>
      </c>
    </row>
    <row r="469" spans="1:19" x14ac:dyDescent="0.3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VLOOKUP('Customer Info'!B461,'Customer Info'!B461:B960,1,0)</f>
        <v>Thomas</v>
      </c>
      <c r="H469" s="6" t="str">
        <f>VLOOKUP('Customer Info'!C461,'Customer Info'!C461:C960,1)</f>
        <v>Braunhardt</v>
      </c>
      <c r="I469" s="6" t="str">
        <f>VLOOKUP('Customer Info'!E461,'Customer Info'!E461:E960,1,0)</f>
        <v>Melbourne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590</v>
      </c>
      <c r="R469" s="2" t="s">
        <v>50</v>
      </c>
      <c r="S469" s="9">
        <f t="shared" si="39"/>
        <v>0.05</v>
      </c>
    </row>
    <row r="470" spans="1:19" x14ac:dyDescent="0.3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VLOOKUP('Customer Info'!B462,'Customer Info'!B462:B961,1,0)</f>
        <v>Thomas</v>
      </c>
      <c r="H470" s="6" t="str">
        <f>VLOOKUP('Customer Info'!C462,'Customer Info'!C462:C961,1)</f>
        <v>Braunhardt</v>
      </c>
      <c r="I470" s="6" t="str">
        <f>VLOOKUP('Customer Info'!E462,'Customer Info'!E462:E961,1,0)</f>
        <v>Jinan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225</v>
      </c>
      <c r="R470" s="2" t="s">
        <v>28</v>
      </c>
      <c r="S470" s="9">
        <f t="shared" si="39"/>
        <v>0.02</v>
      </c>
    </row>
    <row r="471" spans="1:19" x14ac:dyDescent="0.3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VLOOKUP('Customer Info'!B463,'Customer Info'!B463:B962,1,0)</f>
        <v>Tim</v>
      </c>
      <c r="H471" s="6" t="str">
        <f>VLOOKUP('Customer Info'!C463,'Customer Info'!C463:C962,1)</f>
        <v>Brennan</v>
      </c>
      <c r="I471" s="6" t="str">
        <f>VLOOKUP('Customer Info'!E463,'Customer Info'!E463:E962,1,0)</f>
        <v>Toowoomba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1638</v>
      </c>
      <c r="R471" s="2" t="s">
        <v>28</v>
      </c>
      <c r="S471" s="9">
        <f t="shared" si="39"/>
        <v>7.0000000000000007E-2</v>
      </c>
    </row>
    <row r="472" spans="1:19" x14ac:dyDescent="0.3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VLOOKUP('Customer Info'!B464,'Customer Info'!B464:B963,1,0)</f>
        <v>Toby</v>
      </c>
      <c r="H472" s="6" t="str">
        <f>VLOOKUP('Customer Info'!C464,'Customer Info'!C464:C963,1)</f>
        <v>Carlisle</v>
      </c>
      <c r="I472" s="6" t="str">
        <f>VLOOKUP('Customer Info'!E464,'Customer Info'!E464:E963,1,0)</f>
        <v>Depok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27</v>
      </c>
      <c r="R472" s="2" t="s">
        <v>50</v>
      </c>
      <c r="S472" s="9">
        <f t="shared" si="39"/>
        <v>0.02</v>
      </c>
    </row>
    <row r="473" spans="1:19" x14ac:dyDescent="0.3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VLOOKUP('Customer Info'!B465,'Customer Info'!B465:B964,1,0)</f>
        <v>Toby</v>
      </c>
      <c r="H473" s="6" t="str">
        <f>VLOOKUP('Customer Info'!C465,'Customer Info'!C465:C964,1)</f>
        <v>Sorensen</v>
      </c>
      <c r="I473" s="6" t="str">
        <f>VLOOKUP('Customer Info'!E465,'Customer Info'!E465:E964,1,0)</f>
        <v>Ninghai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699</v>
      </c>
      <c r="R473" s="2" t="s">
        <v>50</v>
      </c>
      <c r="S473" s="9">
        <f t="shared" si="39"/>
        <v>0.05</v>
      </c>
    </row>
    <row r="474" spans="1:19" x14ac:dyDescent="0.3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VLOOKUP('Customer Info'!B466,'Customer Info'!B466:B965,1,0)</f>
        <v>Toby</v>
      </c>
      <c r="H474" s="6" t="str">
        <f>VLOOKUP('Customer Info'!C466,'Customer Info'!C466:C965,1)</f>
        <v>Glocke</v>
      </c>
      <c r="I474" s="6" t="str">
        <f>VLOOKUP('Customer Info'!E466,'Customer Info'!E466:E965,1,0)</f>
        <v>Wagga Wagga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342</v>
      </c>
      <c r="R474" s="2" t="s">
        <v>26</v>
      </c>
      <c r="S474" s="9">
        <f t="shared" si="39"/>
        <v>0.05</v>
      </c>
    </row>
    <row r="475" spans="1:19" x14ac:dyDescent="0.3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VLOOKUP('Customer Info'!B467,'Customer Info'!B467:B966,1,0)</f>
        <v>Toby</v>
      </c>
      <c r="H475" s="6" t="str">
        <f>VLOOKUP('Customer Info'!C467,'Customer Info'!C467:C966,1)</f>
        <v>Brown</v>
      </c>
      <c r="I475" s="6" t="str">
        <f>VLOOKUP('Customer Info'!E467,'Customer Info'!E467:E966,1,0)</f>
        <v>Bhopal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528</v>
      </c>
      <c r="R475" s="2" t="s">
        <v>28</v>
      </c>
      <c r="S475" s="9">
        <f t="shared" si="39"/>
        <v>0.05</v>
      </c>
    </row>
    <row r="476" spans="1:19" x14ac:dyDescent="0.3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VLOOKUP('Customer Info'!B468,'Customer Info'!B468:B967,1,0)</f>
        <v>Toby</v>
      </c>
      <c r="H476" s="6" t="str">
        <f>VLOOKUP('Customer Info'!C468,'Customer Info'!C468:C967,1)</f>
        <v>Blackwell</v>
      </c>
      <c r="I476" s="6" t="str">
        <f>VLOOKUP('Customer Info'!E468,'Customer Info'!E468:E967,1,0)</f>
        <v>Perth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123</v>
      </c>
      <c r="R476" s="2" t="s">
        <v>50</v>
      </c>
      <c r="S476" s="9">
        <f t="shared" si="39"/>
        <v>0.02</v>
      </c>
    </row>
    <row r="477" spans="1:19" x14ac:dyDescent="0.3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VLOOKUP('Customer Info'!B469,'Customer Info'!B469:B968,1,0)</f>
        <v>Toby</v>
      </c>
      <c r="H477" s="6" t="str">
        <f>VLOOKUP('Customer Info'!C469,'Customer Info'!C469:C968,1)</f>
        <v>Braunhardt</v>
      </c>
      <c r="I477" s="6" t="str">
        <f>VLOOKUP('Customer Info'!E469,'Customer Info'!E469:E968,1,0)</f>
        <v>Jiangyan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6</v>
      </c>
      <c r="R477" s="2" t="s">
        <v>28</v>
      </c>
      <c r="S477" s="9">
        <f t="shared" si="39"/>
        <v>0.02</v>
      </c>
    </row>
    <row r="478" spans="1:19" x14ac:dyDescent="0.3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VLOOKUP('Customer Info'!B470,'Customer Info'!B470:B969,1,0)</f>
        <v>Todd</v>
      </c>
      <c r="H478" s="6" t="str">
        <f>VLOOKUP('Customer Info'!C470,'Customer Info'!C470:C969,1)</f>
        <v>Sorensen</v>
      </c>
      <c r="I478" s="6" t="str">
        <f>VLOOKUP('Customer Info'!E470,'Customer Info'!E470:E969,1,0)</f>
        <v>Yangzhou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455</v>
      </c>
      <c r="R478" s="2" t="s">
        <v>28</v>
      </c>
      <c r="S478" s="9">
        <f t="shared" si="39"/>
        <v>0.05</v>
      </c>
    </row>
    <row r="479" spans="1:19" x14ac:dyDescent="0.3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VLOOKUP('Customer Info'!B471,'Customer Info'!B471:B970,1,0)</f>
        <v>Tom</v>
      </c>
      <c r="H479" s="6" t="str">
        <f>VLOOKUP('Customer Info'!C471,'Customer Info'!C471:C970,1)</f>
        <v>Sorensen</v>
      </c>
      <c r="I479" s="6" t="str">
        <f>VLOOKUP('Customer Info'!E471,'Customer Info'!E471:E970,1,0)</f>
        <v>Hobart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5136</v>
      </c>
      <c r="R479" s="2" t="s">
        <v>28</v>
      </c>
      <c r="S479" s="9">
        <f t="shared" si="39"/>
        <v>0.09</v>
      </c>
    </row>
    <row r="480" spans="1:19" x14ac:dyDescent="0.3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VLOOKUP('Customer Info'!B472,'Customer Info'!B472:B971,1,0)</f>
        <v>Tom</v>
      </c>
      <c r="H480" s="6" t="str">
        <f>VLOOKUP('Customer Info'!C472,'Customer Info'!C472:C971,1)</f>
        <v>Brennan</v>
      </c>
      <c r="I480" s="6" t="str">
        <f>VLOOKUP('Customer Info'!E472,'Customer Info'!E472:E971,1,0)</f>
        <v>Thane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5250</v>
      </c>
      <c r="R480" s="2" t="s">
        <v>26</v>
      </c>
      <c r="S480" s="9">
        <f t="shared" si="39"/>
        <v>0.09</v>
      </c>
    </row>
    <row r="481" spans="1:19" x14ac:dyDescent="0.3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VLOOKUP('Customer Info'!B473,'Customer Info'!B473:B972,1,0)</f>
        <v>Tom</v>
      </c>
      <c r="H481" s="6" t="str">
        <f>VLOOKUP('Customer Info'!C473,'Customer Info'!C473:C972,1)</f>
        <v>Blackwell</v>
      </c>
      <c r="I481" s="6" t="str">
        <f>VLOOKUP('Customer Info'!E473,'Customer Info'!E473:E972,1,0)</f>
        <v>Bokaro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483</v>
      </c>
      <c r="R481" s="2" t="s">
        <v>28</v>
      </c>
      <c r="S481" s="9">
        <f t="shared" si="39"/>
        <v>0.05</v>
      </c>
    </row>
    <row r="482" spans="1:19" x14ac:dyDescent="0.3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VLOOKUP('Customer Info'!B474,'Customer Info'!B474:B973,1,0)</f>
        <v>Tom</v>
      </c>
      <c r="H482" s="6" t="str">
        <f>VLOOKUP('Customer Info'!C474,'Customer Info'!C474:C973,1)</f>
        <v>Blackwell</v>
      </c>
      <c r="I482" s="6" t="str">
        <f>VLOOKUP('Customer Info'!E474,'Customer Info'!E474:E973,1,0)</f>
        <v>Neunkirchen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75</v>
      </c>
      <c r="R482" s="2" t="s">
        <v>28</v>
      </c>
      <c r="S482" s="9">
        <f t="shared" si="39"/>
        <v>0.02</v>
      </c>
    </row>
    <row r="483" spans="1:19" x14ac:dyDescent="0.3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VLOOKUP('Customer Info'!B475,'Customer Info'!B475:B974,1,0)</f>
        <v>Tom</v>
      </c>
      <c r="H483" s="6" t="str">
        <f>VLOOKUP('Customer Info'!C475,'Customer Info'!C475:C974,1)</f>
        <v>Sorensen</v>
      </c>
      <c r="I483" s="6" t="str">
        <f>VLOOKUP('Customer Info'!E475,'Customer Info'!E475:E974,1,0)</f>
        <v>Guangzhou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28</v>
      </c>
      <c r="R483" s="2" t="s">
        <v>26</v>
      </c>
      <c r="S483" s="9">
        <f t="shared" si="39"/>
        <v>0.02</v>
      </c>
    </row>
    <row r="484" spans="1:19" x14ac:dyDescent="0.3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VLOOKUP('Customer Info'!B476,'Customer Info'!B476:B975,1,0)</f>
        <v>Tony</v>
      </c>
      <c r="H484" s="6" t="str">
        <f>VLOOKUP('Customer Info'!C476,'Customer Info'!C476:C975,1)</f>
        <v>Preis</v>
      </c>
      <c r="I484" s="6" t="str">
        <f>VLOOKUP('Customer Info'!E476,'Customer Info'!E476:E975,1,0)</f>
        <v>Bharatpur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2704</v>
      </c>
      <c r="R484" s="2" t="s">
        <v>26</v>
      </c>
      <c r="S484" s="9">
        <f t="shared" si="39"/>
        <v>7.0000000000000007E-2</v>
      </c>
    </row>
    <row r="485" spans="1:19" x14ac:dyDescent="0.3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VLOOKUP('Customer Info'!B477,'Customer Info'!B477:B976,1,0)</f>
        <v>Tony</v>
      </c>
      <c r="H485" s="6" t="str">
        <f>VLOOKUP('Customer Info'!C477,'Customer Info'!C477:C976,1)</f>
        <v>Blackwell</v>
      </c>
      <c r="I485" s="6" t="str">
        <f>VLOOKUP('Customer Info'!E477,'Customer Info'!E477:E976,1,0)</f>
        <v>Wafangdian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24</v>
      </c>
      <c r="R485" s="2" t="s">
        <v>28</v>
      </c>
      <c r="S485" s="9">
        <f t="shared" si="39"/>
        <v>0.02</v>
      </c>
    </row>
    <row r="486" spans="1:19" x14ac:dyDescent="0.3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VLOOKUP('Customer Info'!B478,'Customer Info'!B478:B977,1,0)</f>
        <v>Tony</v>
      </c>
      <c r="H486" s="6" t="str">
        <f>VLOOKUP('Customer Info'!C478,'Customer Info'!C478:C977,1)</f>
        <v>Preis</v>
      </c>
      <c r="I486" s="6" t="str">
        <f>VLOOKUP('Customer Info'!E478,'Customer Info'!E478:E977,1,0)</f>
        <v>Jakarta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72</v>
      </c>
      <c r="R486" s="2" t="s">
        <v>28</v>
      </c>
      <c r="S486" s="9">
        <f t="shared" si="39"/>
        <v>0.02</v>
      </c>
    </row>
    <row r="487" spans="1:19" x14ac:dyDescent="0.3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VLOOKUP('Customer Info'!B479,'Customer Info'!B479:B978,1,0)</f>
        <v>Tracy</v>
      </c>
      <c r="H487" s="6" t="str">
        <f>VLOOKUP('Customer Info'!C479,'Customer Info'!C479:C978,1)</f>
        <v>Blumstein</v>
      </c>
      <c r="I487" s="6" t="str">
        <f>VLOOKUP('Customer Info'!E479,'Customer Info'!E479:E978,1,0)</f>
        <v>Guangzhou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65</v>
      </c>
      <c r="R487" s="2" t="s">
        <v>26</v>
      </c>
      <c r="S487" s="9">
        <f t="shared" si="39"/>
        <v>0.02</v>
      </c>
    </row>
    <row r="488" spans="1:19" x14ac:dyDescent="0.3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VLOOKUP('Customer Info'!B480,'Customer Info'!B480:B979,1,0)</f>
        <v>Troy</v>
      </c>
      <c r="H488" s="6" t="str">
        <f>VLOOKUP('Customer Info'!C480,'Customer Info'!C480:C979,1)</f>
        <v>Blackwell</v>
      </c>
      <c r="I488" s="6" t="str">
        <f>VLOOKUP('Customer Info'!E480,'Customer Info'!E480:E979,1,0)</f>
        <v>Akola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395</v>
      </c>
      <c r="R488" s="2" t="s">
        <v>28</v>
      </c>
      <c r="S488" s="9">
        <f t="shared" si="39"/>
        <v>0.05</v>
      </c>
    </row>
    <row r="489" spans="1:19" x14ac:dyDescent="0.3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VLOOKUP('Customer Info'!B481,'Customer Info'!B481:B980,1,0)</f>
        <v>Troy</v>
      </c>
      <c r="H489" s="6" t="str">
        <f>VLOOKUP('Customer Info'!C481,'Customer Info'!C481:C980,1)</f>
        <v>Sorensen</v>
      </c>
      <c r="I489" s="6" t="str">
        <f>VLOOKUP('Customer Info'!E481,'Customer Info'!E481:E980,1,0)</f>
        <v>Depok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66</v>
      </c>
      <c r="R489" s="2" t="s">
        <v>50</v>
      </c>
      <c r="S489" s="9">
        <f t="shared" si="39"/>
        <v>0.02</v>
      </c>
    </row>
    <row r="490" spans="1:19" x14ac:dyDescent="0.3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VLOOKUP('Customer Info'!B482,'Customer Info'!B482:B981,1,0)</f>
        <v>Troy</v>
      </c>
      <c r="H490" s="6" t="str">
        <f>VLOOKUP('Customer Info'!C482,'Customer Info'!C482:C981,1)</f>
        <v>Blackwell</v>
      </c>
      <c r="I490" s="6" t="str">
        <f>VLOOKUP('Customer Info'!E482,'Customer Info'!E482:E981,1,0)</f>
        <v>Krefeld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1370</v>
      </c>
      <c r="R490" s="2" t="s">
        <v>50</v>
      </c>
      <c r="S490" s="9">
        <f t="shared" si="39"/>
        <v>0.05</v>
      </c>
    </row>
    <row r="491" spans="1:19" x14ac:dyDescent="0.3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VLOOKUP('Customer Info'!B483,'Customer Info'!B483:B982,1,0)</f>
        <v>Troy</v>
      </c>
      <c r="H491" s="6" t="str">
        <f>VLOOKUP('Customer Info'!C483,'Customer Info'!C483:C982,1)</f>
        <v>Sorensen</v>
      </c>
      <c r="I491" s="6" t="str">
        <f>VLOOKUP('Customer Info'!E483,'Customer Info'!E483:E982,1,0)</f>
        <v>Canberra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891</v>
      </c>
      <c r="R491" s="2" t="s">
        <v>28</v>
      </c>
      <c r="S491" s="9">
        <f t="shared" si="39"/>
        <v>0.05</v>
      </c>
    </row>
    <row r="492" spans="1:19" x14ac:dyDescent="0.3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VLOOKUP('Customer Info'!B484,'Customer Info'!B484:B983,1,0)</f>
        <v>Trudy</v>
      </c>
      <c r="H492" s="6" t="str">
        <f>VLOOKUP('Customer Info'!C484,'Customer Info'!C484:C983,1)</f>
        <v>Brennan</v>
      </c>
      <c r="I492" s="6" t="str">
        <f>VLOOKUP('Customer Info'!E484,'Customer Info'!E484:E983,1,0)</f>
        <v>Huaiyin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386</v>
      </c>
      <c r="R492" s="2" t="s">
        <v>28</v>
      </c>
      <c r="S492" s="9">
        <f t="shared" si="39"/>
        <v>0.05</v>
      </c>
    </row>
    <row r="493" spans="1:19" x14ac:dyDescent="0.3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VLOOKUP('Customer Info'!B485,'Customer Info'!B485:B984,1,0)</f>
        <v>Trudy</v>
      </c>
      <c r="H493" s="6" t="str">
        <f>VLOOKUP('Customer Info'!C485,'Customer Info'!C485:C984,1)</f>
        <v>Glocke</v>
      </c>
      <c r="I493" s="6" t="str">
        <f>VLOOKUP('Customer Info'!E485,'Customer Info'!E485:E984,1,0)</f>
        <v>Brisbane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602</v>
      </c>
      <c r="R493" s="2" t="s">
        <v>50</v>
      </c>
      <c r="S493" s="9">
        <f t="shared" si="39"/>
        <v>0.05</v>
      </c>
    </row>
    <row r="494" spans="1:19" x14ac:dyDescent="0.3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VLOOKUP('Customer Info'!B486,'Customer Info'!B486:B985,1,0)</f>
        <v>Valerie</v>
      </c>
      <c r="H494" s="6" t="str">
        <f>VLOOKUP('Customer Info'!C486,'Customer Info'!C486:C985,1)</f>
        <v>Mitchum</v>
      </c>
      <c r="I494" s="6" t="str">
        <f>VLOOKUP('Customer Info'!E486,'Customer Info'!E486:E985,1,0)</f>
        <v>Chengdu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135</v>
      </c>
      <c r="R494" s="2" t="s">
        <v>50</v>
      </c>
      <c r="S494" s="9">
        <f t="shared" si="39"/>
        <v>0.02</v>
      </c>
    </row>
    <row r="495" spans="1:19" x14ac:dyDescent="0.3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VLOOKUP('Customer Info'!B487,'Customer Info'!B487:B986,1,0)</f>
        <v>Valerie</v>
      </c>
      <c r="H495" s="6" t="str">
        <f>VLOOKUP('Customer Info'!C487,'Customer Info'!C487:C986,1)</f>
        <v>Sorensen</v>
      </c>
      <c r="I495" s="6" t="str">
        <f>VLOOKUP('Customer Info'!E487,'Customer Info'!E487:E986,1,0)</f>
        <v>Surat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40</v>
      </c>
      <c r="R495" s="2" t="s">
        <v>26</v>
      </c>
      <c r="S495" s="9">
        <f t="shared" si="39"/>
        <v>0.02</v>
      </c>
    </row>
    <row r="496" spans="1:19" x14ac:dyDescent="0.3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VLOOKUP('Customer Info'!B488,'Customer Info'!B488:B987,1,0)</f>
        <v>Victor</v>
      </c>
      <c r="H496" s="6" t="str">
        <f>VLOOKUP('Customer Info'!C488,'Customer Info'!C488:C987,1)</f>
        <v>Brennan</v>
      </c>
      <c r="I496" s="6" t="str">
        <f>VLOOKUP('Customer Info'!E488,'Customer Info'!E488:E987,1,0)</f>
        <v>Melbourne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108</v>
      </c>
      <c r="R496" s="2" t="s">
        <v>28</v>
      </c>
      <c r="S496" s="9">
        <f t="shared" si="39"/>
        <v>0.02</v>
      </c>
    </row>
    <row r="497" spans="1:19" x14ac:dyDescent="0.3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VLOOKUP('Customer Info'!B489,'Customer Info'!B489:B988,1,0)</f>
        <v>Victoria</v>
      </c>
      <c r="H497" s="6" t="str">
        <f>VLOOKUP('Customer Info'!C489,'Customer Info'!C489:C988,1)</f>
        <v>Brennan</v>
      </c>
      <c r="I497" s="6" t="str">
        <f>VLOOKUP('Customer Info'!E489,'Customer Info'!E489:E988,1,0)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162</v>
      </c>
      <c r="R497" s="2" t="s">
        <v>28</v>
      </c>
      <c r="S497" s="9">
        <f t="shared" si="39"/>
        <v>0.02</v>
      </c>
    </row>
    <row r="498" spans="1:19" x14ac:dyDescent="0.3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VLOOKUP('Customer Info'!B490,'Customer Info'!B490:B989,1,0)</f>
        <v>Victoria</v>
      </c>
      <c r="H498" s="6" t="str">
        <f>VLOOKUP('Customer Info'!C490,'Customer Info'!C490:C989,1)</f>
        <v>Brennan</v>
      </c>
      <c r="I498" s="6" t="str">
        <f>VLOOKUP('Customer Info'!E490,'Customer Info'!E490:E989,1,0)</f>
        <v>Canberra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445</v>
      </c>
      <c r="R498" s="2" t="s">
        <v>28</v>
      </c>
      <c r="S498" s="9">
        <f t="shared" si="39"/>
        <v>0.02</v>
      </c>
    </row>
    <row r="499" spans="1:19" x14ac:dyDescent="0.3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VLOOKUP('Customer Info'!B491,'Customer Info'!B491:B990,1,0)</f>
        <v>Victoria</v>
      </c>
      <c r="H499" s="6" t="str">
        <f>VLOOKUP('Customer Info'!C491,'Customer Info'!C491:C990,1)</f>
        <v>Sorensen</v>
      </c>
      <c r="I499" s="6" t="str">
        <f>VLOOKUP('Customer Info'!E491,'Customer Info'!E491:E990,1,0)</f>
        <v>Berlin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1458</v>
      </c>
      <c r="R499" s="2" t="s">
        <v>28</v>
      </c>
      <c r="S499" s="9">
        <f t="shared" si="39"/>
        <v>0.05</v>
      </c>
    </row>
    <row r="500" spans="1:19" x14ac:dyDescent="0.3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VLOOKUP('Customer Info'!B492,'Customer Info'!B492:B991,1,0)</f>
        <v>Victoria</v>
      </c>
      <c r="H500" s="6" t="str">
        <f>VLOOKUP('Customer Info'!C492,'Customer Info'!C492:C991,1)</f>
        <v>Pisteka</v>
      </c>
      <c r="I500" s="6" t="str">
        <f>VLOOKUP('Customer Info'!E492,'Customer Info'!E492:E991,1,0)</f>
        <v>Bokaro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64</v>
      </c>
      <c r="R500" s="2" t="s">
        <v>28</v>
      </c>
      <c r="S500" s="9">
        <f t="shared" si="39"/>
        <v>0.02</v>
      </c>
    </row>
    <row r="501" spans="1:19" x14ac:dyDescent="0.3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VLOOKUP('Customer Info'!B493,'Customer Info'!B493:B992,1,0)</f>
        <v>Victoria</v>
      </c>
      <c r="H501" s="6" t="str">
        <f>VLOOKUP('Customer Info'!C493,'Customer Info'!C493:C992,1)</f>
        <v>Brennan</v>
      </c>
      <c r="I501" s="6" t="str">
        <f>VLOOKUP('Customer Info'!E493,'Customer Info'!E493:E992,1,0)</f>
        <v>Mangalore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364</v>
      </c>
      <c r="R501" s="2" t="s">
        <v>28</v>
      </c>
      <c r="S501" s="9">
        <f t="shared" si="39"/>
        <v>0.02</v>
      </c>
    </row>
    <row r="502" spans="1:19" x14ac:dyDescent="0.3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VLOOKUP('Customer Info'!B494,'Customer Info'!B494:B993,1,0)</f>
        <v>Vivek</v>
      </c>
      <c r="H502" s="6" t="str">
        <f>VLOOKUP('Customer Info'!C494,'Customer Info'!C494:C993,1)</f>
        <v>Sorensen</v>
      </c>
      <c r="I502" s="6" t="str">
        <f>VLOOKUP('Customer Info'!E494,'Customer Info'!E494:E993,1,0)</f>
        <v>Hamburg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96</v>
      </c>
      <c r="R502" s="2" t="s">
        <v>50</v>
      </c>
      <c r="S502" s="9">
        <f t="shared" si="39"/>
        <v>0.02</v>
      </c>
    </row>
    <row r="503" spans="1:19" x14ac:dyDescent="0.3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VLOOKUP('Customer Info'!B495,'Customer Info'!B495:B994,1,0)</f>
        <v>Vivek</v>
      </c>
      <c r="H503" s="6" t="str">
        <f>VLOOKUP('Customer Info'!C495,'Customer Info'!C495:C994,1)</f>
        <v>Brown</v>
      </c>
      <c r="I503" s="6" t="str">
        <f>VLOOKUP('Customer Info'!E495,'Customer Info'!E495:E994,1,0)</f>
        <v>Shantou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116</v>
      </c>
      <c r="R503" s="2" t="s">
        <v>50</v>
      </c>
      <c r="S503" s="9">
        <f t="shared" si="39"/>
        <v>0.05</v>
      </c>
    </row>
    <row r="504" spans="1:19" x14ac:dyDescent="0.3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VLOOKUP('Customer Info'!B496,'Customer Info'!B496:B995,1,0)</f>
        <v>Vivek</v>
      </c>
      <c r="H504" s="6" t="str">
        <f>VLOOKUP('Customer Info'!C496,'Customer Info'!C496:C995,1)</f>
        <v>Gonzalez</v>
      </c>
      <c r="I504" s="6" t="str">
        <f>VLOOKUP('Customer Info'!E496,'Customer Info'!E496:E995,1,0)</f>
        <v>Nanyang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34</v>
      </c>
      <c r="R504" s="2" t="s">
        <v>50</v>
      </c>
      <c r="S504" s="9">
        <f t="shared" si="39"/>
        <v>0.02</v>
      </c>
    </row>
    <row r="505" spans="1:19" x14ac:dyDescent="0.3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VLOOKUP('Customer Info'!B497,'Customer Info'!B497:B996,1,0)</f>
        <v>William</v>
      </c>
      <c r="H505" s="6" t="str">
        <f>VLOOKUP('Customer Info'!C497,'Customer Info'!C497:C996,1)</f>
        <v>Brown</v>
      </c>
      <c r="I505" s="6" t="str">
        <f>VLOOKUP('Customer Info'!E497,'Customer Info'!E497:E996,1,0)</f>
        <v>Denpasar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10</v>
      </c>
      <c r="R505" s="2" t="s">
        <v>28</v>
      </c>
      <c r="S505" s="9">
        <f t="shared" si="39"/>
        <v>0.02</v>
      </c>
    </row>
    <row r="506" spans="1:19" x14ac:dyDescent="0.3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VLOOKUP('Customer Info'!B498,'Customer Info'!B498:B997,1,0)</f>
        <v>Xylona</v>
      </c>
      <c r="H506" s="6" t="str">
        <f>VLOOKUP('Customer Info'!C498,'Customer Info'!C498:C997,1)</f>
        <v>Preis</v>
      </c>
      <c r="I506" s="6" t="str">
        <f>VLOOKUP('Customer Info'!E498,'Customer Info'!E498:E997,1,0)</f>
        <v>Qidong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4480</v>
      </c>
      <c r="R506" s="2" t="s">
        <v>28</v>
      </c>
      <c r="S506" s="9">
        <f t="shared" si="39"/>
        <v>7.0000000000000007E-2</v>
      </c>
    </row>
    <row r="507" spans="1:19" x14ac:dyDescent="0.3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VLOOKUP('Customer Info'!B499,'Customer Info'!B499:B998,1,0)</f>
        <v>Xylona</v>
      </c>
      <c r="H507" s="6" t="str">
        <f>VLOOKUP('Customer Info'!C499,'Customer Info'!C499:C998,1)</f>
        <v>Preis</v>
      </c>
      <c r="I507" s="6" t="str">
        <f>VLOOKUP('Customer Info'!E499,'Customer Info'!E499:E998,1,0)</f>
        <v>Suining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489</v>
      </c>
      <c r="R507" s="2" t="s">
        <v>28</v>
      </c>
      <c r="S507" s="9">
        <f t="shared" si="39"/>
        <v>0.02</v>
      </c>
    </row>
    <row r="508" spans="1:19" x14ac:dyDescent="0.3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VLOOKUP('Customer Info'!B500,'Customer Info'!B500:B999,1,0)</f>
        <v>Yana</v>
      </c>
      <c r="H508" s="6" t="str">
        <f>VLOOKUP('Customer Info'!C500,'Customer Info'!C500:C999,1)</f>
        <v>Sorensen</v>
      </c>
      <c r="I508" s="6" t="str">
        <f>VLOOKUP('Customer Info'!E500,'Customer Info'!E500:E999,1,0)</f>
        <v>Hangzhou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132</v>
      </c>
      <c r="R508" s="2" t="s">
        <v>28</v>
      </c>
      <c r="S508" s="9">
        <f t="shared" si="39"/>
        <v>0.02</v>
      </c>
    </row>
    <row r="509" spans="1:19" x14ac:dyDescent="0.3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VLOOKUP('Customer Info'!B501,'Customer Info'!B501:B1000,1,0)</f>
        <v>Yana</v>
      </c>
      <c r="H509" s="6" t="str">
        <f>VLOOKUP('Customer Info'!C501,'Customer Info'!C501:C1000,1)</f>
        <v>Sorensen</v>
      </c>
      <c r="I509" s="6" t="str">
        <f>VLOOKUP('Customer Info'!E501,'Customer Info'!E501:E1000,1,0)</f>
        <v>Bottrop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1895</v>
      </c>
      <c r="R509" s="2" t="s">
        <v>50</v>
      </c>
      <c r="S509" s="9">
        <f t="shared" si="39"/>
        <v>7.0000000000000007E-2</v>
      </c>
    </row>
    <row r="510" spans="1:19" x14ac:dyDescent="0.3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e">
        <f>VLOOKUP('Customer Info'!B502,'Customer Info'!B502:B1001,1,0)</f>
        <v>#N/A</v>
      </c>
      <c r="H510" s="6" t="e">
        <f>VLOOKUP('Customer Info'!C502,'Customer Info'!C502:C1001,1)</f>
        <v>#N/A</v>
      </c>
      <c r="I510" s="6" t="e">
        <f>VLOOKUP('Customer Info'!E502,'Customer Info'!E502:E1001,1,0)</f>
        <v>#N/A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101</v>
      </c>
      <c r="R510" s="2" t="s">
        <v>26</v>
      </c>
      <c r="S510" s="9">
        <f t="shared" si="39"/>
        <v>0.02</v>
      </c>
    </row>
    <row r="511" spans="1:19" x14ac:dyDescent="0.3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e">
        <f>VLOOKUP('Customer Info'!B503,'Customer Info'!B503:B1002,1,0)</f>
        <v>#N/A</v>
      </c>
      <c r="H511" s="6" t="e">
        <f>VLOOKUP('Customer Info'!C503,'Customer Info'!C503:C1002,1)</f>
        <v>#N/A</v>
      </c>
      <c r="I511" s="6" t="e">
        <f>VLOOKUP('Customer Info'!E503,'Customer Info'!E503:E1002,1,0)</f>
        <v>#N/A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28</v>
      </c>
      <c r="R511" s="2" t="s">
        <v>28</v>
      </c>
      <c r="S511" s="9">
        <f t="shared" si="39"/>
        <v>0.02</v>
      </c>
    </row>
    <row r="512" spans="1:19" x14ac:dyDescent="0.3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e">
        <f>VLOOKUP('Customer Info'!B504,'Customer Info'!B504:B1003,1,0)</f>
        <v>#N/A</v>
      </c>
      <c r="H512" s="6" t="e">
        <f>VLOOKUP('Customer Info'!C504,'Customer Info'!C504:C1003,1)</f>
        <v>#N/A</v>
      </c>
      <c r="I512" s="6" t="e">
        <f>VLOOKUP('Customer Info'!E504,'Customer Info'!E504:E1003,1,0)</f>
        <v>#N/A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108</v>
      </c>
      <c r="R512" s="2" t="s">
        <v>28</v>
      </c>
      <c r="S512" s="9">
        <f t="shared" si="39"/>
        <v>0.02</v>
      </c>
    </row>
    <row r="513" spans="1:19" x14ac:dyDescent="0.3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e">
        <f>VLOOKUP('Customer Info'!B505,'Customer Info'!B505:B1004,1,0)</f>
        <v>#N/A</v>
      </c>
      <c r="H513" s="6" t="e">
        <f>VLOOKUP('Customer Info'!C505,'Customer Info'!C505:C1004,1)</f>
        <v>#N/A</v>
      </c>
      <c r="I513" s="6" t="e">
        <f>VLOOKUP('Customer Info'!E505,'Customer Info'!E505:E1004,1,0)</f>
        <v>#N/A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588</v>
      </c>
      <c r="R513" s="2" t="s">
        <v>26</v>
      </c>
      <c r="S513" s="9">
        <f t="shared" si="39"/>
        <v>0.05</v>
      </c>
    </row>
    <row r="514" spans="1:19" x14ac:dyDescent="0.3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e">
        <f>VLOOKUP('Customer Info'!B506,'Customer Info'!B506:B1005,1,0)</f>
        <v>#N/A</v>
      </c>
      <c r="H514" s="6" t="e">
        <f>VLOOKUP('Customer Info'!C506,'Customer Info'!C506:C1005,1)</f>
        <v>#N/A</v>
      </c>
      <c r="I514" s="6" t="e">
        <f>VLOOKUP('Customer Info'!E506,'Customer Info'!E506:E1005,1,0)</f>
        <v>#N/A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14</v>
      </c>
      <c r="R514" s="2" t="s">
        <v>28</v>
      </c>
      <c r="S514" s="9">
        <f t="shared" si="39"/>
        <v>0.02</v>
      </c>
    </row>
    <row r="515" spans="1:19" x14ac:dyDescent="0.3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e">
        <f>VLOOKUP('Customer Info'!B507,'Customer Info'!B507:B1006,1,0)</f>
        <v>#N/A</v>
      </c>
      <c r="H515" s="6" t="e">
        <f>VLOOKUP('Customer Info'!C507,'Customer Info'!C507:C1006,1)</f>
        <v>#N/A</v>
      </c>
      <c r="I515" s="6" t="e">
        <f>VLOOKUP('Customer Info'!E507,'Customer Info'!E507:E1006,1,0)</f>
        <v>#N/A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147</v>
      </c>
      <c r="R515" s="2" t="s">
        <v>28</v>
      </c>
      <c r="S515" s="9">
        <f t="shared" si="39"/>
        <v>0.02</v>
      </c>
    </row>
    <row r="516" spans="1:19" x14ac:dyDescent="0.3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e">
        <f>VLOOKUP('Customer Info'!B508,'Customer Info'!B508:B1007,1,0)</f>
        <v>#N/A</v>
      </c>
      <c r="H516" s="6" t="e">
        <f>VLOOKUP('Customer Info'!C508,'Customer Info'!C508:C1007,1)</f>
        <v>#N/A</v>
      </c>
      <c r="I516" s="6" t="e">
        <f>VLOOKUP('Customer Info'!E508,'Customer Info'!E508:E1007,1,0)</f>
        <v>#N/A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14</v>
      </c>
      <c r="R516" s="2" t="s">
        <v>26</v>
      </c>
      <c r="S516" s="9">
        <f t="shared" si="39"/>
        <v>0.02</v>
      </c>
    </row>
    <row r="517" spans="1:19" x14ac:dyDescent="0.3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e">
        <f>VLOOKUP('Customer Info'!B509,'Customer Info'!B509:B1008,1,0)</f>
        <v>#N/A</v>
      </c>
      <c r="H517" s="6" t="e">
        <f>VLOOKUP('Customer Info'!C509,'Customer Info'!C509:C1008,1)</f>
        <v>#N/A</v>
      </c>
      <c r="I517" s="6" t="e">
        <f>VLOOKUP('Customer Info'!E509,'Customer Info'!E509:E1008,1,0)</f>
        <v>#N/A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1425</v>
      </c>
      <c r="R517" s="2" t="s">
        <v>50</v>
      </c>
      <c r="S517" s="9">
        <f t="shared" si="39"/>
        <v>0.05</v>
      </c>
    </row>
    <row r="518" spans="1:19" x14ac:dyDescent="0.3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e">
        <f>VLOOKUP('Customer Info'!B510,'Customer Info'!B510:B1009,1,0)</f>
        <v>#N/A</v>
      </c>
      <c r="H518" s="6" t="e">
        <f>VLOOKUP('Customer Info'!C510,'Customer Info'!C510:C1009,1)</f>
        <v>#N/A</v>
      </c>
      <c r="I518" s="6" t="e">
        <f>VLOOKUP('Customer Info'!E510,'Customer Info'!E510:E1009,1,0)</f>
        <v>#N/A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252</v>
      </c>
      <c r="R518" s="2" t="s">
        <v>28</v>
      </c>
      <c r="S518" s="9">
        <f t="shared" si="39"/>
        <v>0.02</v>
      </c>
    </row>
    <row r="519" spans="1:19" x14ac:dyDescent="0.3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e">
        <f>VLOOKUP('Customer Info'!B511,'Customer Info'!B511:B1010,1,0)</f>
        <v>#N/A</v>
      </c>
      <c r="H519" s="6" t="e">
        <f>VLOOKUP('Customer Info'!C511,'Customer Info'!C511:C1010,1)</f>
        <v>#N/A</v>
      </c>
      <c r="I519" s="6" t="e">
        <f>VLOOKUP('Customer Info'!E511,'Customer Info'!E511:E1010,1,0)</f>
        <v>#N/A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951</v>
      </c>
      <c r="R519" s="2" t="s">
        <v>50</v>
      </c>
      <c r="S519" s="9">
        <f t="shared" si="39"/>
        <v>0.05</v>
      </c>
    </row>
    <row r="520" spans="1:19" x14ac:dyDescent="0.3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e">
        <f>VLOOKUP('Customer Info'!B512,'Customer Info'!B512:B1011,1,0)</f>
        <v>#N/A</v>
      </c>
      <c r="H520" s="6" t="e">
        <f>VLOOKUP('Customer Info'!C512,'Customer Info'!C512:C1011,1)</f>
        <v>#N/A</v>
      </c>
      <c r="I520" s="6" t="e">
        <f>VLOOKUP('Customer Info'!E512,'Customer Info'!E512:E1011,1,0)</f>
        <v>#N/A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17</v>
      </c>
      <c r="R520" s="2" t="s">
        <v>50</v>
      </c>
      <c r="S520" s="9">
        <f t="shared" si="39"/>
        <v>0.02</v>
      </c>
    </row>
    <row r="521" spans="1:19" x14ac:dyDescent="0.3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e">
        <f>VLOOKUP('Customer Info'!B513,'Customer Info'!B513:B1012,1,0)</f>
        <v>#N/A</v>
      </c>
      <c r="H521" s="6" t="e">
        <f>VLOOKUP('Customer Info'!C513,'Customer Info'!C513:C1012,1)</f>
        <v>#N/A</v>
      </c>
      <c r="I521" s="6" t="e">
        <f>VLOOKUP('Customer Info'!E513,'Customer Info'!E513:E1012,1,0)</f>
        <v>#N/A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4058</v>
      </c>
      <c r="R521" s="2" t="s">
        <v>28</v>
      </c>
      <c r="S521" s="9">
        <f t="shared" si="39"/>
        <v>0.09</v>
      </c>
    </row>
    <row r="522" spans="1:19" x14ac:dyDescent="0.3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e">
        <f>VLOOKUP('Customer Info'!B514,'Customer Info'!B514:B1013,1,0)</f>
        <v>#N/A</v>
      </c>
      <c r="H522" s="6" t="e">
        <f>VLOOKUP('Customer Info'!C514,'Customer Info'!C514:C1013,1)</f>
        <v>#N/A</v>
      </c>
      <c r="I522" s="6" t="e">
        <f>VLOOKUP('Customer Info'!E514,'Customer Info'!E514:E1013,1,0)</f>
        <v>#N/A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18</v>
      </c>
      <c r="R522" s="2" t="s">
        <v>28</v>
      </c>
      <c r="S522" s="9">
        <f t="shared" si="39"/>
        <v>0.02</v>
      </c>
    </row>
    <row r="523" spans="1:19" x14ac:dyDescent="0.3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e">
        <f>VLOOKUP('Customer Info'!B515,'Customer Info'!B515:B1014,1,0)</f>
        <v>#N/A</v>
      </c>
      <c r="H523" s="6" t="e">
        <f>VLOOKUP('Customer Info'!C515,'Customer Info'!C515:C1014,1)</f>
        <v>#N/A</v>
      </c>
      <c r="I523" s="6" t="e">
        <f>VLOOKUP('Customer Info'!E515,'Customer Info'!E515:E1014,1,0)</f>
        <v>#N/A</v>
      </c>
      <c r="J523" s="2">
        <v>2843</v>
      </c>
      <c r="K523" s="2">
        <v>2735</v>
      </c>
      <c r="L523" s="2">
        <v>5</v>
      </c>
      <c r="M523" s="7">
        <f t="shared" ref="M523:M586" si="40">(K523*L523)</f>
        <v>13675</v>
      </c>
      <c r="N523" s="7">
        <f t="shared" ref="N523:N586" si="41">(J523*L523)</f>
        <v>14215</v>
      </c>
      <c r="O523" s="2">
        <v>98</v>
      </c>
      <c r="P523" s="8">
        <f t="shared" ref="P523:P586" si="42">(N523+O523)</f>
        <v>14313</v>
      </c>
      <c r="Q523" s="8">
        <f t="shared" ref="Q523:Q586" si="43">(N523-M523)</f>
        <v>540</v>
      </c>
      <c r="R523" s="2" t="s">
        <v>28</v>
      </c>
      <c r="S523" s="9">
        <f t="shared" ref="S523:S586" si="44">_xlfn.IFS(P523&gt;250000,0.15,P523&gt;100000,0.12,P523&gt;50000,0.09,P523&gt;25000,0.07,P523&gt;5000,0.05,
 TRUE,0.02)</f>
        <v>0.05</v>
      </c>
    </row>
    <row r="524" spans="1:19" x14ac:dyDescent="0.3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e">
        <f>VLOOKUP('Customer Info'!B516,'Customer Info'!B516:B1015,1,0)</f>
        <v>#N/A</v>
      </c>
      <c r="H524" s="6" t="e">
        <f>VLOOKUP('Customer Info'!C516,'Customer Info'!C516:C1015,1)</f>
        <v>#N/A</v>
      </c>
      <c r="I524" s="6" t="e">
        <f>VLOOKUP('Customer Info'!E516,'Customer Info'!E516:E1015,1,0)</f>
        <v>#N/A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564</v>
      </c>
      <c r="R524" s="2" t="s">
        <v>50</v>
      </c>
      <c r="S524" s="9">
        <f t="shared" si="44"/>
        <v>0.05</v>
      </c>
    </row>
    <row r="525" spans="1:19" x14ac:dyDescent="0.3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e">
        <f>VLOOKUP('Customer Info'!B517,'Customer Info'!B517:B1016,1,0)</f>
        <v>#N/A</v>
      </c>
      <c r="H525" s="6" t="e">
        <f>VLOOKUP('Customer Info'!C517,'Customer Info'!C517:C1016,1)</f>
        <v>#N/A</v>
      </c>
      <c r="I525" s="6" t="e">
        <f>VLOOKUP('Customer Info'!E517,'Customer Info'!E517:E1016,1,0)</f>
        <v>#N/A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15</v>
      </c>
      <c r="R525" s="2" t="s">
        <v>28</v>
      </c>
      <c r="S525" s="9">
        <f t="shared" si="44"/>
        <v>0.02</v>
      </c>
    </row>
    <row r="526" spans="1:19" x14ac:dyDescent="0.3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e">
        <f>VLOOKUP('Customer Info'!B518,'Customer Info'!B518:B1017,1,0)</f>
        <v>#N/A</v>
      </c>
      <c r="H526" s="6" t="e">
        <f>VLOOKUP('Customer Info'!C518,'Customer Info'!C518:C1017,1)</f>
        <v>#N/A</v>
      </c>
      <c r="I526" s="6" t="e">
        <f>VLOOKUP('Customer Info'!E518,'Customer Info'!E518:E1017,1,0)</f>
        <v>#N/A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470</v>
      </c>
      <c r="R526" s="2" t="s">
        <v>50</v>
      </c>
      <c r="S526" s="9">
        <f t="shared" si="44"/>
        <v>0.05</v>
      </c>
    </row>
    <row r="527" spans="1:19" x14ac:dyDescent="0.3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e">
        <f>VLOOKUP('Customer Info'!B519,'Customer Info'!B519:B1018,1,0)</f>
        <v>#N/A</v>
      </c>
      <c r="H527" s="6" t="e">
        <f>VLOOKUP('Customer Info'!C519,'Customer Info'!C519:C1018,1)</f>
        <v>#N/A</v>
      </c>
      <c r="I527" s="6" t="e">
        <f>VLOOKUP('Customer Info'!E519,'Customer Info'!E519:E1018,1,0)</f>
        <v>#N/A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6939</v>
      </c>
      <c r="R527" s="2" t="s">
        <v>28</v>
      </c>
      <c r="S527" s="9">
        <f t="shared" si="44"/>
        <v>0.12</v>
      </c>
    </row>
    <row r="528" spans="1:19" x14ac:dyDescent="0.3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e">
        <f>VLOOKUP('Customer Info'!B520,'Customer Info'!B520:B1019,1,0)</f>
        <v>#N/A</v>
      </c>
      <c r="H528" s="6" t="e">
        <f>VLOOKUP('Customer Info'!C520,'Customer Info'!C520:C1019,1)</f>
        <v>#N/A</v>
      </c>
      <c r="I528" s="6" t="e">
        <f>VLOOKUP('Customer Info'!E520,'Customer Info'!E520:E1019,1,0)</f>
        <v>#N/A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668</v>
      </c>
      <c r="R528" s="2" t="s">
        <v>28</v>
      </c>
      <c r="S528" s="9">
        <f t="shared" si="44"/>
        <v>0.05</v>
      </c>
    </row>
    <row r="529" spans="1:19" x14ac:dyDescent="0.3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e">
        <f>VLOOKUP('Customer Info'!B521,'Customer Info'!B521:B1020,1,0)</f>
        <v>#N/A</v>
      </c>
      <c r="H529" s="6" t="e">
        <f>VLOOKUP('Customer Info'!C521,'Customer Info'!C521:C1020,1)</f>
        <v>#N/A</v>
      </c>
      <c r="I529" s="6" t="e">
        <f>VLOOKUP('Customer Info'!E521,'Customer Info'!E521:E1020,1,0)</f>
        <v>#N/A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1001</v>
      </c>
      <c r="R529" s="2" t="s">
        <v>50</v>
      </c>
      <c r="S529" s="9">
        <f t="shared" si="44"/>
        <v>0.05</v>
      </c>
    </row>
    <row r="530" spans="1:19" x14ac:dyDescent="0.3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e">
        <f>VLOOKUP('Customer Info'!B522,'Customer Info'!B522:B1021,1,0)</f>
        <v>#N/A</v>
      </c>
      <c r="H530" s="6" t="e">
        <f>VLOOKUP('Customer Info'!C522,'Customer Info'!C522:C1021,1)</f>
        <v>#N/A</v>
      </c>
      <c r="I530" s="6" t="e">
        <f>VLOOKUP('Customer Info'!E522,'Customer Info'!E522:E1021,1,0)</f>
        <v>#N/A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135</v>
      </c>
      <c r="R530" s="2" t="s">
        <v>26</v>
      </c>
      <c r="S530" s="9">
        <f t="shared" si="44"/>
        <v>0.02</v>
      </c>
    </row>
    <row r="531" spans="1:19" x14ac:dyDescent="0.3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e">
        <f>VLOOKUP('Customer Info'!B523,'Customer Info'!B523:B1022,1,0)</f>
        <v>#N/A</v>
      </c>
      <c r="H531" s="6" t="e">
        <f>VLOOKUP('Customer Info'!C523,'Customer Info'!C523:C1022,1)</f>
        <v>#N/A</v>
      </c>
      <c r="I531" s="6" t="e">
        <f>VLOOKUP('Customer Info'!E523,'Customer Info'!E523:E1022,1,0)</f>
        <v>#N/A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6266</v>
      </c>
      <c r="R531" s="2" t="s">
        <v>28</v>
      </c>
      <c r="S531" s="9">
        <f t="shared" si="44"/>
        <v>0.09</v>
      </c>
    </row>
    <row r="532" spans="1:19" x14ac:dyDescent="0.3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e">
        <f>VLOOKUP('Customer Info'!B524,'Customer Info'!B524:B1023,1,0)</f>
        <v>#N/A</v>
      </c>
      <c r="H532" s="6" t="e">
        <f>VLOOKUP('Customer Info'!C524,'Customer Info'!C524:C1023,1)</f>
        <v>#N/A</v>
      </c>
      <c r="I532" s="6" t="e">
        <f>VLOOKUP('Customer Info'!E524,'Customer Info'!E524:E1023,1,0)</f>
        <v>#N/A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1216</v>
      </c>
      <c r="R532" s="2" t="s">
        <v>26</v>
      </c>
      <c r="S532" s="9">
        <f t="shared" si="44"/>
        <v>0.05</v>
      </c>
    </row>
    <row r="533" spans="1:19" x14ac:dyDescent="0.3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e">
        <f>VLOOKUP('Customer Info'!B525,'Customer Info'!B525:B1024,1,0)</f>
        <v>#N/A</v>
      </c>
      <c r="H533" s="6" t="e">
        <f>VLOOKUP('Customer Info'!C525,'Customer Info'!C525:C1024,1)</f>
        <v>#N/A</v>
      </c>
      <c r="I533" s="6" t="e">
        <f>VLOOKUP('Customer Info'!E525,'Customer Info'!E525:E1024,1,0)</f>
        <v>#N/A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240</v>
      </c>
      <c r="R533" s="2" t="s">
        <v>28</v>
      </c>
      <c r="S533" s="9">
        <f t="shared" si="44"/>
        <v>0.02</v>
      </c>
    </row>
    <row r="534" spans="1:19" x14ac:dyDescent="0.3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e">
        <f>VLOOKUP('Customer Info'!B526,'Customer Info'!B526:B1025,1,0)</f>
        <v>#N/A</v>
      </c>
      <c r="H534" s="6" t="e">
        <f>VLOOKUP('Customer Info'!C526,'Customer Info'!C526:C1025,1)</f>
        <v>#N/A</v>
      </c>
      <c r="I534" s="6" t="e">
        <f>VLOOKUP('Customer Info'!E526,'Customer Info'!E526:E1025,1,0)</f>
        <v>#N/A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1345</v>
      </c>
      <c r="R534" s="2" t="s">
        <v>50</v>
      </c>
      <c r="S534" s="9">
        <f t="shared" si="44"/>
        <v>0.05</v>
      </c>
    </row>
    <row r="535" spans="1:19" x14ac:dyDescent="0.3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e">
        <f>VLOOKUP('Customer Info'!B527,'Customer Info'!B527:B1026,1,0)</f>
        <v>#N/A</v>
      </c>
      <c r="H535" s="6" t="e">
        <f>VLOOKUP('Customer Info'!C527,'Customer Info'!C527:C1026,1)</f>
        <v>#N/A</v>
      </c>
      <c r="I535" s="6" t="e">
        <f>VLOOKUP('Customer Info'!E527,'Customer Info'!E527:E1026,1,0)</f>
        <v>#N/A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105</v>
      </c>
      <c r="R535" s="2" t="s">
        <v>50</v>
      </c>
      <c r="S535" s="9">
        <f t="shared" si="44"/>
        <v>0.02</v>
      </c>
    </row>
    <row r="536" spans="1:19" x14ac:dyDescent="0.3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e">
        <f>VLOOKUP('Customer Info'!B528,'Customer Info'!B528:B1027,1,0)</f>
        <v>#N/A</v>
      </c>
      <c r="H536" s="6" t="e">
        <f>VLOOKUP('Customer Info'!C528,'Customer Info'!C528:C1027,1)</f>
        <v>#N/A</v>
      </c>
      <c r="I536" s="6" t="e">
        <f>VLOOKUP('Customer Info'!E528,'Customer Info'!E528:E1027,1,0)</f>
        <v>#N/A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65</v>
      </c>
      <c r="R536" s="2" t="s">
        <v>28</v>
      </c>
      <c r="S536" s="9">
        <f t="shared" si="44"/>
        <v>0.02</v>
      </c>
    </row>
    <row r="537" spans="1:19" x14ac:dyDescent="0.3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e">
        <f>VLOOKUP('Customer Info'!B529,'Customer Info'!B529:B1028,1,0)</f>
        <v>#N/A</v>
      </c>
      <c r="H537" s="6" t="e">
        <f>VLOOKUP('Customer Info'!C529,'Customer Info'!C529:C1028,1)</f>
        <v>#N/A</v>
      </c>
      <c r="I537" s="6" t="e">
        <f>VLOOKUP('Customer Info'!E529,'Customer Info'!E529:E1028,1,0)</f>
        <v>#N/A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637</v>
      </c>
      <c r="R537" s="2" t="s">
        <v>50</v>
      </c>
      <c r="S537" s="9">
        <f t="shared" si="44"/>
        <v>0.05</v>
      </c>
    </row>
    <row r="538" spans="1:19" x14ac:dyDescent="0.3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e">
        <f>VLOOKUP('Customer Info'!B530,'Customer Info'!B530:B1029,1,0)</f>
        <v>#N/A</v>
      </c>
      <c r="H538" s="6" t="e">
        <f>VLOOKUP('Customer Info'!C530,'Customer Info'!C530:C1029,1)</f>
        <v>#N/A</v>
      </c>
      <c r="I538" s="6" t="e">
        <f>VLOOKUP('Customer Info'!E530,'Customer Info'!E530:E1029,1,0)</f>
        <v>#N/A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602</v>
      </c>
      <c r="R538" s="2" t="s">
        <v>28</v>
      </c>
      <c r="S538" s="9">
        <f t="shared" si="44"/>
        <v>0.05</v>
      </c>
    </row>
    <row r="539" spans="1:19" x14ac:dyDescent="0.3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e">
        <f>VLOOKUP('Customer Info'!B531,'Customer Info'!B531:B1030,1,0)</f>
        <v>#N/A</v>
      </c>
      <c r="H539" s="6" t="e">
        <f>VLOOKUP('Customer Info'!C531,'Customer Info'!C531:C1030,1)</f>
        <v>#N/A</v>
      </c>
      <c r="I539" s="6" t="e">
        <f>VLOOKUP('Customer Info'!E531,'Customer Info'!E531:E1030,1,0)</f>
        <v>#N/A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333</v>
      </c>
      <c r="R539" s="2" t="s">
        <v>50</v>
      </c>
      <c r="S539" s="9">
        <f t="shared" si="44"/>
        <v>0.05</v>
      </c>
    </row>
    <row r="540" spans="1:19" x14ac:dyDescent="0.3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e">
        <f>VLOOKUP('Customer Info'!B532,'Customer Info'!B532:B1031,1,0)</f>
        <v>#N/A</v>
      </c>
      <c r="H540" s="6" t="e">
        <f>VLOOKUP('Customer Info'!C532,'Customer Info'!C532:C1031,1)</f>
        <v>#N/A</v>
      </c>
      <c r="I540" s="6" t="e">
        <f>VLOOKUP('Customer Info'!E532,'Customer Info'!E532:E1031,1,0)</f>
        <v>#N/A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132</v>
      </c>
      <c r="R540" s="2" t="s">
        <v>28</v>
      </c>
      <c r="S540" s="9">
        <f t="shared" si="44"/>
        <v>0.02</v>
      </c>
    </row>
    <row r="541" spans="1:19" x14ac:dyDescent="0.3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e">
        <f>VLOOKUP('Customer Info'!B533,'Customer Info'!B533:B1032,1,0)</f>
        <v>#N/A</v>
      </c>
      <c r="H541" s="6" t="e">
        <f>VLOOKUP('Customer Info'!C533,'Customer Info'!C533:C1032,1)</f>
        <v>#N/A</v>
      </c>
      <c r="I541" s="6" t="e">
        <f>VLOOKUP('Customer Info'!E533,'Customer Info'!E533:E1032,1,0)</f>
        <v>#N/A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186</v>
      </c>
      <c r="R541" s="2" t="s">
        <v>50</v>
      </c>
      <c r="S541" s="9">
        <f t="shared" si="44"/>
        <v>0.02</v>
      </c>
    </row>
    <row r="542" spans="1:19" x14ac:dyDescent="0.3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e">
        <f>VLOOKUP('Customer Info'!B534,'Customer Info'!B534:B1033,1,0)</f>
        <v>#N/A</v>
      </c>
      <c r="H542" s="6" t="e">
        <f>VLOOKUP('Customer Info'!C534,'Customer Info'!C534:C1033,1)</f>
        <v>#N/A</v>
      </c>
      <c r="I542" s="6" t="e">
        <f>VLOOKUP('Customer Info'!E534,'Customer Info'!E534:E1033,1,0)</f>
        <v>#N/A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966</v>
      </c>
      <c r="R542" s="2" t="s">
        <v>28</v>
      </c>
      <c r="S542" s="9">
        <f t="shared" si="44"/>
        <v>0.05</v>
      </c>
    </row>
    <row r="543" spans="1:19" x14ac:dyDescent="0.3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e">
        <f>VLOOKUP('Customer Info'!B535,'Customer Info'!B535:B1034,1,0)</f>
        <v>#N/A</v>
      </c>
      <c r="H543" s="6" t="e">
        <f>VLOOKUP('Customer Info'!C535,'Customer Info'!C535:C1034,1)</f>
        <v>#N/A</v>
      </c>
      <c r="I543" s="6" t="e">
        <f>VLOOKUP('Customer Info'!E535,'Customer Info'!E535:E1034,1,0)</f>
        <v>#N/A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103</v>
      </c>
      <c r="R543" s="2" t="s">
        <v>50</v>
      </c>
      <c r="S543" s="9">
        <f t="shared" si="44"/>
        <v>0.02</v>
      </c>
    </row>
    <row r="544" spans="1:19" x14ac:dyDescent="0.3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e">
        <f>VLOOKUP('Customer Info'!B536,'Customer Info'!B536:B1035,1,0)</f>
        <v>#N/A</v>
      </c>
      <c r="H544" s="6" t="e">
        <f>VLOOKUP('Customer Info'!C536,'Customer Info'!C536:C1035,1)</f>
        <v>#N/A</v>
      </c>
      <c r="I544" s="6" t="e">
        <f>VLOOKUP('Customer Info'!E536,'Customer Info'!E536:E1035,1,0)</f>
        <v>#N/A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44</v>
      </c>
      <c r="R544" s="2" t="s">
        <v>28</v>
      </c>
      <c r="S544" s="9">
        <f t="shared" si="44"/>
        <v>0.02</v>
      </c>
    </row>
    <row r="545" spans="1:19" x14ac:dyDescent="0.3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e">
        <f>VLOOKUP('Customer Info'!B537,'Customer Info'!B537:B1036,1,0)</f>
        <v>#N/A</v>
      </c>
      <c r="H545" s="6" t="e">
        <f>VLOOKUP('Customer Info'!C537,'Customer Info'!C537:C1036,1)</f>
        <v>#N/A</v>
      </c>
      <c r="I545" s="6" t="e">
        <f>VLOOKUP('Customer Info'!E537,'Customer Info'!E537:E1036,1,0)</f>
        <v>#N/A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1456</v>
      </c>
      <c r="R545" s="2" t="s">
        <v>28</v>
      </c>
      <c r="S545" s="9">
        <f t="shared" si="44"/>
        <v>0.05</v>
      </c>
    </row>
    <row r="546" spans="1:19" x14ac:dyDescent="0.3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e">
        <f>VLOOKUP('Customer Info'!B538,'Customer Info'!B538:B1037,1,0)</f>
        <v>#N/A</v>
      </c>
      <c r="H546" s="6" t="e">
        <f>VLOOKUP('Customer Info'!C538,'Customer Info'!C538:C1037,1)</f>
        <v>#N/A</v>
      </c>
      <c r="I546" s="6" t="e">
        <f>VLOOKUP('Customer Info'!E538,'Customer Info'!E538:E1037,1,0)</f>
        <v>#N/A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446</v>
      </c>
      <c r="R546" s="2" t="s">
        <v>28</v>
      </c>
      <c r="S546" s="9">
        <f t="shared" si="44"/>
        <v>0.05</v>
      </c>
    </row>
    <row r="547" spans="1:19" x14ac:dyDescent="0.3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e">
        <f>VLOOKUP('Customer Info'!B539,'Customer Info'!B539:B1038,1,0)</f>
        <v>#N/A</v>
      </c>
      <c r="H547" s="6" t="e">
        <f>VLOOKUP('Customer Info'!C539,'Customer Info'!C539:C1038,1)</f>
        <v>#N/A</v>
      </c>
      <c r="I547" s="6" t="e">
        <f>VLOOKUP('Customer Info'!E539,'Customer Info'!E539:E1038,1,0)</f>
        <v>#N/A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1130</v>
      </c>
      <c r="R547" s="2" t="s">
        <v>50</v>
      </c>
      <c r="S547" s="9">
        <f t="shared" si="44"/>
        <v>0.05</v>
      </c>
    </row>
    <row r="548" spans="1:19" x14ac:dyDescent="0.3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e">
        <f>VLOOKUP('Customer Info'!B540,'Customer Info'!B540:B1039,1,0)</f>
        <v>#N/A</v>
      </c>
      <c r="H548" s="6" t="e">
        <f>VLOOKUP('Customer Info'!C540,'Customer Info'!C540:C1039,1)</f>
        <v>#N/A</v>
      </c>
      <c r="I548" s="6" t="e">
        <f>VLOOKUP('Customer Info'!E540,'Customer Info'!E540:E1039,1,0)</f>
        <v>#N/A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21474</v>
      </c>
      <c r="R548" s="2" t="s">
        <v>28</v>
      </c>
      <c r="S548" s="9">
        <f t="shared" si="44"/>
        <v>0.12</v>
      </c>
    </row>
    <row r="549" spans="1:19" x14ac:dyDescent="0.3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e">
        <f>VLOOKUP('Customer Info'!B541,'Customer Info'!B541:B1040,1,0)</f>
        <v>#N/A</v>
      </c>
      <c r="H549" s="6" t="e">
        <f>VLOOKUP('Customer Info'!C541,'Customer Info'!C541:C1040,1)</f>
        <v>#N/A</v>
      </c>
      <c r="I549" s="6" t="e">
        <f>VLOOKUP('Customer Info'!E541,'Customer Info'!E541:E1040,1,0)</f>
        <v>#N/A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132</v>
      </c>
      <c r="R549" s="2" t="s">
        <v>26</v>
      </c>
      <c r="S549" s="9">
        <f t="shared" si="44"/>
        <v>0.02</v>
      </c>
    </row>
    <row r="550" spans="1:19" x14ac:dyDescent="0.3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e">
        <f>VLOOKUP('Customer Info'!B542,'Customer Info'!B542:B1041,1,0)</f>
        <v>#N/A</v>
      </c>
      <c r="H550" s="6" t="e">
        <f>VLOOKUP('Customer Info'!C542,'Customer Info'!C542:C1041,1)</f>
        <v>#N/A</v>
      </c>
      <c r="I550" s="6" t="e">
        <f>VLOOKUP('Customer Info'!E542,'Customer Info'!E542:E1041,1,0)</f>
        <v>#N/A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54</v>
      </c>
      <c r="R550" s="2" t="s">
        <v>28</v>
      </c>
      <c r="S550" s="9">
        <f t="shared" si="44"/>
        <v>0.02</v>
      </c>
    </row>
    <row r="551" spans="1:19" x14ac:dyDescent="0.3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e">
        <f>VLOOKUP('Customer Info'!B543,'Customer Info'!B543:B1042,1,0)</f>
        <v>#N/A</v>
      </c>
      <c r="H551" s="6" t="e">
        <f>VLOOKUP('Customer Info'!C543,'Customer Info'!C543:C1042,1)</f>
        <v>#N/A</v>
      </c>
      <c r="I551" s="6" t="e">
        <f>VLOOKUP('Customer Info'!E543,'Customer Info'!E543:E1042,1,0)</f>
        <v>#N/A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450</v>
      </c>
      <c r="R551" s="2" t="s">
        <v>28</v>
      </c>
      <c r="S551" s="9">
        <f t="shared" si="44"/>
        <v>0.05</v>
      </c>
    </row>
    <row r="552" spans="1:19" x14ac:dyDescent="0.3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e">
        <f>VLOOKUP('Customer Info'!B544,'Customer Info'!B544:B1043,1,0)</f>
        <v>#N/A</v>
      </c>
      <c r="H552" s="6" t="e">
        <f>VLOOKUP('Customer Info'!C544,'Customer Info'!C544:C1043,1)</f>
        <v>#N/A</v>
      </c>
      <c r="I552" s="6" t="e">
        <f>VLOOKUP('Customer Info'!E544,'Customer Info'!E544:E1043,1,0)</f>
        <v>#N/A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236</v>
      </c>
      <c r="R552" s="2" t="s">
        <v>50</v>
      </c>
      <c r="S552" s="9">
        <f t="shared" si="44"/>
        <v>0.05</v>
      </c>
    </row>
    <row r="553" spans="1:19" x14ac:dyDescent="0.3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e">
        <f>VLOOKUP('Customer Info'!B545,'Customer Info'!B545:B1044,1,0)</f>
        <v>#N/A</v>
      </c>
      <c r="H553" s="6" t="e">
        <f>VLOOKUP('Customer Info'!C545,'Customer Info'!C545:C1044,1)</f>
        <v>#N/A</v>
      </c>
      <c r="I553" s="6" t="e">
        <f>VLOOKUP('Customer Info'!E545,'Customer Info'!E545:E1044,1,0)</f>
        <v>#N/A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268</v>
      </c>
      <c r="R553" s="2" t="s">
        <v>28</v>
      </c>
      <c r="S553" s="9">
        <f t="shared" si="44"/>
        <v>0.02</v>
      </c>
    </row>
    <row r="554" spans="1:19" x14ac:dyDescent="0.3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e">
        <f>VLOOKUP('Customer Info'!B546,'Customer Info'!B546:B1045,1,0)</f>
        <v>#N/A</v>
      </c>
      <c r="H554" s="6" t="e">
        <f>VLOOKUP('Customer Info'!C546,'Customer Info'!C546:C1045,1)</f>
        <v>#N/A</v>
      </c>
      <c r="I554" s="6" t="e">
        <f>VLOOKUP('Customer Info'!E546,'Customer Info'!E546:E1045,1,0)</f>
        <v>#N/A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104</v>
      </c>
      <c r="R554" s="2" t="s">
        <v>28</v>
      </c>
      <c r="S554" s="9">
        <f t="shared" si="44"/>
        <v>0.02</v>
      </c>
    </row>
    <row r="555" spans="1:19" x14ac:dyDescent="0.3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e">
        <f>VLOOKUP('Customer Info'!B547,'Customer Info'!B547:B1046,1,0)</f>
        <v>#N/A</v>
      </c>
      <c r="H555" s="6" t="e">
        <f>VLOOKUP('Customer Info'!C547,'Customer Info'!C547:C1046,1)</f>
        <v>#N/A</v>
      </c>
      <c r="I555" s="6" t="e">
        <f>VLOOKUP('Customer Info'!E547,'Customer Info'!E547:E1046,1,0)</f>
        <v>#N/A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70</v>
      </c>
      <c r="R555" s="2" t="s">
        <v>28</v>
      </c>
      <c r="S555" s="9">
        <f t="shared" si="44"/>
        <v>0.02</v>
      </c>
    </row>
    <row r="556" spans="1:19" x14ac:dyDescent="0.3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e">
        <f>VLOOKUP('Customer Info'!B548,'Customer Info'!B548:B1047,1,0)</f>
        <v>#N/A</v>
      </c>
      <c r="H556" s="6" t="e">
        <f>VLOOKUP('Customer Info'!C548,'Customer Info'!C548:C1047,1)</f>
        <v>#N/A</v>
      </c>
      <c r="I556" s="6" t="e">
        <f>VLOOKUP('Customer Info'!E548,'Customer Info'!E548:E1047,1,0)</f>
        <v>#N/A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654</v>
      </c>
      <c r="R556" s="2" t="s">
        <v>50</v>
      </c>
      <c r="S556" s="9">
        <f t="shared" si="44"/>
        <v>0.05</v>
      </c>
    </row>
    <row r="557" spans="1:19" x14ac:dyDescent="0.3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e">
        <f>VLOOKUP('Customer Info'!B549,'Customer Info'!B549:B1048,1,0)</f>
        <v>#N/A</v>
      </c>
      <c r="H557" s="6" t="e">
        <f>VLOOKUP('Customer Info'!C549,'Customer Info'!C549:C1048,1)</f>
        <v>#N/A</v>
      </c>
      <c r="I557" s="6" t="e">
        <f>VLOOKUP('Customer Info'!E549,'Customer Info'!E549:E1048,1,0)</f>
        <v>#N/A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36</v>
      </c>
      <c r="R557" s="2" t="s">
        <v>50</v>
      </c>
      <c r="S557" s="9">
        <f t="shared" si="44"/>
        <v>0.02</v>
      </c>
    </row>
    <row r="558" spans="1:19" x14ac:dyDescent="0.3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e">
        <f>VLOOKUP('Customer Info'!B550,'Customer Info'!B550:B1049,1,0)</f>
        <v>#N/A</v>
      </c>
      <c r="H558" s="6" t="e">
        <f>VLOOKUP('Customer Info'!C550,'Customer Info'!C550:C1049,1)</f>
        <v>#N/A</v>
      </c>
      <c r="I558" s="6" t="e">
        <f>VLOOKUP('Customer Info'!E550,'Customer Info'!E550:E1049,1,0)</f>
        <v>#N/A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233</v>
      </c>
      <c r="R558" s="2" t="s">
        <v>50</v>
      </c>
      <c r="S558" s="9">
        <f t="shared" si="44"/>
        <v>0.02</v>
      </c>
    </row>
    <row r="559" spans="1:19" x14ac:dyDescent="0.3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e">
        <f>VLOOKUP('Customer Info'!B551,'Customer Info'!B551:B1050,1,0)</f>
        <v>#N/A</v>
      </c>
      <c r="H559" s="6" t="e">
        <f>VLOOKUP('Customer Info'!C551,'Customer Info'!C551:C1050,1)</f>
        <v>#N/A</v>
      </c>
      <c r="I559" s="6" t="e">
        <f>VLOOKUP('Customer Info'!E551,'Customer Info'!E551:E1050,1,0)</f>
        <v>#N/A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579</v>
      </c>
      <c r="R559" s="2" t="s">
        <v>28</v>
      </c>
      <c r="S559" s="9">
        <f t="shared" si="44"/>
        <v>0.05</v>
      </c>
    </row>
    <row r="560" spans="1:19" x14ac:dyDescent="0.3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e">
        <f>VLOOKUP('Customer Info'!B552,'Customer Info'!B552:B1051,1,0)</f>
        <v>#N/A</v>
      </c>
      <c r="H560" s="6" t="e">
        <f>VLOOKUP('Customer Info'!C552,'Customer Info'!C552:C1051,1)</f>
        <v>#N/A</v>
      </c>
      <c r="I560" s="6" t="e">
        <f>VLOOKUP('Customer Info'!E552,'Customer Info'!E552:E1051,1,0)</f>
        <v>#N/A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4820</v>
      </c>
      <c r="R560" s="2" t="s">
        <v>28</v>
      </c>
      <c r="S560" s="9">
        <f t="shared" si="44"/>
        <v>7.0000000000000007E-2</v>
      </c>
    </row>
    <row r="561" spans="1:19" x14ac:dyDescent="0.3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e">
        <f>VLOOKUP('Customer Info'!B553,'Customer Info'!B553:B1052,1,0)</f>
        <v>#N/A</v>
      </c>
      <c r="H561" s="6" t="e">
        <f>VLOOKUP('Customer Info'!C553,'Customer Info'!C553:C1052,1)</f>
        <v>#N/A</v>
      </c>
      <c r="I561" s="6" t="e">
        <f>VLOOKUP('Customer Info'!E553,'Customer Info'!E553:E1052,1,0)</f>
        <v>#N/A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535</v>
      </c>
      <c r="R561" s="2" t="s">
        <v>28</v>
      </c>
      <c r="S561" s="9">
        <f t="shared" si="44"/>
        <v>0.05</v>
      </c>
    </row>
    <row r="562" spans="1:19" x14ac:dyDescent="0.3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e">
        <f>VLOOKUP('Customer Info'!B554,'Customer Info'!B554:B1053,1,0)</f>
        <v>#N/A</v>
      </c>
      <c r="H562" s="6" t="e">
        <f>VLOOKUP('Customer Info'!C554,'Customer Info'!C554:C1053,1)</f>
        <v>#N/A</v>
      </c>
      <c r="I562" s="6" t="e">
        <f>VLOOKUP('Customer Info'!E554,'Customer Info'!E554:E1053,1,0)</f>
        <v>#N/A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10</v>
      </c>
      <c r="R562" s="2" t="s">
        <v>26</v>
      </c>
      <c r="S562" s="9">
        <f t="shared" si="44"/>
        <v>0.02</v>
      </c>
    </row>
    <row r="563" spans="1:19" x14ac:dyDescent="0.3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e">
        <f>VLOOKUP('Customer Info'!B555,'Customer Info'!B555:B1054,1,0)</f>
        <v>#N/A</v>
      </c>
      <c r="H563" s="6" t="e">
        <f>VLOOKUP('Customer Info'!C555,'Customer Info'!C555:C1054,1)</f>
        <v>#N/A</v>
      </c>
      <c r="I563" s="6" t="e">
        <f>VLOOKUP('Customer Info'!E555,'Customer Info'!E555:E1054,1,0)</f>
        <v>#N/A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13</v>
      </c>
      <c r="R563" s="2" t="s">
        <v>28</v>
      </c>
      <c r="S563" s="9">
        <f t="shared" si="44"/>
        <v>0.02</v>
      </c>
    </row>
    <row r="564" spans="1:19" x14ac:dyDescent="0.3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e">
        <f>VLOOKUP('Customer Info'!B556,'Customer Info'!B556:B1055,1,0)</f>
        <v>#N/A</v>
      </c>
      <c r="H564" s="6" t="e">
        <f>VLOOKUP('Customer Info'!C556,'Customer Info'!C556:C1055,1)</f>
        <v>#N/A</v>
      </c>
      <c r="I564" s="6" t="e">
        <f>VLOOKUP('Customer Info'!E556,'Customer Info'!E556:E1055,1,0)</f>
        <v>#N/A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3264</v>
      </c>
      <c r="R564" s="2" t="s">
        <v>28</v>
      </c>
      <c r="S564" s="9">
        <f t="shared" si="44"/>
        <v>7.0000000000000007E-2</v>
      </c>
    </row>
    <row r="565" spans="1:19" x14ac:dyDescent="0.3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e">
        <f>VLOOKUP('Customer Info'!B557,'Customer Info'!B557:B1056,1,0)</f>
        <v>#N/A</v>
      </c>
      <c r="H565" s="6" t="e">
        <f>VLOOKUP('Customer Info'!C557,'Customer Info'!C557:C1056,1)</f>
        <v>#N/A</v>
      </c>
      <c r="I565" s="6" t="e">
        <f>VLOOKUP('Customer Info'!E557,'Customer Info'!E557:E1056,1,0)</f>
        <v>#N/A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1215</v>
      </c>
      <c r="R565" s="2" t="s">
        <v>28</v>
      </c>
      <c r="S565" s="9">
        <f t="shared" si="44"/>
        <v>0.05</v>
      </c>
    </row>
    <row r="566" spans="1:19" x14ac:dyDescent="0.3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e">
        <f>VLOOKUP('Customer Info'!B558,'Customer Info'!B558:B1057,1,0)</f>
        <v>#N/A</v>
      </c>
      <c r="H566" s="6" t="e">
        <f>VLOOKUP('Customer Info'!C558,'Customer Info'!C558:C1057,1)</f>
        <v>#N/A</v>
      </c>
      <c r="I566" s="6" t="e">
        <f>VLOOKUP('Customer Info'!E558,'Customer Info'!E558:E1057,1,0)</f>
        <v>#N/A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432</v>
      </c>
      <c r="R566" s="2" t="s">
        <v>28</v>
      </c>
      <c r="S566" s="9">
        <f t="shared" si="44"/>
        <v>0.05</v>
      </c>
    </row>
    <row r="567" spans="1:19" x14ac:dyDescent="0.3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e">
        <f>VLOOKUP('Customer Info'!B559,'Customer Info'!B559:B1058,1,0)</f>
        <v>#N/A</v>
      </c>
      <c r="H567" s="6" t="e">
        <f>VLOOKUP('Customer Info'!C559,'Customer Info'!C559:C1058,1)</f>
        <v>#N/A</v>
      </c>
      <c r="I567" s="6" t="e">
        <f>VLOOKUP('Customer Info'!E559,'Customer Info'!E559:E1058,1,0)</f>
        <v>#N/A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812</v>
      </c>
      <c r="R567" s="2" t="s">
        <v>28</v>
      </c>
      <c r="S567" s="9">
        <f t="shared" si="44"/>
        <v>0.05</v>
      </c>
    </row>
    <row r="568" spans="1:19" x14ac:dyDescent="0.3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e">
        <f>VLOOKUP('Customer Info'!B560,'Customer Info'!B560:B1059,1,0)</f>
        <v>#N/A</v>
      </c>
      <c r="H568" s="6" t="e">
        <f>VLOOKUP('Customer Info'!C560,'Customer Info'!C560:C1059,1)</f>
        <v>#N/A</v>
      </c>
      <c r="I568" s="6" t="e">
        <f>VLOOKUP('Customer Info'!E560,'Customer Info'!E560:E1059,1,0)</f>
        <v>#N/A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2826</v>
      </c>
      <c r="R568" s="2" t="s">
        <v>50</v>
      </c>
      <c r="S568" s="9">
        <f t="shared" si="44"/>
        <v>7.0000000000000007E-2</v>
      </c>
    </row>
    <row r="569" spans="1:19" x14ac:dyDescent="0.3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e">
        <f>VLOOKUP('Customer Info'!B561,'Customer Info'!B561:B1060,1,0)</f>
        <v>#N/A</v>
      </c>
      <c r="H569" s="6" t="e">
        <f>VLOOKUP('Customer Info'!C561,'Customer Info'!C561:C1060,1)</f>
        <v>#N/A</v>
      </c>
      <c r="I569" s="6" t="e">
        <f>VLOOKUP('Customer Info'!E561,'Customer Info'!E561:E1060,1,0)</f>
        <v>#N/A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1690</v>
      </c>
      <c r="R569" s="2" t="s">
        <v>28</v>
      </c>
      <c r="S569" s="9">
        <f t="shared" si="44"/>
        <v>0.05</v>
      </c>
    </row>
    <row r="570" spans="1:19" x14ac:dyDescent="0.3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e">
        <f>VLOOKUP('Customer Info'!B562,'Customer Info'!B562:B1061,1,0)</f>
        <v>#N/A</v>
      </c>
      <c r="H570" s="6" t="e">
        <f>VLOOKUP('Customer Info'!C562,'Customer Info'!C562:C1061,1)</f>
        <v>#N/A</v>
      </c>
      <c r="I570" s="6" t="e">
        <f>VLOOKUP('Customer Info'!E562,'Customer Info'!E562:E1061,1,0)</f>
        <v>#N/A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74</v>
      </c>
      <c r="R570" s="2" t="s">
        <v>28</v>
      </c>
      <c r="S570" s="9">
        <f t="shared" si="44"/>
        <v>0.02</v>
      </c>
    </row>
    <row r="571" spans="1:19" x14ac:dyDescent="0.3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e">
        <f>VLOOKUP('Customer Info'!B563,'Customer Info'!B563:B1062,1,0)</f>
        <v>#N/A</v>
      </c>
      <c r="H571" s="6" t="e">
        <f>VLOOKUP('Customer Info'!C563,'Customer Info'!C563:C1062,1)</f>
        <v>#N/A</v>
      </c>
      <c r="I571" s="6" t="e">
        <f>VLOOKUP('Customer Info'!E563,'Customer Info'!E563:E1062,1,0)</f>
        <v>#N/A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1170</v>
      </c>
      <c r="R571" s="2" t="s">
        <v>26</v>
      </c>
      <c r="S571" s="9">
        <f t="shared" si="44"/>
        <v>0.05</v>
      </c>
    </row>
    <row r="572" spans="1:19" x14ac:dyDescent="0.3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e">
        <f>VLOOKUP('Customer Info'!B564,'Customer Info'!B564:B1063,1,0)</f>
        <v>#N/A</v>
      </c>
      <c r="H572" s="6" t="e">
        <f>VLOOKUP('Customer Info'!C564,'Customer Info'!C564:C1063,1)</f>
        <v>#N/A</v>
      </c>
      <c r="I572" s="6" t="e">
        <f>VLOOKUP('Customer Info'!E564,'Customer Info'!E564:E1063,1,0)</f>
        <v>#N/A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18</v>
      </c>
      <c r="R572" s="2" t="s">
        <v>28</v>
      </c>
      <c r="S572" s="9">
        <f t="shared" si="44"/>
        <v>0.02</v>
      </c>
    </row>
    <row r="573" spans="1:19" x14ac:dyDescent="0.3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e">
        <f>VLOOKUP('Customer Info'!B565,'Customer Info'!B565:B1064,1,0)</f>
        <v>#N/A</v>
      </c>
      <c r="H573" s="6" t="e">
        <f>VLOOKUP('Customer Info'!C565,'Customer Info'!C565:C1064,1)</f>
        <v>#N/A</v>
      </c>
      <c r="I573" s="6" t="e">
        <f>VLOOKUP('Customer Info'!E565,'Customer Info'!E565:E1064,1,0)</f>
        <v>#N/A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808</v>
      </c>
      <c r="R573" s="2" t="s">
        <v>50</v>
      </c>
      <c r="S573" s="9">
        <f t="shared" si="44"/>
        <v>0.05</v>
      </c>
    </row>
    <row r="574" spans="1:19" x14ac:dyDescent="0.3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e">
        <f>VLOOKUP('Customer Info'!B566,'Customer Info'!B566:B1065,1,0)</f>
        <v>#N/A</v>
      </c>
      <c r="H574" s="6" t="e">
        <f>VLOOKUP('Customer Info'!C566,'Customer Info'!C566:C1065,1)</f>
        <v>#N/A</v>
      </c>
      <c r="I574" s="6" t="e">
        <f>VLOOKUP('Customer Info'!E566,'Customer Info'!E566:E1065,1,0)</f>
        <v>#N/A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360</v>
      </c>
      <c r="R574" s="2" t="s">
        <v>28</v>
      </c>
      <c r="S574" s="9">
        <f t="shared" si="44"/>
        <v>0.05</v>
      </c>
    </row>
    <row r="575" spans="1:19" x14ac:dyDescent="0.3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e">
        <f>VLOOKUP('Customer Info'!B567,'Customer Info'!B567:B1066,1,0)</f>
        <v>#N/A</v>
      </c>
      <c r="H575" s="6" t="e">
        <f>VLOOKUP('Customer Info'!C567,'Customer Info'!C567:C1066,1)</f>
        <v>#N/A</v>
      </c>
      <c r="I575" s="6" t="e">
        <f>VLOOKUP('Customer Info'!E567,'Customer Info'!E567:E1066,1,0)</f>
        <v>#N/A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264</v>
      </c>
      <c r="R575" s="2" t="s">
        <v>50</v>
      </c>
      <c r="S575" s="9">
        <f t="shared" si="44"/>
        <v>0.02</v>
      </c>
    </row>
    <row r="576" spans="1:19" x14ac:dyDescent="0.3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e">
        <f>VLOOKUP('Customer Info'!B568,'Customer Info'!B568:B1067,1,0)</f>
        <v>#N/A</v>
      </c>
      <c r="H576" s="6" t="e">
        <f>VLOOKUP('Customer Info'!C568,'Customer Info'!C568:C1067,1)</f>
        <v>#N/A</v>
      </c>
      <c r="I576" s="6" t="e">
        <f>VLOOKUP('Customer Info'!E568,'Customer Info'!E568:E1067,1,0)</f>
        <v>#N/A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12</v>
      </c>
      <c r="R576" s="2" t="s">
        <v>28</v>
      </c>
      <c r="S576" s="9">
        <f t="shared" si="44"/>
        <v>0.02</v>
      </c>
    </row>
    <row r="577" spans="1:19" x14ac:dyDescent="0.3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e">
        <f>VLOOKUP('Customer Info'!B569,'Customer Info'!B569:B1068,1,0)</f>
        <v>#N/A</v>
      </c>
      <c r="H577" s="6" t="e">
        <f>VLOOKUP('Customer Info'!C569,'Customer Info'!C569:C1068,1)</f>
        <v>#N/A</v>
      </c>
      <c r="I577" s="6" t="e">
        <f>VLOOKUP('Customer Info'!E569,'Customer Info'!E569:E1068,1,0)</f>
        <v>#N/A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320</v>
      </c>
      <c r="R577" s="2" t="s">
        <v>50</v>
      </c>
      <c r="S577" s="9">
        <f t="shared" si="44"/>
        <v>0.05</v>
      </c>
    </row>
    <row r="578" spans="1:19" x14ac:dyDescent="0.3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e">
        <f>VLOOKUP('Customer Info'!B570,'Customer Info'!B570:B1069,1,0)</f>
        <v>#N/A</v>
      </c>
      <c r="H578" s="6" t="e">
        <f>VLOOKUP('Customer Info'!C570,'Customer Info'!C570:C1069,1)</f>
        <v>#N/A</v>
      </c>
      <c r="I578" s="6" t="e">
        <f>VLOOKUP('Customer Info'!E570,'Customer Info'!E570:E1069,1,0)</f>
        <v>#N/A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4803</v>
      </c>
      <c r="R578" s="2" t="s">
        <v>28</v>
      </c>
      <c r="S578" s="9">
        <f t="shared" si="44"/>
        <v>0.09</v>
      </c>
    </row>
    <row r="579" spans="1:19" x14ac:dyDescent="0.3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e">
        <f>VLOOKUP('Customer Info'!B571,'Customer Info'!B571:B1070,1,0)</f>
        <v>#N/A</v>
      </c>
      <c r="H579" s="6" t="e">
        <f>VLOOKUP('Customer Info'!C571,'Customer Info'!C571:C1070,1)</f>
        <v>#N/A</v>
      </c>
      <c r="I579" s="6" t="e">
        <f>VLOOKUP('Customer Info'!E571,'Customer Info'!E571:E1070,1,0)</f>
        <v>#N/A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42</v>
      </c>
      <c r="R579" s="2" t="s">
        <v>28</v>
      </c>
      <c r="S579" s="9">
        <f t="shared" si="44"/>
        <v>0.02</v>
      </c>
    </row>
    <row r="580" spans="1:19" x14ac:dyDescent="0.3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e">
        <f>VLOOKUP('Customer Info'!B572,'Customer Info'!B572:B1071,1,0)</f>
        <v>#N/A</v>
      </c>
      <c r="H580" s="6" t="e">
        <f>VLOOKUP('Customer Info'!C572,'Customer Info'!C572:C1071,1)</f>
        <v>#N/A</v>
      </c>
      <c r="I580" s="6" t="e">
        <f>VLOOKUP('Customer Info'!E572,'Customer Info'!E572:E1071,1,0)</f>
        <v>#N/A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26</v>
      </c>
      <c r="R580" s="2" t="s">
        <v>28</v>
      </c>
      <c r="S580" s="9">
        <f t="shared" si="44"/>
        <v>0.02</v>
      </c>
    </row>
    <row r="581" spans="1:19" x14ac:dyDescent="0.3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e">
        <f>VLOOKUP('Customer Info'!B573,'Customer Info'!B573:B1072,1,0)</f>
        <v>#N/A</v>
      </c>
      <c r="H581" s="6" t="e">
        <f>VLOOKUP('Customer Info'!C573,'Customer Info'!C573:C1072,1)</f>
        <v>#N/A</v>
      </c>
      <c r="I581" s="6" t="e">
        <f>VLOOKUP('Customer Info'!E573,'Customer Info'!E573:E1072,1,0)</f>
        <v>#N/A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318</v>
      </c>
      <c r="R581" s="2" t="s">
        <v>56</v>
      </c>
      <c r="S581" s="9">
        <f t="shared" si="44"/>
        <v>0.02</v>
      </c>
    </row>
    <row r="582" spans="1:19" x14ac:dyDescent="0.3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e">
        <f>VLOOKUP('Customer Info'!B574,'Customer Info'!B574:B1073,1,0)</f>
        <v>#N/A</v>
      </c>
      <c r="H582" s="6" t="e">
        <f>VLOOKUP('Customer Info'!C574,'Customer Info'!C574:C1073,1)</f>
        <v>#N/A</v>
      </c>
      <c r="I582" s="6" t="e">
        <f>VLOOKUP('Customer Info'!E574,'Customer Info'!E574:E1073,1,0)</f>
        <v>#N/A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932</v>
      </c>
      <c r="R582" s="2" t="s">
        <v>28</v>
      </c>
      <c r="S582" s="9">
        <f t="shared" si="44"/>
        <v>0.05</v>
      </c>
    </row>
    <row r="583" spans="1:19" x14ac:dyDescent="0.3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e">
        <f>VLOOKUP('Customer Info'!B575,'Customer Info'!B575:B1074,1,0)</f>
        <v>#N/A</v>
      </c>
      <c r="H583" s="6" t="e">
        <f>VLOOKUP('Customer Info'!C575,'Customer Info'!C575:C1074,1)</f>
        <v>#N/A</v>
      </c>
      <c r="I583" s="6" t="e">
        <f>VLOOKUP('Customer Info'!E575,'Customer Info'!E575:E1074,1,0)</f>
        <v>#N/A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1386</v>
      </c>
      <c r="R583" s="2" t="s">
        <v>28</v>
      </c>
      <c r="S583" s="9">
        <f t="shared" si="44"/>
        <v>0.09</v>
      </c>
    </row>
    <row r="584" spans="1:19" x14ac:dyDescent="0.3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e">
        <f>VLOOKUP('Customer Info'!B576,'Customer Info'!B576:B1075,1,0)</f>
        <v>#N/A</v>
      </c>
      <c r="H584" s="6" t="e">
        <f>VLOOKUP('Customer Info'!C576,'Customer Info'!C576:C1075,1)</f>
        <v>#N/A</v>
      </c>
      <c r="I584" s="6" t="e">
        <f>VLOOKUP('Customer Info'!E576,'Customer Info'!E576:E1075,1,0)</f>
        <v>#N/A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441</v>
      </c>
      <c r="R584" s="2" t="s">
        <v>28</v>
      </c>
      <c r="S584" s="9">
        <f t="shared" si="44"/>
        <v>0.05</v>
      </c>
    </row>
    <row r="585" spans="1:19" x14ac:dyDescent="0.3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e">
        <f>VLOOKUP('Customer Info'!B577,'Customer Info'!B577:B1076,1,0)</f>
        <v>#N/A</v>
      </c>
      <c r="H585" s="6" t="e">
        <f>VLOOKUP('Customer Info'!C577,'Customer Info'!C577:C1076,1)</f>
        <v>#N/A</v>
      </c>
      <c r="I585" s="6" t="e">
        <f>VLOOKUP('Customer Info'!E577,'Customer Info'!E577:E1076,1,0)</f>
        <v>#N/A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16</v>
      </c>
      <c r="R585" s="2" t="s">
        <v>28</v>
      </c>
      <c r="S585" s="9">
        <f t="shared" si="44"/>
        <v>0.02</v>
      </c>
    </row>
    <row r="586" spans="1:19" x14ac:dyDescent="0.3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e">
        <f>VLOOKUP('Customer Info'!B578,'Customer Info'!B578:B1077,1,0)</f>
        <v>#N/A</v>
      </c>
      <c r="H586" s="6" t="e">
        <f>VLOOKUP('Customer Info'!C578,'Customer Info'!C578:C1077,1)</f>
        <v>#N/A</v>
      </c>
      <c r="I586" s="6" t="e">
        <f>VLOOKUP('Customer Info'!E578,'Customer Info'!E578:E1077,1,0)</f>
        <v>#N/A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73</v>
      </c>
      <c r="R586" s="2" t="s">
        <v>28</v>
      </c>
      <c r="S586" s="9">
        <f t="shared" si="44"/>
        <v>0.02</v>
      </c>
    </row>
    <row r="587" spans="1:19" x14ac:dyDescent="0.3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e">
        <f>VLOOKUP('Customer Info'!B579,'Customer Info'!B579:B1078,1,0)</f>
        <v>#N/A</v>
      </c>
      <c r="H587" s="6" t="e">
        <f>VLOOKUP('Customer Info'!C579,'Customer Info'!C579:C1078,1)</f>
        <v>#N/A</v>
      </c>
      <c r="I587" s="6" t="e">
        <f>VLOOKUP('Customer Info'!E579,'Customer Info'!E579:E1078,1,0)</f>
        <v>#N/A</v>
      </c>
      <c r="J587" s="2">
        <v>1292</v>
      </c>
      <c r="K587" s="2">
        <v>1185</v>
      </c>
      <c r="L587" s="2">
        <v>14</v>
      </c>
      <c r="M587" s="7">
        <f t="shared" ref="M587:M650" si="45">(K587*L587)</f>
        <v>16590</v>
      </c>
      <c r="N587" s="7">
        <f t="shared" ref="N587:N650" si="46">(J587*L587)</f>
        <v>18088</v>
      </c>
      <c r="O587" s="2">
        <v>54</v>
      </c>
      <c r="P587" s="8">
        <f t="shared" ref="P587:P650" si="47">(N587+O587)</f>
        <v>18142</v>
      </c>
      <c r="Q587" s="8">
        <f t="shared" ref="Q587:Q650" si="48">(N587-M587)</f>
        <v>1498</v>
      </c>
      <c r="R587" s="2" t="s">
        <v>28</v>
      </c>
      <c r="S587" s="9">
        <f t="shared" ref="S587:S650" si="49">_xlfn.IFS(P587&gt;250000,0.15,P587&gt;100000,0.12,P587&gt;50000,0.09,P587&gt;25000,0.07,P587&gt;5000,0.05,
 TRUE,0.02)</f>
        <v>0.05</v>
      </c>
    </row>
    <row r="588" spans="1:19" x14ac:dyDescent="0.3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e">
        <f>VLOOKUP('Customer Info'!B580,'Customer Info'!B580:B1079,1,0)</f>
        <v>#N/A</v>
      </c>
      <c r="H588" s="6" t="e">
        <f>VLOOKUP('Customer Info'!C580,'Customer Info'!C580:C1079,1)</f>
        <v>#N/A</v>
      </c>
      <c r="I588" s="6" t="e">
        <f>VLOOKUP('Customer Info'!E580,'Customer Info'!E580:E1079,1,0)</f>
        <v>#N/A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30</v>
      </c>
      <c r="R588" s="2" t="s">
        <v>50</v>
      </c>
      <c r="S588" s="9">
        <f t="shared" si="49"/>
        <v>0.02</v>
      </c>
    </row>
    <row r="589" spans="1:19" x14ac:dyDescent="0.3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e">
        <f>VLOOKUP('Customer Info'!B581,'Customer Info'!B581:B1080,1,0)</f>
        <v>#N/A</v>
      </c>
      <c r="H589" s="6" t="e">
        <f>VLOOKUP('Customer Info'!C581,'Customer Info'!C581:C1080,1)</f>
        <v>#N/A</v>
      </c>
      <c r="I589" s="6" t="e">
        <f>VLOOKUP('Customer Info'!E581,'Customer Info'!E581:E1080,1,0)</f>
        <v>#N/A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381</v>
      </c>
      <c r="R589" s="2" t="s">
        <v>26</v>
      </c>
      <c r="S589" s="9">
        <f t="shared" si="49"/>
        <v>0.02</v>
      </c>
    </row>
    <row r="590" spans="1:19" x14ac:dyDescent="0.3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e">
        <f>VLOOKUP('Customer Info'!B582,'Customer Info'!B582:B1081,1,0)</f>
        <v>#N/A</v>
      </c>
      <c r="H590" s="6" t="e">
        <f>VLOOKUP('Customer Info'!C582,'Customer Info'!C582:C1081,1)</f>
        <v>#N/A</v>
      </c>
      <c r="I590" s="6" t="e">
        <f>VLOOKUP('Customer Info'!E582,'Customer Info'!E582:E1081,1,0)</f>
        <v>#N/A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2007</v>
      </c>
      <c r="R590" s="2" t="s">
        <v>28</v>
      </c>
      <c r="S590" s="9">
        <f t="shared" si="49"/>
        <v>0.05</v>
      </c>
    </row>
    <row r="591" spans="1:19" x14ac:dyDescent="0.3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e">
        <f>VLOOKUP('Customer Info'!B583,'Customer Info'!B583:B1082,1,0)</f>
        <v>#N/A</v>
      </c>
      <c r="H591" s="6" t="e">
        <f>VLOOKUP('Customer Info'!C583,'Customer Info'!C583:C1082,1)</f>
        <v>#N/A</v>
      </c>
      <c r="I591" s="6" t="e">
        <f>VLOOKUP('Customer Info'!E583,'Customer Info'!E583:E1082,1,0)</f>
        <v>#N/A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100</v>
      </c>
      <c r="R591" s="2" t="s">
        <v>28</v>
      </c>
      <c r="S591" s="9">
        <f t="shared" si="49"/>
        <v>0.02</v>
      </c>
    </row>
    <row r="592" spans="1:19" x14ac:dyDescent="0.3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e">
        <f>VLOOKUP('Customer Info'!B584,'Customer Info'!B584:B1083,1,0)</f>
        <v>#N/A</v>
      </c>
      <c r="H592" s="6" t="e">
        <f>VLOOKUP('Customer Info'!C584,'Customer Info'!C584:C1083,1)</f>
        <v>#N/A</v>
      </c>
      <c r="I592" s="6" t="e">
        <f>VLOOKUP('Customer Info'!E584,'Customer Info'!E584:E1083,1,0)</f>
        <v>#N/A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54</v>
      </c>
      <c r="R592" s="2" t="s">
        <v>50</v>
      </c>
      <c r="S592" s="9">
        <f t="shared" si="49"/>
        <v>0.02</v>
      </c>
    </row>
    <row r="593" spans="1:19" x14ac:dyDescent="0.3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e">
        <f>VLOOKUP('Customer Info'!B585,'Customer Info'!B585:B1084,1,0)</f>
        <v>#N/A</v>
      </c>
      <c r="H593" s="6" t="e">
        <f>VLOOKUP('Customer Info'!C585,'Customer Info'!C585:C1084,1)</f>
        <v>#N/A</v>
      </c>
      <c r="I593" s="6" t="e">
        <f>VLOOKUP('Customer Info'!E585,'Customer Info'!E585:E1084,1,0)</f>
        <v>#N/A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122</v>
      </c>
      <c r="R593" s="2" t="s">
        <v>50</v>
      </c>
      <c r="S593" s="9">
        <f t="shared" si="49"/>
        <v>0.05</v>
      </c>
    </row>
    <row r="594" spans="1:19" x14ac:dyDescent="0.3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e">
        <f>VLOOKUP('Customer Info'!B586,'Customer Info'!B586:B1085,1,0)</f>
        <v>#N/A</v>
      </c>
      <c r="H594" s="6" t="e">
        <f>VLOOKUP('Customer Info'!C586,'Customer Info'!C586:C1085,1)</f>
        <v>#N/A</v>
      </c>
      <c r="I594" s="6" t="e">
        <f>VLOOKUP('Customer Info'!E586,'Customer Info'!E586:E1085,1,0)</f>
        <v>#N/A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30</v>
      </c>
      <c r="R594" s="2" t="s">
        <v>50</v>
      </c>
      <c r="S594" s="9">
        <f t="shared" si="49"/>
        <v>0.02</v>
      </c>
    </row>
    <row r="595" spans="1:19" x14ac:dyDescent="0.3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e">
        <f>VLOOKUP('Customer Info'!B587,'Customer Info'!B587:B1086,1,0)</f>
        <v>#N/A</v>
      </c>
      <c r="H595" s="6" t="e">
        <f>VLOOKUP('Customer Info'!C587,'Customer Info'!C587:C1086,1)</f>
        <v>#N/A</v>
      </c>
      <c r="I595" s="6" t="e">
        <f>VLOOKUP('Customer Info'!E587,'Customer Info'!E587:E1086,1,0)</f>
        <v>#N/A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292</v>
      </c>
      <c r="R595" s="2" t="s">
        <v>28</v>
      </c>
      <c r="S595" s="9">
        <f t="shared" si="49"/>
        <v>0.02</v>
      </c>
    </row>
    <row r="596" spans="1:19" x14ac:dyDescent="0.3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e">
        <f>VLOOKUP('Customer Info'!B588,'Customer Info'!B588:B1087,1,0)</f>
        <v>#N/A</v>
      </c>
      <c r="H596" s="6" t="e">
        <f>VLOOKUP('Customer Info'!C588,'Customer Info'!C588:C1087,1)</f>
        <v>#N/A</v>
      </c>
      <c r="I596" s="6" t="e">
        <f>VLOOKUP('Customer Info'!E588,'Customer Info'!E588:E1087,1,0)</f>
        <v>#N/A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80</v>
      </c>
      <c r="R596" s="2" t="s">
        <v>26</v>
      </c>
      <c r="S596" s="9">
        <f t="shared" si="49"/>
        <v>0.02</v>
      </c>
    </row>
    <row r="597" spans="1:19" x14ac:dyDescent="0.3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e">
        <f>VLOOKUP('Customer Info'!B589,'Customer Info'!B589:B1088,1,0)</f>
        <v>#N/A</v>
      </c>
      <c r="H597" s="6" t="e">
        <f>VLOOKUP('Customer Info'!C589,'Customer Info'!C589:C1088,1)</f>
        <v>#N/A</v>
      </c>
      <c r="I597" s="6" t="e">
        <f>VLOOKUP('Customer Info'!E589,'Customer Info'!E589:E1088,1,0)</f>
        <v>#N/A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1023</v>
      </c>
      <c r="R597" s="2" t="s">
        <v>50</v>
      </c>
      <c r="S597" s="9">
        <f t="shared" si="49"/>
        <v>0.05</v>
      </c>
    </row>
    <row r="598" spans="1:19" x14ac:dyDescent="0.3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e">
        <f>VLOOKUP('Customer Info'!B590,'Customer Info'!B590:B1089,1,0)</f>
        <v>#N/A</v>
      </c>
      <c r="H598" s="6" t="e">
        <f>VLOOKUP('Customer Info'!C590,'Customer Info'!C590:C1089,1)</f>
        <v>#N/A</v>
      </c>
      <c r="I598" s="6" t="e">
        <f>VLOOKUP('Customer Info'!E590,'Customer Info'!E590:E1089,1,0)</f>
        <v>#N/A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85</v>
      </c>
      <c r="R598" s="2" t="s">
        <v>50</v>
      </c>
      <c r="S598" s="9">
        <f t="shared" si="49"/>
        <v>0.02</v>
      </c>
    </row>
    <row r="599" spans="1:19" x14ac:dyDescent="0.3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e">
        <f>VLOOKUP('Customer Info'!B591,'Customer Info'!B591:B1090,1,0)</f>
        <v>#N/A</v>
      </c>
      <c r="H599" s="6" t="e">
        <f>VLOOKUP('Customer Info'!C591,'Customer Info'!C591:C1090,1)</f>
        <v>#N/A</v>
      </c>
      <c r="I599" s="6" t="e">
        <f>VLOOKUP('Customer Info'!E591,'Customer Info'!E591:E1090,1,0)</f>
        <v>#N/A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1292</v>
      </c>
      <c r="R599" s="2" t="s">
        <v>50</v>
      </c>
      <c r="S599" s="9">
        <f t="shared" si="49"/>
        <v>0.05</v>
      </c>
    </row>
    <row r="600" spans="1:19" x14ac:dyDescent="0.3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e">
        <f>VLOOKUP('Customer Info'!B592,'Customer Info'!B592:B1091,1,0)</f>
        <v>#N/A</v>
      </c>
      <c r="H600" s="6" t="e">
        <f>VLOOKUP('Customer Info'!C592,'Customer Info'!C592:C1091,1)</f>
        <v>#N/A</v>
      </c>
      <c r="I600" s="6" t="e">
        <f>VLOOKUP('Customer Info'!E592,'Customer Info'!E592:E1091,1,0)</f>
        <v>#N/A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1005</v>
      </c>
      <c r="R600" s="2" t="s">
        <v>28</v>
      </c>
      <c r="S600" s="9">
        <f t="shared" si="49"/>
        <v>0.05</v>
      </c>
    </row>
    <row r="601" spans="1:19" x14ac:dyDescent="0.3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e">
        <f>VLOOKUP('Customer Info'!B593,'Customer Info'!B593:B1092,1,0)</f>
        <v>#N/A</v>
      </c>
      <c r="H601" s="6" t="e">
        <f>VLOOKUP('Customer Info'!C593,'Customer Info'!C593:C1092,1)</f>
        <v>#N/A</v>
      </c>
      <c r="I601" s="6" t="e">
        <f>VLOOKUP('Customer Info'!E593,'Customer Info'!E593:E1092,1,0)</f>
        <v>#N/A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15</v>
      </c>
      <c r="R601" s="2" t="s">
        <v>28</v>
      </c>
      <c r="S601" s="9">
        <f t="shared" si="49"/>
        <v>0.02</v>
      </c>
    </row>
    <row r="602" spans="1:19" x14ac:dyDescent="0.3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e">
        <f>VLOOKUP('Customer Info'!B594,'Customer Info'!B594:B1093,1,0)</f>
        <v>#N/A</v>
      </c>
      <c r="H602" s="6" t="e">
        <f>VLOOKUP('Customer Info'!C594,'Customer Info'!C594:C1093,1)</f>
        <v>#N/A</v>
      </c>
      <c r="I602" s="6" t="e">
        <f>VLOOKUP('Customer Info'!E594,'Customer Info'!E594:E1093,1,0)</f>
        <v>#N/A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39</v>
      </c>
      <c r="R602" s="2" t="s">
        <v>28</v>
      </c>
      <c r="S602" s="9">
        <f t="shared" si="49"/>
        <v>0.02</v>
      </c>
    </row>
    <row r="603" spans="1:19" x14ac:dyDescent="0.3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e">
        <f>VLOOKUP('Customer Info'!B595,'Customer Info'!B595:B1094,1,0)</f>
        <v>#N/A</v>
      </c>
      <c r="H603" s="6" t="e">
        <f>VLOOKUP('Customer Info'!C595,'Customer Info'!C595:C1094,1)</f>
        <v>#N/A</v>
      </c>
      <c r="I603" s="6" t="e">
        <f>VLOOKUP('Customer Info'!E595,'Customer Info'!E595:E1094,1,0)</f>
        <v>#N/A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12</v>
      </c>
      <c r="R603" s="2" t="s">
        <v>28</v>
      </c>
      <c r="S603" s="9">
        <f t="shared" si="49"/>
        <v>0.02</v>
      </c>
    </row>
    <row r="604" spans="1:19" x14ac:dyDescent="0.3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e">
        <f>VLOOKUP('Customer Info'!B596,'Customer Info'!B596:B1095,1,0)</f>
        <v>#N/A</v>
      </c>
      <c r="H604" s="6" t="e">
        <f>VLOOKUP('Customer Info'!C596,'Customer Info'!C596:C1095,1)</f>
        <v>#N/A</v>
      </c>
      <c r="I604" s="6" t="e">
        <f>VLOOKUP('Customer Info'!E596,'Customer Info'!E596:E1095,1,0)</f>
        <v>#N/A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520</v>
      </c>
      <c r="R604" s="2" t="s">
        <v>26</v>
      </c>
      <c r="S604" s="9">
        <f t="shared" si="49"/>
        <v>0.05</v>
      </c>
    </row>
    <row r="605" spans="1:19" x14ac:dyDescent="0.3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e">
        <f>VLOOKUP('Customer Info'!B597,'Customer Info'!B597:B1096,1,0)</f>
        <v>#N/A</v>
      </c>
      <c r="H605" s="6" t="e">
        <f>VLOOKUP('Customer Info'!C597,'Customer Info'!C597:C1096,1)</f>
        <v>#N/A</v>
      </c>
      <c r="I605" s="6" t="e">
        <f>VLOOKUP('Customer Info'!E597,'Customer Info'!E597:E1096,1,0)</f>
        <v>#N/A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819</v>
      </c>
      <c r="R605" s="2" t="s">
        <v>28</v>
      </c>
      <c r="S605" s="9">
        <f t="shared" si="49"/>
        <v>0.05</v>
      </c>
    </row>
    <row r="606" spans="1:19" x14ac:dyDescent="0.3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e">
        <f>VLOOKUP('Customer Info'!B598,'Customer Info'!B598:B1097,1,0)</f>
        <v>#N/A</v>
      </c>
      <c r="H606" s="6" t="e">
        <f>VLOOKUP('Customer Info'!C598,'Customer Info'!C598:C1097,1)</f>
        <v>#N/A</v>
      </c>
      <c r="I606" s="6" t="e">
        <f>VLOOKUP('Customer Info'!E598,'Customer Info'!E598:E1097,1,0)</f>
        <v>#N/A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168</v>
      </c>
      <c r="R606" s="2" t="s">
        <v>50</v>
      </c>
      <c r="S606" s="9">
        <f t="shared" si="49"/>
        <v>0.02</v>
      </c>
    </row>
    <row r="607" spans="1:19" x14ac:dyDescent="0.3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e">
        <f>VLOOKUP('Customer Info'!B599,'Customer Info'!B599:B1098,1,0)</f>
        <v>#N/A</v>
      </c>
      <c r="H607" s="6" t="e">
        <f>VLOOKUP('Customer Info'!C599,'Customer Info'!C599:C1098,1)</f>
        <v>#N/A</v>
      </c>
      <c r="I607" s="6" t="e">
        <f>VLOOKUP('Customer Info'!E599,'Customer Info'!E599:E1098,1,0)</f>
        <v>#N/A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18</v>
      </c>
      <c r="R607" s="2" t="s">
        <v>50</v>
      </c>
      <c r="S607" s="9">
        <f t="shared" si="49"/>
        <v>0.02</v>
      </c>
    </row>
    <row r="608" spans="1:19" x14ac:dyDescent="0.3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e">
        <f>VLOOKUP('Customer Info'!B600,'Customer Info'!B600:B1099,1,0)</f>
        <v>#N/A</v>
      </c>
      <c r="H608" s="6" t="e">
        <f>VLOOKUP('Customer Info'!C600,'Customer Info'!C600:C1099,1)</f>
        <v>#N/A</v>
      </c>
      <c r="I608" s="6" t="e">
        <f>VLOOKUP('Customer Info'!E600,'Customer Info'!E600:E1099,1,0)</f>
        <v>#N/A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72</v>
      </c>
      <c r="R608" s="2" t="s">
        <v>28</v>
      </c>
      <c r="S608" s="9">
        <f t="shared" si="49"/>
        <v>0.02</v>
      </c>
    </row>
    <row r="609" spans="1:19" x14ac:dyDescent="0.3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e">
        <f>VLOOKUP('Customer Info'!B601,'Customer Info'!B601:B1100,1,0)</f>
        <v>#N/A</v>
      </c>
      <c r="H609" s="6" t="e">
        <f>VLOOKUP('Customer Info'!C601,'Customer Info'!C601:C1100,1)</f>
        <v>#N/A</v>
      </c>
      <c r="I609" s="6" t="e">
        <f>VLOOKUP('Customer Info'!E601,'Customer Info'!E601:E1100,1,0)</f>
        <v>#N/A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510</v>
      </c>
      <c r="R609" s="2" t="s">
        <v>50</v>
      </c>
      <c r="S609" s="9">
        <f t="shared" si="49"/>
        <v>0.05</v>
      </c>
    </row>
    <row r="610" spans="1:19" x14ac:dyDescent="0.3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e">
        <f>VLOOKUP('Customer Info'!B602,'Customer Info'!B602:B1101,1,0)</f>
        <v>#N/A</v>
      </c>
      <c r="H610" s="6" t="e">
        <f>VLOOKUP('Customer Info'!C602,'Customer Info'!C602:C1101,1)</f>
        <v>#N/A</v>
      </c>
      <c r="I610" s="6" t="e">
        <f>VLOOKUP('Customer Info'!E602,'Customer Info'!E602:E1101,1,0)</f>
        <v>#N/A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254</v>
      </c>
      <c r="R610" s="2" t="s">
        <v>28</v>
      </c>
      <c r="S610" s="9">
        <f t="shared" si="49"/>
        <v>0.02</v>
      </c>
    </row>
    <row r="611" spans="1:19" x14ac:dyDescent="0.3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e">
        <f>VLOOKUP('Customer Info'!B603,'Customer Info'!B603:B1102,1,0)</f>
        <v>#N/A</v>
      </c>
      <c r="H611" s="6" t="e">
        <f>VLOOKUP('Customer Info'!C603,'Customer Info'!C603:C1102,1)</f>
        <v>#N/A</v>
      </c>
      <c r="I611" s="6" t="e">
        <f>VLOOKUP('Customer Info'!E603,'Customer Info'!E603:E1102,1,0)</f>
        <v>#N/A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2880</v>
      </c>
      <c r="R611" s="2" t="s">
        <v>28</v>
      </c>
      <c r="S611" s="9">
        <f t="shared" si="49"/>
        <v>7.0000000000000007E-2</v>
      </c>
    </row>
    <row r="612" spans="1:19" x14ac:dyDescent="0.3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e">
        <f>VLOOKUP('Customer Info'!B604,'Customer Info'!B604:B1103,1,0)</f>
        <v>#N/A</v>
      </c>
      <c r="H612" s="6" t="e">
        <f>VLOOKUP('Customer Info'!C604,'Customer Info'!C604:C1103,1)</f>
        <v>#N/A</v>
      </c>
      <c r="I612" s="6" t="e">
        <f>VLOOKUP('Customer Info'!E604,'Customer Info'!E604:E1103,1,0)</f>
        <v>#N/A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1332</v>
      </c>
      <c r="R612" s="2" t="s">
        <v>50</v>
      </c>
      <c r="S612" s="9">
        <f t="shared" si="49"/>
        <v>0.05</v>
      </c>
    </row>
    <row r="613" spans="1:19" x14ac:dyDescent="0.3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e">
        <f>VLOOKUP('Customer Info'!B605,'Customer Info'!B605:B1104,1,0)</f>
        <v>#N/A</v>
      </c>
      <c r="H613" s="6" t="e">
        <f>VLOOKUP('Customer Info'!C605,'Customer Info'!C605:C1104,1)</f>
        <v>#N/A</v>
      </c>
      <c r="I613" s="6" t="e">
        <f>VLOOKUP('Customer Info'!E605,'Customer Info'!E605:E1104,1,0)</f>
        <v>#N/A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64</v>
      </c>
      <c r="R613" s="2" t="s">
        <v>28</v>
      </c>
      <c r="S613" s="9">
        <f t="shared" si="49"/>
        <v>0.02</v>
      </c>
    </row>
    <row r="614" spans="1:19" x14ac:dyDescent="0.3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e">
        <f>VLOOKUP('Customer Info'!B606,'Customer Info'!B606:B1105,1,0)</f>
        <v>#N/A</v>
      </c>
      <c r="H614" s="6" t="e">
        <f>VLOOKUP('Customer Info'!C606,'Customer Info'!C606:C1105,1)</f>
        <v>#N/A</v>
      </c>
      <c r="I614" s="6" t="e">
        <f>VLOOKUP('Customer Info'!E606,'Customer Info'!E606:E1105,1,0)</f>
        <v>#N/A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183</v>
      </c>
      <c r="R614" s="2" t="s">
        <v>28</v>
      </c>
      <c r="S614" s="9">
        <f t="shared" si="49"/>
        <v>0.02</v>
      </c>
    </row>
    <row r="615" spans="1:19" x14ac:dyDescent="0.3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e">
        <f>VLOOKUP('Customer Info'!B607,'Customer Info'!B607:B1106,1,0)</f>
        <v>#N/A</v>
      </c>
      <c r="H615" s="6" t="e">
        <f>VLOOKUP('Customer Info'!C607,'Customer Info'!C607:C1106,1)</f>
        <v>#N/A</v>
      </c>
      <c r="I615" s="6" t="e">
        <f>VLOOKUP('Customer Info'!E607,'Customer Info'!E607:E1106,1,0)</f>
        <v>#N/A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2304</v>
      </c>
      <c r="R615" s="2" t="s">
        <v>28</v>
      </c>
      <c r="S615" s="9">
        <f t="shared" si="49"/>
        <v>7.0000000000000007E-2</v>
      </c>
    </row>
    <row r="616" spans="1:19" x14ac:dyDescent="0.3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e">
        <f>VLOOKUP('Customer Info'!B608,'Customer Info'!B608:B1107,1,0)</f>
        <v>#N/A</v>
      </c>
      <c r="H616" s="6" t="e">
        <f>VLOOKUP('Customer Info'!C608,'Customer Info'!C608:C1107,1)</f>
        <v>#N/A</v>
      </c>
      <c r="I616" s="6" t="e">
        <f>VLOOKUP('Customer Info'!E608,'Customer Info'!E608:E1107,1,0)</f>
        <v>#N/A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5</v>
      </c>
      <c r="R616" s="2" t="s">
        <v>28</v>
      </c>
      <c r="S616" s="9">
        <f t="shared" si="49"/>
        <v>0.02</v>
      </c>
    </row>
    <row r="617" spans="1:19" x14ac:dyDescent="0.3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e">
        <f>VLOOKUP('Customer Info'!B609,'Customer Info'!B609:B1108,1,0)</f>
        <v>#N/A</v>
      </c>
      <c r="H617" s="6" t="e">
        <f>VLOOKUP('Customer Info'!C609,'Customer Info'!C609:C1108,1)</f>
        <v>#N/A</v>
      </c>
      <c r="I617" s="6" t="e">
        <f>VLOOKUP('Customer Info'!E609,'Customer Info'!E609:E1108,1,0)</f>
        <v>#N/A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29</v>
      </c>
      <c r="R617" s="2" t="s">
        <v>28</v>
      </c>
      <c r="S617" s="9">
        <f t="shared" si="49"/>
        <v>0.02</v>
      </c>
    </row>
    <row r="618" spans="1:19" x14ac:dyDescent="0.3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e">
        <f>VLOOKUP('Customer Info'!B610,'Customer Info'!B610:B1109,1,0)</f>
        <v>#N/A</v>
      </c>
      <c r="H618" s="6" t="e">
        <f>VLOOKUP('Customer Info'!C610,'Customer Info'!C610:C1109,1)</f>
        <v>#N/A</v>
      </c>
      <c r="I618" s="6" t="e">
        <f>VLOOKUP('Customer Info'!E610,'Customer Info'!E610:E1109,1,0)</f>
        <v>#N/A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85</v>
      </c>
      <c r="R618" s="2" t="s">
        <v>28</v>
      </c>
      <c r="S618" s="9">
        <f t="shared" si="49"/>
        <v>0.02</v>
      </c>
    </row>
    <row r="619" spans="1:19" x14ac:dyDescent="0.3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e">
        <f>VLOOKUP('Customer Info'!B611,'Customer Info'!B611:B1110,1,0)</f>
        <v>#N/A</v>
      </c>
      <c r="H619" s="6" t="e">
        <f>VLOOKUP('Customer Info'!C611,'Customer Info'!C611:C1110,1)</f>
        <v>#N/A</v>
      </c>
      <c r="I619" s="6" t="e">
        <f>VLOOKUP('Customer Info'!E611,'Customer Info'!E611:E1110,1,0)</f>
        <v>#N/A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420</v>
      </c>
      <c r="R619" s="2" t="s">
        <v>28</v>
      </c>
      <c r="S619" s="9">
        <f t="shared" si="49"/>
        <v>0.05</v>
      </c>
    </row>
    <row r="620" spans="1:19" x14ac:dyDescent="0.3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e">
        <f>VLOOKUP('Customer Info'!B612,'Customer Info'!B612:B1111,1,0)</f>
        <v>#N/A</v>
      </c>
      <c r="H620" s="6" t="e">
        <f>VLOOKUP('Customer Info'!C612,'Customer Info'!C612:C1111,1)</f>
        <v>#N/A</v>
      </c>
      <c r="I620" s="6" t="e">
        <f>VLOOKUP('Customer Info'!E612,'Customer Info'!E612:E1111,1,0)</f>
        <v>#N/A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36</v>
      </c>
      <c r="R620" s="2" t="s">
        <v>28</v>
      </c>
      <c r="S620" s="9">
        <f t="shared" si="49"/>
        <v>0.02</v>
      </c>
    </row>
    <row r="621" spans="1:19" x14ac:dyDescent="0.3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e">
        <f>VLOOKUP('Customer Info'!B613,'Customer Info'!B613:B1112,1,0)</f>
        <v>#N/A</v>
      </c>
      <c r="H621" s="6" t="e">
        <f>VLOOKUP('Customer Info'!C613,'Customer Info'!C613:C1112,1)</f>
        <v>#N/A</v>
      </c>
      <c r="I621" s="6" t="e">
        <f>VLOOKUP('Customer Info'!E613,'Customer Info'!E613:E1112,1,0)</f>
        <v>#N/A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1516</v>
      </c>
      <c r="R621" s="2" t="s">
        <v>28</v>
      </c>
      <c r="S621" s="9">
        <f t="shared" si="49"/>
        <v>0.05</v>
      </c>
    </row>
    <row r="622" spans="1:19" x14ac:dyDescent="0.3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e">
        <f>VLOOKUP('Customer Info'!B614,'Customer Info'!B614:B1113,1,0)</f>
        <v>#N/A</v>
      </c>
      <c r="H622" s="6" t="e">
        <f>VLOOKUP('Customer Info'!C614,'Customer Info'!C614:C1113,1)</f>
        <v>#N/A</v>
      </c>
      <c r="I622" s="6" t="e">
        <f>VLOOKUP('Customer Info'!E614,'Customer Info'!E614:E1113,1,0)</f>
        <v>#N/A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1173</v>
      </c>
      <c r="R622" s="2" t="s">
        <v>28</v>
      </c>
      <c r="S622" s="9">
        <f t="shared" si="49"/>
        <v>0.05</v>
      </c>
    </row>
    <row r="623" spans="1:19" x14ac:dyDescent="0.3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e">
        <f>VLOOKUP('Customer Info'!B615,'Customer Info'!B615:B1114,1,0)</f>
        <v>#N/A</v>
      </c>
      <c r="H623" s="6" t="e">
        <f>VLOOKUP('Customer Info'!C615,'Customer Info'!C615:C1114,1)</f>
        <v>#N/A</v>
      </c>
      <c r="I623" s="6" t="e">
        <f>VLOOKUP('Customer Info'!E615,'Customer Info'!E615:E1114,1,0)</f>
        <v>#N/A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21931</v>
      </c>
      <c r="R623" s="2" t="s">
        <v>28</v>
      </c>
      <c r="S623" s="9">
        <f t="shared" si="49"/>
        <v>0.15</v>
      </c>
    </row>
    <row r="624" spans="1:19" x14ac:dyDescent="0.3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e">
        <f>VLOOKUP('Customer Info'!B616,'Customer Info'!B616:B1115,1,0)</f>
        <v>#N/A</v>
      </c>
      <c r="H624" s="6" t="e">
        <f>VLOOKUP('Customer Info'!C616,'Customer Info'!C616:C1115,1)</f>
        <v>#N/A</v>
      </c>
      <c r="I624" s="6" t="e">
        <f>VLOOKUP('Customer Info'!E616,'Customer Info'!E616:E1115,1,0)</f>
        <v>#N/A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324</v>
      </c>
      <c r="R624" s="2" t="s">
        <v>50</v>
      </c>
      <c r="S624" s="9">
        <f t="shared" si="49"/>
        <v>0.05</v>
      </c>
    </row>
    <row r="625" spans="1:19" x14ac:dyDescent="0.3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e">
        <f>VLOOKUP('Customer Info'!B617,'Customer Info'!B617:B1116,1,0)</f>
        <v>#N/A</v>
      </c>
      <c r="H625" s="6" t="e">
        <f>VLOOKUP('Customer Info'!C617,'Customer Info'!C617:C1116,1)</f>
        <v>#N/A</v>
      </c>
      <c r="I625" s="6" t="e">
        <f>VLOOKUP('Customer Info'!E617,'Customer Info'!E617:E1116,1,0)</f>
        <v>#N/A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9</v>
      </c>
      <c r="R625" s="2" t="s">
        <v>28</v>
      </c>
      <c r="S625" s="9">
        <f t="shared" si="49"/>
        <v>0.02</v>
      </c>
    </row>
    <row r="626" spans="1:19" x14ac:dyDescent="0.3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e">
        <f>VLOOKUP('Customer Info'!B618,'Customer Info'!B618:B1117,1,0)</f>
        <v>#N/A</v>
      </c>
      <c r="H626" s="6" t="e">
        <f>VLOOKUP('Customer Info'!C618,'Customer Info'!C618:C1117,1)</f>
        <v>#N/A</v>
      </c>
      <c r="I626" s="6" t="e">
        <f>VLOOKUP('Customer Info'!E618,'Customer Info'!E618:E1117,1,0)</f>
        <v>#N/A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8</v>
      </c>
      <c r="R626" s="2" t="s">
        <v>28</v>
      </c>
      <c r="S626" s="9">
        <f t="shared" si="49"/>
        <v>0.02</v>
      </c>
    </row>
    <row r="627" spans="1:19" x14ac:dyDescent="0.3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e">
        <f>VLOOKUP('Customer Info'!B619,'Customer Info'!B619:B1118,1,0)</f>
        <v>#N/A</v>
      </c>
      <c r="H627" s="6" t="e">
        <f>VLOOKUP('Customer Info'!C619,'Customer Info'!C619:C1118,1)</f>
        <v>#N/A</v>
      </c>
      <c r="I627" s="6" t="e">
        <f>VLOOKUP('Customer Info'!E619,'Customer Info'!E619:E1118,1,0)</f>
        <v>#N/A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2996</v>
      </c>
      <c r="R627" s="2" t="s">
        <v>28</v>
      </c>
      <c r="S627" s="9">
        <f t="shared" si="49"/>
        <v>0.09</v>
      </c>
    </row>
    <row r="628" spans="1:19" x14ac:dyDescent="0.3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e">
        <f>VLOOKUP('Customer Info'!B620,'Customer Info'!B620:B1119,1,0)</f>
        <v>#N/A</v>
      </c>
      <c r="H628" s="6" t="e">
        <f>VLOOKUP('Customer Info'!C620,'Customer Info'!C620:C1119,1)</f>
        <v>#N/A</v>
      </c>
      <c r="I628" s="6" t="e">
        <f>VLOOKUP('Customer Info'!E620,'Customer Info'!E620:E1119,1,0)</f>
        <v>#N/A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2826</v>
      </c>
      <c r="R628" s="2" t="s">
        <v>28</v>
      </c>
      <c r="S628" s="9">
        <f t="shared" si="49"/>
        <v>7.0000000000000007E-2</v>
      </c>
    </row>
    <row r="629" spans="1:19" x14ac:dyDescent="0.3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e">
        <f>VLOOKUP('Customer Info'!B621,'Customer Info'!B621:B1120,1,0)</f>
        <v>#N/A</v>
      </c>
      <c r="H629" s="6" t="e">
        <f>VLOOKUP('Customer Info'!C621,'Customer Info'!C621:C1120,1)</f>
        <v>#N/A</v>
      </c>
      <c r="I629" s="6" t="e">
        <f>VLOOKUP('Customer Info'!E621,'Customer Info'!E621:E1120,1,0)</f>
        <v>#N/A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856</v>
      </c>
      <c r="R629" s="2" t="s">
        <v>28</v>
      </c>
      <c r="S629" s="9">
        <f t="shared" si="49"/>
        <v>0.05</v>
      </c>
    </row>
    <row r="630" spans="1:19" x14ac:dyDescent="0.3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e">
        <f>VLOOKUP('Customer Info'!B622,'Customer Info'!B622:B1121,1,0)</f>
        <v>#N/A</v>
      </c>
      <c r="H630" s="6" t="e">
        <f>VLOOKUP('Customer Info'!C622,'Customer Info'!C622:C1121,1)</f>
        <v>#N/A</v>
      </c>
      <c r="I630" s="6" t="e">
        <f>VLOOKUP('Customer Info'!E622,'Customer Info'!E622:E1121,1,0)</f>
        <v>#N/A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21</v>
      </c>
      <c r="R630" s="2" t="s">
        <v>28</v>
      </c>
      <c r="S630" s="9">
        <f t="shared" si="49"/>
        <v>0.02</v>
      </c>
    </row>
    <row r="631" spans="1:19" x14ac:dyDescent="0.3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e">
        <f>VLOOKUP('Customer Info'!B623,'Customer Info'!B623:B1122,1,0)</f>
        <v>#N/A</v>
      </c>
      <c r="H631" s="6" t="e">
        <f>VLOOKUP('Customer Info'!C623,'Customer Info'!C623:C1122,1)</f>
        <v>#N/A</v>
      </c>
      <c r="I631" s="6" t="e">
        <f>VLOOKUP('Customer Info'!E623,'Customer Info'!E623:E1122,1,0)</f>
        <v>#N/A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100</v>
      </c>
      <c r="R631" s="2" t="s">
        <v>50</v>
      </c>
      <c r="S631" s="9">
        <f t="shared" si="49"/>
        <v>0.02</v>
      </c>
    </row>
    <row r="632" spans="1:19" x14ac:dyDescent="0.3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e">
        <f>VLOOKUP('Customer Info'!B624,'Customer Info'!B624:B1123,1,0)</f>
        <v>#N/A</v>
      </c>
      <c r="H632" s="6" t="e">
        <f>VLOOKUP('Customer Info'!C624,'Customer Info'!C624:C1123,1)</f>
        <v>#N/A</v>
      </c>
      <c r="I632" s="6" t="e">
        <f>VLOOKUP('Customer Info'!E624,'Customer Info'!E624:E1123,1,0)</f>
        <v>#N/A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143</v>
      </c>
      <c r="R632" s="2" t="s">
        <v>28</v>
      </c>
      <c r="S632" s="9">
        <f t="shared" si="49"/>
        <v>0.02</v>
      </c>
    </row>
    <row r="633" spans="1:19" x14ac:dyDescent="0.3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e">
        <f>VLOOKUP('Customer Info'!B625,'Customer Info'!B625:B1124,1,0)</f>
        <v>#N/A</v>
      </c>
      <c r="H633" s="6" t="e">
        <f>VLOOKUP('Customer Info'!C625,'Customer Info'!C625:C1124,1)</f>
        <v>#N/A</v>
      </c>
      <c r="I633" s="6" t="e">
        <f>VLOOKUP('Customer Info'!E625,'Customer Info'!E625:E1124,1,0)</f>
        <v>#N/A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2140</v>
      </c>
      <c r="R633" s="2" t="s">
        <v>28</v>
      </c>
      <c r="S633" s="9">
        <f t="shared" si="49"/>
        <v>7.0000000000000007E-2</v>
      </c>
    </row>
    <row r="634" spans="1:19" x14ac:dyDescent="0.3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e">
        <f>VLOOKUP('Customer Info'!B626,'Customer Info'!B626:B1125,1,0)</f>
        <v>#N/A</v>
      </c>
      <c r="H634" s="6" t="e">
        <f>VLOOKUP('Customer Info'!C626,'Customer Info'!C626:C1125,1)</f>
        <v>#N/A</v>
      </c>
      <c r="I634" s="6" t="e">
        <f>VLOOKUP('Customer Info'!E626,'Customer Info'!E626:E1125,1,0)</f>
        <v>#N/A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28</v>
      </c>
      <c r="R634" s="2" t="s">
        <v>28</v>
      </c>
      <c r="S634" s="9">
        <f t="shared" si="49"/>
        <v>0.02</v>
      </c>
    </row>
    <row r="635" spans="1:19" x14ac:dyDescent="0.3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e">
        <f>VLOOKUP('Customer Info'!B627,'Customer Info'!B627:B1126,1,0)</f>
        <v>#N/A</v>
      </c>
      <c r="H635" s="6" t="e">
        <f>VLOOKUP('Customer Info'!C627,'Customer Info'!C627:C1126,1)</f>
        <v>#N/A</v>
      </c>
      <c r="I635" s="6" t="e">
        <f>VLOOKUP('Customer Info'!E627,'Customer Info'!E627:E1126,1,0)</f>
        <v>#N/A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124</v>
      </c>
      <c r="R635" s="2" t="s">
        <v>50</v>
      </c>
      <c r="S635" s="9">
        <f t="shared" si="49"/>
        <v>0.02</v>
      </c>
    </row>
    <row r="636" spans="1:19" x14ac:dyDescent="0.3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e">
        <f>VLOOKUP('Customer Info'!B628,'Customer Info'!B628:B1127,1,0)</f>
        <v>#N/A</v>
      </c>
      <c r="H636" s="6" t="e">
        <f>VLOOKUP('Customer Info'!C628,'Customer Info'!C628:C1127,1)</f>
        <v>#N/A</v>
      </c>
      <c r="I636" s="6" t="e">
        <f>VLOOKUP('Customer Info'!E628,'Customer Info'!E628:E1127,1,0)</f>
        <v>#N/A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354</v>
      </c>
      <c r="R636" s="2" t="s">
        <v>50</v>
      </c>
      <c r="S636" s="9">
        <f t="shared" si="49"/>
        <v>0.02</v>
      </c>
    </row>
    <row r="637" spans="1:19" x14ac:dyDescent="0.3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e">
        <f>VLOOKUP('Customer Info'!B629,'Customer Info'!B629:B1128,1,0)</f>
        <v>#N/A</v>
      </c>
      <c r="H637" s="6" t="e">
        <f>VLOOKUP('Customer Info'!C629,'Customer Info'!C629:C1128,1)</f>
        <v>#N/A</v>
      </c>
      <c r="I637" s="6" t="e">
        <f>VLOOKUP('Customer Info'!E629,'Customer Info'!E629:E1128,1,0)</f>
        <v>#N/A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46</v>
      </c>
      <c r="R637" s="2" t="s">
        <v>28</v>
      </c>
      <c r="S637" s="9">
        <f t="shared" si="49"/>
        <v>0.02</v>
      </c>
    </row>
    <row r="638" spans="1:19" x14ac:dyDescent="0.3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e">
        <f>VLOOKUP('Customer Info'!B630,'Customer Info'!B630:B1129,1,0)</f>
        <v>#N/A</v>
      </c>
      <c r="H638" s="6" t="e">
        <f>VLOOKUP('Customer Info'!C630,'Customer Info'!C630:C1129,1)</f>
        <v>#N/A</v>
      </c>
      <c r="I638" s="6" t="e">
        <f>VLOOKUP('Customer Info'!E630,'Customer Info'!E630:E1129,1,0)</f>
        <v>#N/A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4</v>
      </c>
      <c r="R638" s="2" t="s">
        <v>28</v>
      </c>
      <c r="S638" s="9">
        <f t="shared" si="49"/>
        <v>0.02</v>
      </c>
    </row>
    <row r="639" spans="1:19" x14ac:dyDescent="0.3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e">
        <f>VLOOKUP('Customer Info'!B631,'Customer Info'!B631:B1130,1,0)</f>
        <v>#N/A</v>
      </c>
      <c r="H639" s="6" t="e">
        <f>VLOOKUP('Customer Info'!C631,'Customer Info'!C631:C1130,1)</f>
        <v>#N/A</v>
      </c>
      <c r="I639" s="6" t="e">
        <f>VLOOKUP('Customer Info'!E631,'Customer Info'!E631:E1130,1,0)</f>
        <v>#N/A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8</v>
      </c>
      <c r="R639" s="2" t="s">
        <v>50</v>
      </c>
      <c r="S639" s="9">
        <f t="shared" si="49"/>
        <v>0.02</v>
      </c>
    </row>
    <row r="640" spans="1:19" x14ac:dyDescent="0.3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e">
        <f>VLOOKUP('Customer Info'!B632,'Customer Info'!B632:B1131,1,0)</f>
        <v>#N/A</v>
      </c>
      <c r="H640" s="6" t="e">
        <f>VLOOKUP('Customer Info'!C632,'Customer Info'!C632:C1131,1)</f>
        <v>#N/A</v>
      </c>
      <c r="I640" s="6" t="e">
        <f>VLOOKUP('Customer Info'!E632,'Customer Info'!E632:E1131,1,0)</f>
        <v>#N/A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2676</v>
      </c>
      <c r="R640" s="2" t="s">
        <v>28</v>
      </c>
      <c r="S640" s="9">
        <f t="shared" si="49"/>
        <v>7.0000000000000007E-2</v>
      </c>
    </row>
    <row r="641" spans="1:19" x14ac:dyDescent="0.3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e">
        <f>VLOOKUP('Customer Info'!B633,'Customer Info'!B633:B1132,1,0)</f>
        <v>#N/A</v>
      </c>
      <c r="H641" s="6" t="e">
        <f>VLOOKUP('Customer Info'!C633,'Customer Info'!C633:C1132,1)</f>
        <v>#N/A</v>
      </c>
      <c r="I641" s="6" t="e">
        <f>VLOOKUP('Customer Info'!E633,'Customer Info'!E633:E1132,1,0)</f>
        <v>#N/A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720</v>
      </c>
      <c r="R641" s="2" t="s">
        <v>28</v>
      </c>
      <c r="S641" s="9">
        <f t="shared" si="49"/>
        <v>0.05</v>
      </c>
    </row>
    <row r="642" spans="1:19" x14ac:dyDescent="0.3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e">
        <f>VLOOKUP('Customer Info'!B634,'Customer Info'!B634:B1133,1,0)</f>
        <v>#N/A</v>
      </c>
      <c r="H642" s="6" t="e">
        <f>VLOOKUP('Customer Info'!C634,'Customer Info'!C634:C1133,1)</f>
        <v>#N/A</v>
      </c>
      <c r="I642" s="6" t="e">
        <f>VLOOKUP('Customer Info'!E634,'Customer Info'!E634:E1133,1,0)</f>
        <v>#N/A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2724</v>
      </c>
      <c r="R642" s="2" t="s">
        <v>28</v>
      </c>
      <c r="S642" s="9">
        <f t="shared" si="49"/>
        <v>7.0000000000000007E-2</v>
      </c>
    </row>
    <row r="643" spans="1:19" x14ac:dyDescent="0.3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e">
        <f>VLOOKUP('Customer Info'!B635,'Customer Info'!B635:B1134,1,0)</f>
        <v>#N/A</v>
      </c>
      <c r="H643" s="6" t="e">
        <f>VLOOKUP('Customer Info'!C635,'Customer Info'!C635:C1134,1)</f>
        <v>#N/A</v>
      </c>
      <c r="I643" s="6" t="e">
        <f>VLOOKUP('Customer Info'!E635,'Customer Info'!E635:E1134,1,0)</f>
        <v>#N/A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597</v>
      </c>
      <c r="R643" s="2" t="s">
        <v>50</v>
      </c>
      <c r="S643" s="9">
        <f t="shared" si="49"/>
        <v>0.05</v>
      </c>
    </row>
    <row r="644" spans="1:19" x14ac:dyDescent="0.3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e">
        <f>VLOOKUP('Customer Info'!B636,'Customer Info'!B636:B1135,1,0)</f>
        <v>#N/A</v>
      </c>
      <c r="H644" s="6" t="e">
        <f>VLOOKUP('Customer Info'!C636,'Customer Info'!C636:C1135,1)</f>
        <v>#N/A</v>
      </c>
      <c r="I644" s="6" t="e">
        <f>VLOOKUP('Customer Info'!E636,'Customer Info'!E636:E1135,1,0)</f>
        <v>#N/A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558</v>
      </c>
      <c r="R644" s="2" t="s">
        <v>50</v>
      </c>
      <c r="S644" s="9">
        <f t="shared" si="49"/>
        <v>0.05</v>
      </c>
    </row>
    <row r="645" spans="1:19" x14ac:dyDescent="0.3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e">
        <f>VLOOKUP('Customer Info'!B637,'Customer Info'!B637:B1136,1,0)</f>
        <v>#N/A</v>
      </c>
      <c r="H645" s="6" t="e">
        <f>VLOOKUP('Customer Info'!C637,'Customer Info'!C637:C1136,1)</f>
        <v>#N/A</v>
      </c>
      <c r="I645" s="6" t="e">
        <f>VLOOKUP('Customer Info'!E637,'Customer Info'!E637:E1136,1,0)</f>
        <v>#N/A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12</v>
      </c>
      <c r="R645" s="2" t="s">
        <v>28</v>
      </c>
      <c r="S645" s="9">
        <f t="shared" si="49"/>
        <v>0.02</v>
      </c>
    </row>
    <row r="646" spans="1:19" x14ac:dyDescent="0.3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e">
        <f>VLOOKUP('Customer Info'!B638,'Customer Info'!B638:B1137,1,0)</f>
        <v>#N/A</v>
      </c>
      <c r="H646" s="6" t="e">
        <f>VLOOKUP('Customer Info'!C638,'Customer Info'!C638:C1137,1)</f>
        <v>#N/A</v>
      </c>
      <c r="I646" s="6" t="e">
        <f>VLOOKUP('Customer Info'!E638,'Customer Info'!E638:E1137,1,0)</f>
        <v>#N/A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724</v>
      </c>
      <c r="R646" s="2" t="s">
        <v>26</v>
      </c>
      <c r="S646" s="9">
        <f t="shared" si="49"/>
        <v>0.05</v>
      </c>
    </row>
    <row r="647" spans="1:19" x14ac:dyDescent="0.3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e">
        <f>VLOOKUP('Customer Info'!B639,'Customer Info'!B639:B1138,1,0)</f>
        <v>#N/A</v>
      </c>
      <c r="H647" s="6" t="e">
        <f>VLOOKUP('Customer Info'!C639,'Customer Info'!C639:C1138,1)</f>
        <v>#N/A</v>
      </c>
      <c r="I647" s="6" t="e">
        <f>VLOOKUP('Customer Info'!E639,'Customer Info'!E639:E1138,1,0)</f>
        <v>#N/A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382</v>
      </c>
      <c r="R647" s="2" t="s">
        <v>28</v>
      </c>
      <c r="S647" s="9">
        <f t="shared" si="49"/>
        <v>0.05</v>
      </c>
    </row>
    <row r="648" spans="1:19" x14ac:dyDescent="0.3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e">
        <f>VLOOKUP('Customer Info'!B640,'Customer Info'!B640:B1139,1,0)</f>
        <v>#N/A</v>
      </c>
      <c r="H648" s="6" t="e">
        <f>VLOOKUP('Customer Info'!C640,'Customer Info'!C640:C1139,1)</f>
        <v>#N/A</v>
      </c>
      <c r="I648" s="6" t="e">
        <f>VLOOKUP('Customer Info'!E640,'Customer Info'!E640:E1139,1,0)</f>
        <v>#N/A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182</v>
      </c>
      <c r="R648" s="2" t="s">
        <v>28</v>
      </c>
      <c r="S648" s="9">
        <f t="shared" si="49"/>
        <v>0.02</v>
      </c>
    </row>
    <row r="649" spans="1:19" x14ac:dyDescent="0.3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e">
        <f>VLOOKUP('Customer Info'!B641,'Customer Info'!B641:B1140,1,0)</f>
        <v>#N/A</v>
      </c>
      <c r="H649" s="6" t="e">
        <f>VLOOKUP('Customer Info'!C641,'Customer Info'!C641:C1140,1)</f>
        <v>#N/A</v>
      </c>
      <c r="I649" s="6" t="e">
        <f>VLOOKUP('Customer Info'!E641,'Customer Info'!E641:E1140,1,0)</f>
        <v>#N/A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1440</v>
      </c>
      <c r="R649" s="2" t="s">
        <v>26</v>
      </c>
      <c r="S649" s="9">
        <f t="shared" si="49"/>
        <v>0.05</v>
      </c>
    </row>
    <row r="650" spans="1:19" x14ac:dyDescent="0.3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e">
        <f>VLOOKUP('Customer Info'!B642,'Customer Info'!B642:B1141,1,0)</f>
        <v>#N/A</v>
      </c>
      <c r="H650" s="6" t="e">
        <f>VLOOKUP('Customer Info'!C642,'Customer Info'!C642:C1141,1)</f>
        <v>#N/A</v>
      </c>
      <c r="I650" s="6" t="e">
        <f>VLOOKUP('Customer Info'!E642,'Customer Info'!E642:E1141,1,0)</f>
        <v>#N/A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826</v>
      </c>
      <c r="R650" s="2" t="s">
        <v>28</v>
      </c>
      <c r="S650" s="9">
        <f t="shared" si="49"/>
        <v>0.05</v>
      </c>
    </row>
    <row r="651" spans="1:19" x14ac:dyDescent="0.3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e">
        <f>VLOOKUP('Customer Info'!B643,'Customer Info'!B643:B1142,1,0)</f>
        <v>#N/A</v>
      </c>
      <c r="H651" s="6" t="e">
        <f>VLOOKUP('Customer Info'!C643,'Customer Info'!C643:C1142,1)</f>
        <v>#N/A</v>
      </c>
      <c r="I651" s="6" t="e">
        <f>VLOOKUP('Customer Info'!E643,'Customer Info'!E643:E1142,1,0)</f>
        <v>#N/A</v>
      </c>
      <c r="J651" s="2">
        <v>4246</v>
      </c>
      <c r="K651" s="2">
        <v>3857</v>
      </c>
      <c r="L651" s="2">
        <v>4</v>
      </c>
      <c r="M651" s="7">
        <f t="shared" ref="M651:M714" si="50">(K651*L651)</f>
        <v>15428</v>
      </c>
      <c r="N651" s="7">
        <f t="shared" ref="N651:N714" si="51">(J651*L651)</f>
        <v>16984</v>
      </c>
      <c r="O651" s="2">
        <v>76</v>
      </c>
      <c r="P651" s="8">
        <f t="shared" ref="P651:P714" si="52">(N651+O651)</f>
        <v>17060</v>
      </c>
      <c r="Q651" s="8">
        <f t="shared" ref="Q651:Q714" si="53">(N651-M651)</f>
        <v>1556</v>
      </c>
      <c r="R651" s="2" t="s">
        <v>26</v>
      </c>
      <c r="S651" s="9">
        <f t="shared" ref="S651:S714" si="54">_xlfn.IFS(P651&gt;250000,0.15,P651&gt;100000,0.12,P651&gt;50000,0.09,P651&gt;25000,0.07,P651&gt;5000,0.05,
 TRUE,0.02)</f>
        <v>0.05</v>
      </c>
    </row>
    <row r="652" spans="1:19" x14ac:dyDescent="0.3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e">
        <f>VLOOKUP('Customer Info'!B644,'Customer Info'!B644:B1143,1,0)</f>
        <v>#N/A</v>
      </c>
      <c r="H652" s="6" t="e">
        <f>VLOOKUP('Customer Info'!C644,'Customer Info'!C644:C1143,1)</f>
        <v>#N/A</v>
      </c>
      <c r="I652" s="6" t="e">
        <f>VLOOKUP('Customer Info'!E644,'Customer Info'!E644:E1143,1,0)</f>
        <v>#N/A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20</v>
      </c>
      <c r="R652" s="2" t="s">
        <v>50</v>
      </c>
      <c r="S652" s="9">
        <f t="shared" si="54"/>
        <v>0.02</v>
      </c>
    </row>
    <row r="653" spans="1:19" x14ac:dyDescent="0.3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e">
        <f>VLOOKUP('Customer Info'!B645,'Customer Info'!B645:B1144,1,0)</f>
        <v>#N/A</v>
      </c>
      <c r="H653" s="6" t="e">
        <f>VLOOKUP('Customer Info'!C645,'Customer Info'!C645:C1144,1)</f>
        <v>#N/A</v>
      </c>
      <c r="I653" s="6" t="e">
        <f>VLOOKUP('Customer Info'!E645,'Customer Info'!E645:E1144,1,0)</f>
        <v>#N/A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380</v>
      </c>
      <c r="R653" s="2" t="s">
        <v>28</v>
      </c>
      <c r="S653" s="9">
        <f t="shared" si="54"/>
        <v>0.05</v>
      </c>
    </row>
    <row r="654" spans="1:19" x14ac:dyDescent="0.3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e">
        <f>VLOOKUP('Customer Info'!B646,'Customer Info'!B646:B1145,1,0)</f>
        <v>#N/A</v>
      </c>
      <c r="H654" s="6" t="e">
        <f>VLOOKUP('Customer Info'!C646,'Customer Info'!C646:C1145,1)</f>
        <v>#N/A</v>
      </c>
      <c r="I654" s="6" t="e">
        <f>VLOOKUP('Customer Info'!E646,'Customer Info'!E646:E1145,1,0)</f>
        <v>#N/A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524</v>
      </c>
      <c r="R654" s="2" t="s">
        <v>28</v>
      </c>
      <c r="S654" s="9">
        <f t="shared" si="54"/>
        <v>0.05</v>
      </c>
    </row>
    <row r="655" spans="1:19" x14ac:dyDescent="0.3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e">
        <f>VLOOKUP('Customer Info'!B647,'Customer Info'!B647:B1146,1,0)</f>
        <v>#N/A</v>
      </c>
      <c r="H655" s="6" t="e">
        <f>VLOOKUP('Customer Info'!C647,'Customer Info'!C647:C1146,1)</f>
        <v>#N/A</v>
      </c>
      <c r="I655" s="6" t="e">
        <f>VLOOKUP('Customer Info'!E647,'Customer Info'!E647:E1146,1,0)</f>
        <v>#N/A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182</v>
      </c>
      <c r="R655" s="2" t="s">
        <v>28</v>
      </c>
      <c r="S655" s="9">
        <f t="shared" si="54"/>
        <v>0.02</v>
      </c>
    </row>
    <row r="656" spans="1:19" x14ac:dyDescent="0.3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e">
        <f>VLOOKUP('Customer Info'!B648,'Customer Info'!B648:B1147,1,0)</f>
        <v>#N/A</v>
      </c>
      <c r="H656" s="6" t="e">
        <f>VLOOKUP('Customer Info'!C648,'Customer Info'!C648:C1147,1)</f>
        <v>#N/A</v>
      </c>
      <c r="I656" s="6" t="e">
        <f>VLOOKUP('Customer Info'!E648,'Customer Info'!E648:E1147,1,0)</f>
        <v>#N/A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146</v>
      </c>
      <c r="R656" s="2" t="s">
        <v>50</v>
      </c>
      <c r="S656" s="9">
        <f t="shared" si="54"/>
        <v>0.02</v>
      </c>
    </row>
    <row r="657" spans="1:19" x14ac:dyDescent="0.3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e">
        <f>VLOOKUP('Customer Info'!B649,'Customer Info'!B649:B1148,1,0)</f>
        <v>#N/A</v>
      </c>
      <c r="H657" s="6" t="e">
        <f>VLOOKUP('Customer Info'!C649,'Customer Info'!C649:C1148,1)</f>
        <v>#N/A</v>
      </c>
      <c r="I657" s="6" t="e">
        <f>VLOOKUP('Customer Info'!E649,'Customer Info'!E649:E1148,1,0)</f>
        <v>#N/A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128</v>
      </c>
      <c r="R657" s="2" t="s">
        <v>28</v>
      </c>
      <c r="S657" s="9">
        <f t="shared" si="54"/>
        <v>0.02</v>
      </c>
    </row>
    <row r="658" spans="1:19" x14ac:dyDescent="0.3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e">
        <f>VLOOKUP('Customer Info'!B650,'Customer Info'!B650:B1149,1,0)</f>
        <v>#N/A</v>
      </c>
      <c r="H658" s="6" t="e">
        <f>VLOOKUP('Customer Info'!C650,'Customer Info'!C650:C1149,1)</f>
        <v>#N/A</v>
      </c>
      <c r="I658" s="6" t="e">
        <f>VLOOKUP('Customer Info'!E650,'Customer Info'!E650:E1149,1,0)</f>
        <v>#N/A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36</v>
      </c>
      <c r="R658" s="2" t="s">
        <v>28</v>
      </c>
      <c r="S658" s="9">
        <f t="shared" si="54"/>
        <v>0.02</v>
      </c>
    </row>
    <row r="659" spans="1:19" x14ac:dyDescent="0.3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e">
        <f>VLOOKUP('Customer Info'!B651,'Customer Info'!B651:B1150,1,0)</f>
        <v>#N/A</v>
      </c>
      <c r="H659" s="6" t="e">
        <f>VLOOKUP('Customer Info'!C651,'Customer Info'!C651:C1150,1)</f>
        <v>#N/A</v>
      </c>
      <c r="I659" s="6" t="e">
        <f>VLOOKUP('Customer Info'!E651,'Customer Info'!E651:E1150,1,0)</f>
        <v>#N/A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199</v>
      </c>
      <c r="R659" s="2" t="s">
        <v>50</v>
      </c>
      <c r="S659" s="9">
        <f t="shared" si="54"/>
        <v>0.02</v>
      </c>
    </row>
    <row r="660" spans="1:19" x14ac:dyDescent="0.3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e">
        <f>VLOOKUP('Customer Info'!B652,'Customer Info'!B652:B1151,1,0)</f>
        <v>#N/A</v>
      </c>
      <c r="H660" s="6" t="e">
        <f>VLOOKUP('Customer Info'!C652,'Customer Info'!C652:C1151,1)</f>
        <v>#N/A</v>
      </c>
      <c r="I660" s="6" t="e">
        <f>VLOOKUP('Customer Info'!E652,'Customer Info'!E652:E1151,1,0)</f>
        <v>#N/A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618</v>
      </c>
      <c r="R660" s="2" t="s">
        <v>28</v>
      </c>
      <c r="S660" s="9">
        <f t="shared" si="54"/>
        <v>0.05</v>
      </c>
    </row>
    <row r="661" spans="1:19" x14ac:dyDescent="0.3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e">
        <f>VLOOKUP('Customer Info'!B653,'Customer Info'!B653:B1152,1,0)</f>
        <v>#N/A</v>
      </c>
      <c r="H661" s="6" t="e">
        <f>VLOOKUP('Customer Info'!C653,'Customer Info'!C653:C1152,1)</f>
        <v>#N/A</v>
      </c>
      <c r="I661" s="6" t="e">
        <f>VLOOKUP('Customer Info'!E653,'Customer Info'!E653:E1152,1,0)</f>
        <v>#N/A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798</v>
      </c>
      <c r="R661" s="2" t="s">
        <v>28</v>
      </c>
      <c r="S661" s="9">
        <f t="shared" si="54"/>
        <v>0.05</v>
      </c>
    </row>
    <row r="662" spans="1:19" x14ac:dyDescent="0.3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e">
        <f>VLOOKUP('Customer Info'!B654,'Customer Info'!B654:B1153,1,0)</f>
        <v>#N/A</v>
      </c>
      <c r="H662" s="6" t="e">
        <f>VLOOKUP('Customer Info'!C654,'Customer Info'!C654:C1153,1)</f>
        <v>#N/A</v>
      </c>
      <c r="I662" s="6" t="e">
        <f>VLOOKUP('Customer Info'!E654,'Customer Info'!E654:E1153,1,0)</f>
        <v>#N/A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476</v>
      </c>
      <c r="R662" s="2" t="s">
        <v>26</v>
      </c>
      <c r="S662" s="9">
        <f t="shared" si="54"/>
        <v>0.05</v>
      </c>
    </row>
    <row r="663" spans="1:19" x14ac:dyDescent="0.3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e">
        <f>VLOOKUP('Customer Info'!B655,'Customer Info'!B655:B1154,1,0)</f>
        <v>#N/A</v>
      </c>
      <c r="H663" s="6" t="e">
        <f>VLOOKUP('Customer Info'!C655,'Customer Info'!C655:C1154,1)</f>
        <v>#N/A</v>
      </c>
      <c r="I663" s="6" t="e">
        <f>VLOOKUP('Customer Info'!E655,'Customer Info'!E655:E1154,1,0)</f>
        <v>#N/A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1183</v>
      </c>
      <c r="R663" s="2" t="s">
        <v>50</v>
      </c>
      <c r="S663" s="9">
        <f t="shared" si="54"/>
        <v>7.0000000000000007E-2</v>
      </c>
    </row>
    <row r="664" spans="1:19" x14ac:dyDescent="0.3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e">
        <f>VLOOKUP('Customer Info'!B656,'Customer Info'!B656:B1155,1,0)</f>
        <v>#N/A</v>
      </c>
      <c r="H664" s="6" t="e">
        <f>VLOOKUP('Customer Info'!C656,'Customer Info'!C656:C1155,1)</f>
        <v>#N/A</v>
      </c>
      <c r="I664" s="6" t="e">
        <f>VLOOKUP('Customer Info'!E656,'Customer Info'!E656:E1155,1,0)</f>
        <v>#N/A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8</v>
      </c>
      <c r="R664" s="2" t="s">
        <v>26</v>
      </c>
      <c r="S664" s="9">
        <f t="shared" si="54"/>
        <v>0.02</v>
      </c>
    </row>
    <row r="665" spans="1:19" x14ac:dyDescent="0.3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e">
        <f>VLOOKUP('Customer Info'!B657,'Customer Info'!B657:B1156,1,0)</f>
        <v>#N/A</v>
      </c>
      <c r="H665" s="6" t="e">
        <f>VLOOKUP('Customer Info'!C657,'Customer Info'!C657:C1156,1)</f>
        <v>#N/A</v>
      </c>
      <c r="I665" s="6" t="e">
        <f>VLOOKUP('Customer Info'!E657,'Customer Info'!E657:E1156,1,0)</f>
        <v>#N/A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252</v>
      </c>
      <c r="R665" s="2" t="s">
        <v>28</v>
      </c>
      <c r="S665" s="9">
        <f t="shared" si="54"/>
        <v>0.05</v>
      </c>
    </row>
    <row r="666" spans="1:19" x14ac:dyDescent="0.3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e">
        <f>VLOOKUP('Customer Info'!B658,'Customer Info'!B658:B1157,1,0)</f>
        <v>#N/A</v>
      </c>
      <c r="H666" s="6" t="e">
        <f>VLOOKUP('Customer Info'!C658,'Customer Info'!C658:C1157,1)</f>
        <v>#N/A</v>
      </c>
      <c r="I666" s="6" t="e">
        <f>VLOOKUP('Customer Info'!E658,'Customer Info'!E658:E1157,1,0)</f>
        <v>#N/A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352</v>
      </c>
      <c r="R666" s="2" t="s">
        <v>28</v>
      </c>
      <c r="S666" s="9">
        <f t="shared" si="54"/>
        <v>0.02</v>
      </c>
    </row>
    <row r="667" spans="1:19" x14ac:dyDescent="0.3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e">
        <f>VLOOKUP('Customer Info'!B659,'Customer Info'!B659:B1158,1,0)</f>
        <v>#N/A</v>
      </c>
      <c r="H667" s="6" t="e">
        <f>VLOOKUP('Customer Info'!C659,'Customer Info'!C659:C1158,1)</f>
        <v>#N/A</v>
      </c>
      <c r="I667" s="6" t="e">
        <f>VLOOKUP('Customer Info'!E659,'Customer Info'!E659:E1158,1,0)</f>
        <v>#N/A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63</v>
      </c>
      <c r="R667" s="2" t="s">
        <v>50</v>
      </c>
      <c r="S667" s="9">
        <f t="shared" si="54"/>
        <v>0.02</v>
      </c>
    </row>
    <row r="668" spans="1:19" x14ac:dyDescent="0.3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e">
        <f>VLOOKUP('Customer Info'!B660,'Customer Info'!B660:B1159,1,0)</f>
        <v>#N/A</v>
      </c>
      <c r="H668" s="6" t="e">
        <f>VLOOKUP('Customer Info'!C660,'Customer Info'!C660:C1159,1)</f>
        <v>#N/A</v>
      </c>
      <c r="I668" s="6" t="e">
        <f>VLOOKUP('Customer Info'!E660,'Customer Info'!E660:E1159,1,0)</f>
        <v>#N/A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348</v>
      </c>
      <c r="R668" s="2" t="s">
        <v>28</v>
      </c>
      <c r="S668" s="9">
        <f t="shared" si="54"/>
        <v>0.05</v>
      </c>
    </row>
    <row r="669" spans="1:19" x14ac:dyDescent="0.3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e">
        <f>VLOOKUP('Customer Info'!B661,'Customer Info'!B661:B1160,1,0)</f>
        <v>#N/A</v>
      </c>
      <c r="H669" s="6" t="e">
        <f>VLOOKUP('Customer Info'!C661,'Customer Info'!C661:C1160,1)</f>
        <v>#N/A</v>
      </c>
      <c r="I669" s="6" t="e">
        <f>VLOOKUP('Customer Info'!E661,'Customer Info'!E661:E1160,1,0)</f>
        <v>#N/A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1287</v>
      </c>
      <c r="R669" s="2" t="s">
        <v>26</v>
      </c>
      <c r="S669" s="9">
        <f t="shared" si="54"/>
        <v>0.05</v>
      </c>
    </row>
    <row r="670" spans="1:19" x14ac:dyDescent="0.3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e">
        <f>VLOOKUP('Customer Info'!B662,'Customer Info'!B662:B1161,1,0)</f>
        <v>#N/A</v>
      </c>
      <c r="H670" s="6" t="e">
        <f>VLOOKUP('Customer Info'!C662,'Customer Info'!C662:C1161,1)</f>
        <v>#N/A</v>
      </c>
      <c r="I670" s="6" t="e">
        <f>VLOOKUP('Customer Info'!E662,'Customer Info'!E662:E1161,1,0)</f>
        <v>#N/A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6270</v>
      </c>
      <c r="R670" s="2" t="s">
        <v>28</v>
      </c>
      <c r="S670" s="9">
        <f t="shared" si="54"/>
        <v>0.09</v>
      </c>
    </row>
    <row r="671" spans="1:19" x14ac:dyDescent="0.3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e">
        <f>VLOOKUP('Customer Info'!B663,'Customer Info'!B663:B1162,1,0)</f>
        <v>#N/A</v>
      </c>
      <c r="H671" s="6" t="e">
        <f>VLOOKUP('Customer Info'!C663,'Customer Info'!C663:C1162,1)</f>
        <v>#N/A</v>
      </c>
      <c r="I671" s="6" t="e">
        <f>VLOOKUP('Customer Info'!E663,'Customer Info'!E663:E1162,1,0)</f>
        <v>#N/A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34</v>
      </c>
      <c r="R671" s="2" t="s">
        <v>28</v>
      </c>
      <c r="S671" s="9">
        <f t="shared" si="54"/>
        <v>0.02</v>
      </c>
    </row>
    <row r="672" spans="1:19" x14ac:dyDescent="0.3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e">
        <f>VLOOKUP('Customer Info'!B664,'Customer Info'!B664:B1163,1,0)</f>
        <v>#N/A</v>
      </c>
      <c r="H672" s="6" t="e">
        <f>VLOOKUP('Customer Info'!C664,'Customer Info'!C664:C1163,1)</f>
        <v>#N/A</v>
      </c>
      <c r="I672" s="6" t="e">
        <f>VLOOKUP('Customer Info'!E664,'Customer Info'!E664:E1163,1,0)</f>
        <v>#N/A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335</v>
      </c>
      <c r="R672" s="2" t="s">
        <v>28</v>
      </c>
      <c r="S672" s="9">
        <f t="shared" si="54"/>
        <v>0.05</v>
      </c>
    </row>
    <row r="673" spans="1:19" x14ac:dyDescent="0.3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e">
        <f>VLOOKUP('Customer Info'!B665,'Customer Info'!B665:B1164,1,0)</f>
        <v>#N/A</v>
      </c>
      <c r="H673" s="6" t="e">
        <f>VLOOKUP('Customer Info'!C665,'Customer Info'!C665:C1164,1)</f>
        <v>#N/A</v>
      </c>
      <c r="I673" s="6" t="e">
        <f>VLOOKUP('Customer Info'!E665,'Customer Info'!E665:E1164,1,0)</f>
        <v>#N/A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62</v>
      </c>
      <c r="R673" s="2" t="s">
        <v>50</v>
      </c>
      <c r="S673" s="9">
        <f t="shared" si="54"/>
        <v>0.02</v>
      </c>
    </row>
    <row r="674" spans="1:19" x14ac:dyDescent="0.3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e">
        <f>VLOOKUP('Customer Info'!B666,'Customer Info'!B666:B1165,1,0)</f>
        <v>#N/A</v>
      </c>
      <c r="H674" s="6" t="e">
        <f>VLOOKUP('Customer Info'!C666,'Customer Info'!C666:C1165,1)</f>
        <v>#N/A</v>
      </c>
      <c r="I674" s="6" t="e">
        <f>VLOOKUP('Customer Info'!E666,'Customer Info'!E666:E1165,1,0)</f>
        <v>#N/A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3178</v>
      </c>
      <c r="R674" s="2" t="s">
        <v>26</v>
      </c>
      <c r="S674" s="9">
        <f t="shared" si="54"/>
        <v>0.09</v>
      </c>
    </row>
    <row r="675" spans="1:19" x14ac:dyDescent="0.3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e">
        <f>VLOOKUP('Customer Info'!B667,'Customer Info'!B667:B1166,1,0)</f>
        <v>#N/A</v>
      </c>
      <c r="H675" s="6" t="e">
        <f>VLOOKUP('Customer Info'!C667,'Customer Info'!C667:C1166,1)</f>
        <v>#N/A</v>
      </c>
      <c r="I675" s="6" t="e">
        <f>VLOOKUP('Customer Info'!E667,'Customer Info'!E667:E1166,1,0)</f>
        <v>#N/A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82</v>
      </c>
      <c r="R675" s="2" t="s">
        <v>50</v>
      </c>
      <c r="S675" s="9">
        <f t="shared" si="54"/>
        <v>0.02</v>
      </c>
    </row>
    <row r="676" spans="1:19" x14ac:dyDescent="0.3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e">
        <f>VLOOKUP('Customer Info'!B668,'Customer Info'!B668:B1167,1,0)</f>
        <v>#N/A</v>
      </c>
      <c r="H676" s="6" t="e">
        <f>VLOOKUP('Customer Info'!C668,'Customer Info'!C668:C1167,1)</f>
        <v>#N/A</v>
      </c>
      <c r="I676" s="6" t="e">
        <f>VLOOKUP('Customer Info'!E668,'Customer Info'!E668:E1167,1,0)</f>
        <v>#N/A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1455</v>
      </c>
      <c r="R676" s="2" t="s">
        <v>28</v>
      </c>
      <c r="S676" s="9">
        <f t="shared" si="54"/>
        <v>0.05</v>
      </c>
    </row>
    <row r="677" spans="1:19" x14ac:dyDescent="0.3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e">
        <f>VLOOKUP('Customer Info'!B669,'Customer Info'!B669:B1168,1,0)</f>
        <v>#N/A</v>
      </c>
      <c r="H677" s="6" t="e">
        <f>VLOOKUP('Customer Info'!C669,'Customer Info'!C669:C1168,1)</f>
        <v>#N/A</v>
      </c>
      <c r="I677" s="6" t="e">
        <f>VLOOKUP('Customer Info'!E669,'Customer Info'!E669:E1168,1,0)</f>
        <v>#N/A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234</v>
      </c>
      <c r="R677" s="2" t="s">
        <v>28</v>
      </c>
      <c r="S677" s="9">
        <f t="shared" si="54"/>
        <v>0.05</v>
      </c>
    </row>
    <row r="678" spans="1:19" x14ac:dyDescent="0.3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e">
        <f>VLOOKUP('Customer Info'!B670,'Customer Info'!B670:B1169,1,0)</f>
        <v>#N/A</v>
      </c>
      <c r="H678" s="6" t="e">
        <f>VLOOKUP('Customer Info'!C670,'Customer Info'!C670:C1169,1)</f>
        <v>#N/A</v>
      </c>
      <c r="I678" s="6" t="e">
        <f>VLOOKUP('Customer Info'!E670,'Customer Info'!E670:E1169,1,0)</f>
        <v>#N/A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156</v>
      </c>
      <c r="R678" s="2" t="s">
        <v>26</v>
      </c>
      <c r="S678" s="9">
        <f t="shared" si="54"/>
        <v>0.02</v>
      </c>
    </row>
    <row r="679" spans="1:19" x14ac:dyDescent="0.3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e">
        <f>VLOOKUP('Customer Info'!B671,'Customer Info'!B671:B1170,1,0)</f>
        <v>#N/A</v>
      </c>
      <c r="H679" s="6" t="e">
        <f>VLOOKUP('Customer Info'!C671,'Customer Info'!C671:C1170,1)</f>
        <v>#N/A</v>
      </c>
      <c r="I679" s="6" t="e">
        <f>VLOOKUP('Customer Info'!E671,'Customer Info'!E671:E1170,1,0)</f>
        <v>#N/A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646</v>
      </c>
      <c r="R679" s="2" t="s">
        <v>28</v>
      </c>
      <c r="S679" s="9">
        <f t="shared" si="54"/>
        <v>0.05</v>
      </c>
    </row>
    <row r="680" spans="1:19" x14ac:dyDescent="0.3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e">
        <f>VLOOKUP('Customer Info'!B672,'Customer Info'!B672:B1171,1,0)</f>
        <v>#N/A</v>
      </c>
      <c r="H680" s="6" t="e">
        <f>VLOOKUP('Customer Info'!C672,'Customer Info'!C672:C1171,1)</f>
        <v>#N/A</v>
      </c>
      <c r="I680" s="6" t="e">
        <f>VLOOKUP('Customer Info'!E672,'Customer Info'!E672:E1171,1,0)</f>
        <v>#N/A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8</v>
      </c>
      <c r="R680" s="2" t="s">
        <v>28</v>
      </c>
      <c r="S680" s="9">
        <f t="shared" si="54"/>
        <v>0.02</v>
      </c>
    </row>
    <row r="681" spans="1:19" x14ac:dyDescent="0.3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e">
        <f>VLOOKUP('Customer Info'!B673,'Customer Info'!B673:B1172,1,0)</f>
        <v>#N/A</v>
      </c>
      <c r="H681" s="6" t="e">
        <f>VLOOKUP('Customer Info'!C673,'Customer Info'!C673:C1172,1)</f>
        <v>#N/A</v>
      </c>
      <c r="I681" s="6" t="e">
        <f>VLOOKUP('Customer Info'!E673,'Customer Info'!E673:E1172,1,0)</f>
        <v>#N/A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786</v>
      </c>
      <c r="R681" s="2" t="s">
        <v>28</v>
      </c>
      <c r="S681" s="9">
        <f t="shared" si="54"/>
        <v>0.05</v>
      </c>
    </row>
    <row r="682" spans="1:19" x14ac:dyDescent="0.3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e">
        <f>VLOOKUP('Customer Info'!B674,'Customer Info'!B674:B1173,1,0)</f>
        <v>#N/A</v>
      </c>
      <c r="H682" s="6" t="e">
        <f>VLOOKUP('Customer Info'!C674,'Customer Info'!C674:C1173,1)</f>
        <v>#N/A</v>
      </c>
      <c r="I682" s="6" t="e">
        <f>VLOOKUP('Customer Info'!E674,'Customer Info'!E674:E1173,1,0)</f>
        <v>#N/A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1485</v>
      </c>
      <c r="R682" s="2" t="s">
        <v>56</v>
      </c>
      <c r="S682" s="9">
        <f t="shared" si="54"/>
        <v>0.05</v>
      </c>
    </row>
    <row r="683" spans="1:19" x14ac:dyDescent="0.3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e">
        <f>VLOOKUP('Customer Info'!B675,'Customer Info'!B675:B1174,1,0)</f>
        <v>#N/A</v>
      </c>
      <c r="H683" s="6" t="e">
        <f>VLOOKUP('Customer Info'!C675,'Customer Info'!C675:C1174,1)</f>
        <v>#N/A</v>
      </c>
      <c r="I683" s="6" t="e">
        <f>VLOOKUP('Customer Info'!E675,'Customer Info'!E675:E1174,1,0)</f>
        <v>#N/A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10</v>
      </c>
      <c r="R683" s="2" t="s">
        <v>50</v>
      </c>
      <c r="S683" s="9">
        <f t="shared" si="54"/>
        <v>0.02</v>
      </c>
    </row>
    <row r="684" spans="1:19" x14ac:dyDescent="0.3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e">
        <f>VLOOKUP('Customer Info'!B676,'Customer Info'!B676:B1175,1,0)</f>
        <v>#N/A</v>
      </c>
      <c r="H684" s="6" t="e">
        <f>VLOOKUP('Customer Info'!C676,'Customer Info'!C676:C1175,1)</f>
        <v>#N/A</v>
      </c>
      <c r="I684" s="6" t="e">
        <f>VLOOKUP('Customer Info'!E676,'Customer Info'!E676:E1175,1,0)</f>
        <v>#N/A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10</v>
      </c>
      <c r="R684" s="2" t="s">
        <v>28</v>
      </c>
      <c r="S684" s="9">
        <f t="shared" si="54"/>
        <v>0.02</v>
      </c>
    </row>
    <row r="685" spans="1:19" x14ac:dyDescent="0.3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e">
        <f>VLOOKUP('Customer Info'!B677,'Customer Info'!B677:B1176,1,0)</f>
        <v>#N/A</v>
      </c>
      <c r="H685" s="6" t="e">
        <f>VLOOKUP('Customer Info'!C677,'Customer Info'!C677:C1176,1)</f>
        <v>#N/A</v>
      </c>
      <c r="I685" s="6" t="e">
        <f>VLOOKUP('Customer Info'!E677,'Customer Info'!E677:E1176,1,0)</f>
        <v>#N/A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1680</v>
      </c>
      <c r="R685" s="2" t="s">
        <v>26</v>
      </c>
      <c r="S685" s="9">
        <f t="shared" si="54"/>
        <v>0.05</v>
      </c>
    </row>
    <row r="686" spans="1:19" x14ac:dyDescent="0.3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e">
        <f>VLOOKUP('Customer Info'!B678,'Customer Info'!B678:B1177,1,0)</f>
        <v>#N/A</v>
      </c>
      <c r="H686" s="6" t="e">
        <f>VLOOKUP('Customer Info'!C678,'Customer Info'!C678:C1177,1)</f>
        <v>#N/A</v>
      </c>
      <c r="I686" s="6" t="e">
        <f>VLOOKUP('Customer Info'!E678,'Customer Info'!E678:E1177,1,0)</f>
        <v>#N/A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477</v>
      </c>
      <c r="R686" s="2" t="s">
        <v>28</v>
      </c>
      <c r="S686" s="9">
        <f t="shared" si="54"/>
        <v>0.02</v>
      </c>
    </row>
    <row r="687" spans="1:19" x14ac:dyDescent="0.3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e">
        <f>VLOOKUP('Customer Info'!B679,'Customer Info'!B679:B1178,1,0)</f>
        <v>#N/A</v>
      </c>
      <c r="H687" s="6" t="e">
        <f>VLOOKUP('Customer Info'!C679,'Customer Info'!C679:C1178,1)</f>
        <v>#N/A</v>
      </c>
      <c r="I687" s="6" t="e">
        <f>VLOOKUP('Customer Info'!E679,'Customer Info'!E679:E1178,1,0)</f>
        <v>#N/A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132</v>
      </c>
      <c r="R687" s="2" t="s">
        <v>50</v>
      </c>
      <c r="S687" s="9">
        <f t="shared" si="54"/>
        <v>0.02</v>
      </c>
    </row>
    <row r="688" spans="1:19" x14ac:dyDescent="0.3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e">
        <f>VLOOKUP('Customer Info'!B680,'Customer Info'!B680:B1179,1,0)</f>
        <v>#N/A</v>
      </c>
      <c r="H688" s="6" t="e">
        <f>VLOOKUP('Customer Info'!C680,'Customer Info'!C680:C1179,1)</f>
        <v>#N/A</v>
      </c>
      <c r="I688" s="6" t="e">
        <f>VLOOKUP('Customer Info'!E680,'Customer Info'!E680:E1179,1,0)</f>
        <v>#N/A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243</v>
      </c>
      <c r="R688" s="2" t="s">
        <v>28</v>
      </c>
      <c r="S688" s="9">
        <f t="shared" si="54"/>
        <v>0.05</v>
      </c>
    </row>
    <row r="689" spans="1:19" x14ac:dyDescent="0.3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e">
        <f>VLOOKUP('Customer Info'!B681,'Customer Info'!B681:B1180,1,0)</f>
        <v>#N/A</v>
      </c>
      <c r="H689" s="6" t="e">
        <f>VLOOKUP('Customer Info'!C681,'Customer Info'!C681:C1180,1)</f>
        <v>#N/A</v>
      </c>
      <c r="I689" s="6" t="e">
        <f>VLOOKUP('Customer Info'!E681,'Customer Info'!E681:E1180,1,0)</f>
        <v>#N/A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128</v>
      </c>
      <c r="R689" s="2" t="s">
        <v>50</v>
      </c>
      <c r="S689" s="9">
        <f t="shared" si="54"/>
        <v>0.05</v>
      </c>
    </row>
    <row r="690" spans="1:19" x14ac:dyDescent="0.3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e">
        <f>VLOOKUP('Customer Info'!B682,'Customer Info'!B682:B1181,1,0)</f>
        <v>#N/A</v>
      </c>
      <c r="H690" s="6" t="e">
        <f>VLOOKUP('Customer Info'!C682,'Customer Info'!C682:C1181,1)</f>
        <v>#N/A</v>
      </c>
      <c r="I690" s="6" t="e">
        <f>VLOOKUP('Customer Info'!E682,'Customer Info'!E682:E1181,1,0)</f>
        <v>#N/A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1444</v>
      </c>
      <c r="R690" s="2" t="s">
        <v>26</v>
      </c>
      <c r="S690" s="9">
        <f t="shared" si="54"/>
        <v>7.0000000000000007E-2</v>
      </c>
    </row>
    <row r="691" spans="1:19" x14ac:dyDescent="0.3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e">
        <f>VLOOKUP('Customer Info'!B683,'Customer Info'!B683:B1182,1,0)</f>
        <v>#N/A</v>
      </c>
      <c r="H691" s="6" t="e">
        <f>VLOOKUP('Customer Info'!C683,'Customer Info'!C683:C1182,1)</f>
        <v>#N/A</v>
      </c>
      <c r="I691" s="6" t="e">
        <f>VLOOKUP('Customer Info'!E683,'Customer Info'!E683:E1182,1,0)</f>
        <v>#N/A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90</v>
      </c>
      <c r="R691" s="2" t="s">
        <v>28</v>
      </c>
      <c r="S691" s="9">
        <f t="shared" si="54"/>
        <v>0.02</v>
      </c>
    </row>
    <row r="692" spans="1:19" x14ac:dyDescent="0.3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e">
        <f>VLOOKUP('Customer Info'!B684,'Customer Info'!B684:B1183,1,0)</f>
        <v>#N/A</v>
      </c>
      <c r="H692" s="6" t="e">
        <f>VLOOKUP('Customer Info'!C684,'Customer Info'!C684:C1183,1)</f>
        <v>#N/A</v>
      </c>
      <c r="I692" s="6" t="e">
        <f>VLOOKUP('Customer Info'!E684,'Customer Info'!E684:E1183,1,0)</f>
        <v>#N/A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540</v>
      </c>
      <c r="R692" s="2" t="s">
        <v>28</v>
      </c>
      <c r="S692" s="9">
        <f t="shared" si="54"/>
        <v>0.05</v>
      </c>
    </row>
    <row r="693" spans="1:19" x14ac:dyDescent="0.3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e">
        <f>VLOOKUP('Customer Info'!B685,'Customer Info'!B685:B1184,1,0)</f>
        <v>#N/A</v>
      </c>
      <c r="H693" s="6" t="e">
        <f>VLOOKUP('Customer Info'!C685,'Customer Info'!C685:C1184,1)</f>
        <v>#N/A</v>
      </c>
      <c r="I693" s="6" t="e">
        <f>VLOOKUP('Customer Info'!E685,'Customer Info'!E685:E1184,1,0)</f>
        <v>#N/A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219</v>
      </c>
      <c r="R693" s="2" t="s">
        <v>28</v>
      </c>
      <c r="S693" s="9">
        <f t="shared" si="54"/>
        <v>0.02</v>
      </c>
    </row>
    <row r="694" spans="1:19" x14ac:dyDescent="0.3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e">
        <f>VLOOKUP('Customer Info'!B686,'Customer Info'!B686:B1185,1,0)</f>
        <v>#N/A</v>
      </c>
      <c r="H694" s="6" t="e">
        <f>VLOOKUP('Customer Info'!C686,'Customer Info'!C686:C1185,1)</f>
        <v>#N/A</v>
      </c>
      <c r="I694" s="6" t="e">
        <f>VLOOKUP('Customer Info'!E686,'Customer Info'!E686:E1185,1,0)</f>
        <v>#N/A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123</v>
      </c>
      <c r="R694" s="2" t="s">
        <v>50</v>
      </c>
      <c r="S694" s="9">
        <f t="shared" si="54"/>
        <v>0.02</v>
      </c>
    </row>
    <row r="695" spans="1:19" x14ac:dyDescent="0.3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e">
        <f>VLOOKUP('Customer Info'!B687,'Customer Info'!B687:B1186,1,0)</f>
        <v>#N/A</v>
      </c>
      <c r="H695" s="6" t="e">
        <f>VLOOKUP('Customer Info'!C687,'Customer Info'!C687:C1186,1)</f>
        <v>#N/A</v>
      </c>
      <c r="I695" s="6" t="e">
        <f>VLOOKUP('Customer Info'!E687,'Customer Info'!E687:E1186,1,0)</f>
        <v>#N/A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39</v>
      </c>
      <c r="R695" s="2" t="s">
        <v>28</v>
      </c>
      <c r="S695" s="9">
        <f t="shared" si="54"/>
        <v>0.02</v>
      </c>
    </row>
    <row r="696" spans="1:19" x14ac:dyDescent="0.3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e">
        <f>VLOOKUP('Customer Info'!B688,'Customer Info'!B688:B1187,1,0)</f>
        <v>#N/A</v>
      </c>
      <c r="H696" s="6" t="e">
        <f>VLOOKUP('Customer Info'!C688,'Customer Info'!C688:C1187,1)</f>
        <v>#N/A</v>
      </c>
      <c r="I696" s="6" t="e">
        <f>VLOOKUP('Customer Info'!E688,'Customer Info'!E688:E1187,1,0)</f>
        <v>#N/A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81</v>
      </c>
      <c r="R696" s="2" t="s">
        <v>26</v>
      </c>
      <c r="S696" s="9">
        <f t="shared" si="54"/>
        <v>0.02</v>
      </c>
    </row>
    <row r="697" spans="1:19" x14ac:dyDescent="0.3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e">
        <f>VLOOKUP('Customer Info'!B689,'Customer Info'!B689:B1188,1,0)</f>
        <v>#N/A</v>
      </c>
      <c r="H697" s="6" t="e">
        <f>VLOOKUP('Customer Info'!C689,'Customer Info'!C689:C1188,1)</f>
        <v>#N/A</v>
      </c>
      <c r="I697" s="6" t="e">
        <f>VLOOKUP('Customer Info'!E689,'Customer Info'!E689:E1188,1,0)</f>
        <v>#N/A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280</v>
      </c>
      <c r="R697" s="2" t="s">
        <v>28</v>
      </c>
      <c r="S697" s="9">
        <f t="shared" si="54"/>
        <v>0.05</v>
      </c>
    </row>
    <row r="698" spans="1:19" x14ac:dyDescent="0.3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e">
        <f>VLOOKUP('Customer Info'!B690,'Customer Info'!B690:B1189,1,0)</f>
        <v>#N/A</v>
      </c>
      <c r="H698" s="6" t="e">
        <f>VLOOKUP('Customer Info'!C690,'Customer Info'!C690:C1189,1)</f>
        <v>#N/A</v>
      </c>
      <c r="I698" s="6" t="e">
        <f>VLOOKUP('Customer Info'!E690,'Customer Info'!E690:E1189,1,0)</f>
        <v>#N/A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3354</v>
      </c>
      <c r="R698" s="2" t="s">
        <v>28</v>
      </c>
      <c r="S698" s="9">
        <f t="shared" si="54"/>
        <v>7.0000000000000007E-2</v>
      </c>
    </row>
    <row r="699" spans="1:19" x14ac:dyDescent="0.3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e">
        <f>VLOOKUP('Customer Info'!B691,'Customer Info'!B691:B1190,1,0)</f>
        <v>#N/A</v>
      </c>
      <c r="H699" s="6" t="e">
        <f>VLOOKUP('Customer Info'!C691,'Customer Info'!C691:C1190,1)</f>
        <v>#N/A</v>
      </c>
      <c r="I699" s="6" t="e">
        <f>VLOOKUP('Customer Info'!E691,'Customer Info'!E691:E1190,1,0)</f>
        <v>#N/A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49</v>
      </c>
      <c r="R699" s="2" t="s">
        <v>28</v>
      </c>
      <c r="S699" s="9">
        <f t="shared" si="54"/>
        <v>0.02</v>
      </c>
    </row>
    <row r="700" spans="1:19" x14ac:dyDescent="0.3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e">
        <f>VLOOKUP('Customer Info'!B692,'Customer Info'!B692:B1191,1,0)</f>
        <v>#N/A</v>
      </c>
      <c r="H700" s="6" t="e">
        <f>VLOOKUP('Customer Info'!C692,'Customer Info'!C692:C1191,1)</f>
        <v>#N/A</v>
      </c>
      <c r="I700" s="6" t="e">
        <f>VLOOKUP('Customer Info'!E692,'Customer Info'!E692:E1191,1,0)</f>
        <v>#N/A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855</v>
      </c>
      <c r="R700" s="2" t="s">
        <v>28</v>
      </c>
      <c r="S700" s="9">
        <f t="shared" si="54"/>
        <v>0.05</v>
      </c>
    </row>
    <row r="701" spans="1:19" x14ac:dyDescent="0.3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e">
        <f>VLOOKUP('Customer Info'!B693,'Customer Info'!B693:B1192,1,0)</f>
        <v>#N/A</v>
      </c>
      <c r="H701" s="6" t="e">
        <f>VLOOKUP('Customer Info'!C693,'Customer Info'!C693:C1192,1)</f>
        <v>#N/A</v>
      </c>
      <c r="I701" s="6" t="e">
        <f>VLOOKUP('Customer Info'!E693,'Customer Info'!E693:E1192,1,0)</f>
        <v>#N/A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1008</v>
      </c>
      <c r="R701" s="2" t="s">
        <v>50</v>
      </c>
      <c r="S701" s="9">
        <f t="shared" si="54"/>
        <v>0.05</v>
      </c>
    </row>
    <row r="702" spans="1:19" x14ac:dyDescent="0.3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e">
        <f>VLOOKUP('Customer Info'!B694,'Customer Info'!B694:B1193,1,0)</f>
        <v>#N/A</v>
      </c>
      <c r="H702" s="6" t="e">
        <f>VLOOKUP('Customer Info'!C694,'Customer Info'!C694:C1193,1)</f>
        <v>#N/A</v>
      </c>
      <c r="I702" s="6" t="e">
        <f>VLOOKUP('Customer Info'!E694,'Customer Info'!E694:E1193,1,0)</f>
        <v>#N/A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52</v>
      </c>
      <c r="R702" s="2" t="s">
        <v>28</v>
      </c>
      <c r="S702" s="9">
        <f t="shared" si="54"/>
        <v>0.02</v>
      </c>
    </row>
    <row r="703" spans="1:19" x14ac:dyDescent="0.3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e">
        <f>VLOOKUP('Customer Info'!B695,'Customer Info'!B695:B1194,1,0)</f>
        <v>#N/A</v>
      </c>
      <c r="H703" s="6" t="e">
        <f>VLOOKUP('Customer Info'!C695,'Customer Info'!C695:C1194,1)</f>
        <v>#N/A</v>
      </c>
      <c r="I703" s="6" t="e">
        <f>VLOOKUP('Customer Info'!E695,'Customer Info'!E695:E1194,1,0)</f>
        <v>#N/A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759</v>
      </c>
      <c r="R703" s="2" t="s">
        <v>28</v>
      </c>
      <c r="S703" s="9">
        <f t="shared" si="54"/>
        <v>0.05</v>
      </c>
    </row>
    <row r="704" spans="1:19" x14ac:dyDescent="0.3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e">
        <f>VLOOKUP('Customer Info'!B696,'Customer Info'!B696:B1195,1,0)</f>
        <v>#N/A</v>
      </c>
      <c r="H704" s="6" t="e">
        <f>VLOOKUP('Customer Info'!C696,'Customer Info'!C696:C1195,1)</f>
        <v>#N/A</v>
      </c>
      <c r="I704" s="6" t="e">
        <f>VLOOKUP('Customer Info'!E696,'Customer Info'!E696:E1195,1,0)</f>
        <v>#N/A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15</v>
      </c>
      <c r="R704" s="2" t="s">
        <v>26</v>
      </c>
      <c r="S704" s="9">
        <f t="shared" si="54"/>
        <v>0.02</v>
      </c>
    </row>
    <row r="705" spans="1:19" x14ac:dyDescent="0.3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e">
        <f>VLOOKUP('Customer Info'!B697,'Customer Info'!B697:B1196,1,0)</f>
        <v>#N/A</v>
      </c>
      <c r="H705" s="6" t="e">
        <f>VLOOKUP('Customer Info'!C697,'Customer Info'!C697:C1196,1)</f>
        <v>#N/A</v>
      </c>
      <c r="I705" s="6" t="e">
        <f>VLOOKUP('Customer Info'!E697,'Customer Info'!E697:E1196,1,0)</f>
        <v>#N/A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1703</v>
      </c>
      <c r="R705" s="2" t="s">
        <v>28</v>
      </c>
      <c r="S705" s="9">
        <f t="shared" si="54"/>
        <v>7.0000000000000007E-2</v>
      </c>
    </row>
    <row r="706" spans="1:19" x14ac:dyDescent="0.3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e">
        <f>VLOOKUP('Customer Info'!B698,'Customer Info'!B698:B1197,1,0)</f>
        <v>#N/A</v>
      </c>
      <c r="H706" s="6" t="e">
        <f>VLOOKUP('Customer Info'!C698,'Customer Info'!C698:C1197,1)</f>
        <v>#N/A</v>
      </c>
      <c r="I706" s="6" t="e">
        <f>VLOOKUP('Customer Info'!E698,'Customer Info'!E698:E1197,1,0)</f>
        <v>#N/A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1370</v>
      </c>
      <c r="R706" s="2" t="s">
        <v>26</v>
      </c>
      <c r="S706" s="9">
        <f t="shared" si="54"/>
        <v>0.05</v>
      </c>
    </row>
    <row r="707" spans="1:19" x14ac:dyDescent="0.3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e">
        <f>VLOOKUP('Customer Info'!B699,'Customer Info'!B699:B1198,1,0)</f>
        <v>#N/A</v>
      </c>
      <c r="H707" s="6" t="e">
        <f>VLOOKUP('Customer Info'!C699,'Customer Info'!C699:C1198,1)</f>
        <v>#N/A</v>
      </c>
      <c r="I707" s="6" t="e">
        <f>VLOOKUP('Customer Info'!E699,'Customer Info'!E699:E1198,1,0)</f>
        <v>#N/A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6</v>
      </c>
      <c r="R707" s="2" t="s">
        <v>28</v>
      </c>
      <c r="S707" s="9">
        <f t="shared" si="54"/>
        <v>0.02</v>
      </c>
    </row>
    <row r="708" spans="1:19" x14ac:dyDescent="0.3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e">
        <f>VLOOKUP('Customer Info'!B700,'Customer Info'!B700:B1199,1,0)</f>
        <v>#N/A</v>
      </c>
      <c r="H708" s="6" t="e">
        <f>VLOOKUP('Customer Info'!C700,'Customer Info'!C700:C1199,1)</f>
        <v>#N/A</v>
      </c>
      <c r="I708" s="6" t="e">
        <f>VLOOKUP('Customer Info'!E700,'Customer Info'!E700:E1199,1,0)</f>
        <v>#N/A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273</v>
      </c>
      <c r="R708" s="2" t="s">
        <v>28</v>
      </c>
      <c r="S708" s="9">
        <f t="shared" si="54"/>
        <v>0.02</v>
      </c>
    </row>
    <row r="709" spans="1:19" x14ac:dyDescent="0.3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e">
        <f>VLOOKUP('Customer Info'!B701,'Customer Info'!B701:B1200,1,0)</f>
        <v>#N/A</v>
      </c>
      <c r="H709" s="6" t="e">
        <f>VLOOKUP('Customer Info'!C701,'Customer Info'!C701:C1200,1)</f>
        <v>#N/A</v>
      </c>
      <c r="I709" s="6" t="e">
        <f>VLOOKUP('Customer Info'!E701,'Customer Info'!E701:E1200,1,0)</f>
        <v>#N/A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4</v>
      </c>
      <c r="R709" s="2" t="s">
        <v>28</v>
      </c>
      <c r="S709" s="9">
        <f t="shared" si="54"/>
        <v>0.02</v>
      </c>
    </row>
    <row r="710" spans="1:19" x14ac:dyDescent="0.3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e">
        <f>VLOOKUP('Customer Info'!B702,'Customer Info'!B702:B1201,1,0)</f>
        <v>#N/A</v>
      </c>
      <c r="H710" s="6" t="e">
        <f>VLOOKUP('Customer Info'!C702,'Customer Info'!C702:C1201,1)</f>
        <v>#N/A</v>
      </c>
      <c r="I710" s="6" t="e">
        <f>VLOOKUP('Customer Info'!E702,'Customer Info'!E702:E1201,1,0)</f>
        <v>#N/A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170</v>
      </c>
      <c r="R710" s="2" t="s">
        <v>50</v>
      </c>
      <c r="S710" s="9">
        <f t="shared" si="54"/>
        <v>0.02</v>
      </c>
    </row>
    <row r="711" spans="1:19" x14ac:dyDescent="0.3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e">
        <f>VLOOKUP('Customer Info'!B703,'Customer Info'!B703:B1202,1,0)</f>
        <v>#N/A</v>
      </c>
      <c r="H711" s="6" t="e">
        <f>VLOOKUP('Customer Info'!C703,'Customer Info'!C703:C1202,1)</f>
        <v>#N/A</v>
      </c>
      <c r="I711" s="6" t="e">
        <f>VLOOKUP('Customer Info'!E703,'Customer Info'!E703:E1202,1,0)</f>
        <v>#N/A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1755</v>
      </c>
      <c r="R711" s="2" t="s">
        <v>28</v>
      </c>
      <c r="S711" s="9">
        <f t="shared" si="54"/>
        <v>0.05</v>
      </c>
    </row>
    <row r="712" spans="1:19" x14ac:dyDescent="0.3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e">
        <f>VLOOKUP('Customer Info'!B704,'Customer Info'!B704:B1203,1,0)</f>
        <v>#N/A</v>
      </c>
      <c r="H712" s="6" t="e">
        <f>VLOOKUP('Customer Info'!C704,'Customer Info'!C704:C1203,1)</f>
        <v>#N/A</v>
      </c>
      <c r="I712" s="6" t="e">
        <f>VLOOKUP('Customer Info'!E704,'Customer Info'!E704:E1203,1,0)</f>
        <v>#N/A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168</v>
      </c>
      <c r="R712" s="2" t="s">
        <v>26</v>
      </c>
      <c r="S712" s="9">
        <f t="shared" si="54"/>
        <v>0.02</v>
      </c>
    </row>
    <row r="713" spans="1:19" x14ac:dyDescent="0.3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e">
        <f>VLOOKUP('Customer Info'!B705,'Customer Info'!B705:B1204,1,0)</f>
        <v>#N/A</v>
      </c>
      <c r="H713" s="6" t="e">
        <f>VLOOKUP('Customer Info'!C705,'Customer Info'!C705:C1204,1)</f>
        <v>#N/A</v>
      </c>
      <c r="I713" s="6" t="e">
        <f>VLOOKUP('Customer Info'!E705,'Customer Info'!E705:E1204,1,0)</f>
        <v>#N/A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118</v>
      </c>
      <c r="R713" s="2" t="s">
        <v>28</v>
      </c>
      <c r="S713" s="9">
        <f t="shared" si="54"/>
        <v>0.02</v>
      </c>
    </row>
    <row r="714" spans="1:19" x14ac:dyDescent="0.3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e">
        <f>VLOOKUP('Customer Info'!B706,'Customer Info'!B706:B1205,1,0)</f>
        <v>#N/A</v>
      </c>
      <c r="H714" s="6" t="e">
        <f>VLOOKUP('Customer Info'!C706,'Customer Info'!C706:C1205,1)</f>
        <v>#N/A</v>
      </c>
      <c r="I714" s="6" t="e">
        <f>VLOOKUP('Customer Info'!E706,'Customer Info'!E706:E1205,1,0)</f>
        <v>#N/A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7</v>
      </c>
      <c r="R714" s="2" t="s">
        <v>28</v>
      </c>
      <c r="S714" s="9">
        <f t="shared" si="54"/>
        <v>0.02</v>
      </c>
    </row>
    <row r="715" spans="1:19" x14ac:dyDescent="0.3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e">
        <f>VLOOKUP('Customer Info'!B707,'Customer Info'!B707:B1206,1,0)</f>
        <v>#N/A</v>
      </c>
      <c r="H715" s="6" t="e">
        <f>VLOOKUP('Customer Info'!C707,'Customer Info'!C707:C1206,1)</f>
        <v>#N/A</v>
      </c>
      <c r="I715" s="6" t="e">
        <f>VLOOKUP('Customer Info'!E707,'Customer Info'!E707:E1206,1,0)</f>
        <v>#N/A</v>
      </c>
      <c r="J715" s="2">
        <v>1635</v>
      </c>
      <c r="K715" s="2">
        <v>1573</v>
      </c>
      <c r="L715" s="2">
        <v>2</v>
      </c>
      <c r="M715" s="7">
        <f t="shared" ref="M715:M778" si="55">(K715*L715)</f>
        <v>3146</v>
      </c>
      <c r="N715" s="7">
        <f t="shared" ref="N715:N778" si="56">(J715*L715)</f>
        <v>3270</v>
      </c>
      <c r="O715" s="2">
        <v>39</v>
      </c>
      <c r="P715" s="8">
        <f t="shared" ref="P715:P778" si="57">(N715+O715)</f>
        <v>3309</v>
      </c>
      <c r="Q715" s="8">
        <f t="shared" ref="Q715:Q778" si="58">(N715-M715)</f>
        <v>124</v>
      </c>
      <c r="R715" s="2" t="s">
        <v>50</v>
      </c>
      <c r="S715" s="9">
        <f t="shared" ref="S715:S778" si="59">_xlfn.IFS(P715&gt;250000,0.15,P715&gt;100000,0.12,P715&gt;50000,0.09,P715&gt;25000,0.07,P715&gt;5000,0.05,
 TRUE,0.02)</f>
        <v>0.02</v>
      </c>
    </row>
    <row r="716" spans="1:19" x14ac:dyDescent="0.3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e">
        <f>VLOOKUP('Customer Info'!B708,'Customer Info'!B708:B1207,1,0)</f>
        <v>#N/A</v>
      </c>
      <c r="H716" s="6" t="e">
        <f>VLOOKUP('Customer Info'!C708,'Customer Info'!C708:C1207,1)</f>
        <v>#N/A</v>
      </c>
      <c r="I716" s="6" t="e">
        <f>VLOOKUP('Customer Info'!E708,'Customer Info'!E708:E1207,1,0)</f>
        <v>#N/A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380</v>
      </c>
      <c r="R716" s="2" t="s">
        <v>28</v>
      </c>
      <c r="S716" s="9">
        <f t="shared" si="59"/>
        <v>0.05</v>
      </c>
    </row>
    <row r="717" spans="1:19" x14ac:dyDescent="0.3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e">
        <f>VLOOKUP('Customer Info'!B709,'Customer Info'!B709:B1208,1,0)</f>
        <v>#N/A</v>
      </c>
      <c r="H717" s="6" t="e">
        <f>VLOOKUP('Customer Info'!C709,'Customer Info'!C709:C1208,1)</f>
        <v>#N/A</v>
      </c>
      <c r="I717" s="6" t="e">
        <f>VLOOKUP('Customer Info'!E709,'Customer Info'!E709:E1208,1,0)</f>
        <v>#N/A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385</v>
      </c>
      <c r="R717" s="2" t="s">
        <v>28</v>
      </c>
      <c r="S717" s="9">
        <f t="shared" si="59"/>
        <v>0.05</v>
      </c>
    </row>
    <row r="718" spans="1:19" x14ac:dyDescent="0.3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e">
        <f>VLOOKUP('Customer Info'!B710,'Customer Info'!B710:B1209,1,0)</f>
        <v>#N/A</v>
      </c>
      <c r="H718" s="6" t="e">
        <f>VLOOKUP('Customer Info'!C710,'Customer Info'!C710:C1209,1)</f>
        <v>#N/A</v>
      </c>
      <c r="I718" s="6" t="e">
        <f>VLOOKUP('Customer Info'!E710,'Customer Info'!E710:E1209,1,0)</f>
        <v>#N/A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23</v>
      </c>
      <c r="R718" s="2" t="s">
        <v>28</v>
      </c>
      <c r="S718" s="9">
        <f t="shared" si="59"/>
        <v>0.02</v>
      </c>
    </row>
    <row r="719" spans="1:19" x14ac:dyDescent="0.3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e">
        <f>VLOOKUP('Customer Info'!B711,'Customer Info'!B711:B1210,1,0)</f>
        <v>#N/A</v>
      </c>
      <c r="H719" s="6" t="e">
        <f>VLOOKUP('Customer Info'!C711,'Customer Info'!C711:C1210,1)</f>
        <v>#N/A</v>
      </c>
      <c r="I719" s="6" t="e">
        <f>VLOOKUP('Customer Info'!E711,'Customer Info'!E711:E1210,1,0)</f>
        <v>#N/A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70</v>
      </c>
      <c r="R719" s="2" t="s">
        <v>28</v>
      </c>
      <c r="S719" s="9">
        <f t="shared" si="59"/>
        <v>0.02</v>
      </c>
    </row>
    <row r="720" spans="1:19" x14ac:dyDescent="0.3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e">
        <f>VLOOKUP('Customer Info'!B712,'Customer Info'!B712:B1211,1,0)</f>
        <v>#N/A</v>
      </c>
      <c r="H720" s="6" t="e">
        <f>VLOOKUP('Customer Info'!C712,'Customer Info'!C712:C1211,1)</f>
        <v>#N/A</v>
      </c>
      <c r="I720" s="6" t="e">
        <f>VLOOKUP('Customer Info'!E712,'Customer Info'!E712:E1211,1,0)</f>
        <v>#N/A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2478</v>
      </c>
      <c r="R720" s="2" t="s">
        <v>28</v>
      </c>
      <c r="S720" s="9">
        <f t="shared" si="59"/>
        <v>7.0000000000000007E-2</v>
      </c>
    </row>
    <row r="721" spans="1:19" x14ac:dyDescent="0.3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e">
        <f>VLOOKUP('Customer Info'!B713,'Customer Info'!B713:B1212,1,0)</f>
        <v>#N/A</v>
      </c>
      <c r="H721" s="6" t="e">
        <f>VLOOKUP('Customer Info'!C713,'Customer Info'!C713:C1212,1)</f>
        <v>#N/A</v>
      </c>
      <c r="I721" s="6" t="e">
        <f>VLOOKUP('Customer Info'!E713,'Customer Info'!E713:E1212,1,0)</f>
        <v>#N/A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206</v>
      </c>
      <c r="R721" s="2" t="s">
        <v>26</v>
      </c>
      <c r="S721" s="9">
        <f t="shared" si="59"/>
        <v>0.02</v>
      </c>
    </row>
    <row r="722" spans="1:19" x14ac:dyDescent="0.3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e">
        <f>VLOOKUP('Customer Info'!B714,'Customer Info'!B714:B1213,1,0)</f>
        <v>#N/A</v>
      </c>
      <c r="H722" s="6" t="e">
        <f>VLOOKUP('Customer Info'!C714,'Customer Info'!C714:C1213,1)</f>
        <v>#N/A</v>
      </c>
      <c r="I722" s="6" t="e">
        <f>VLOOKUP('Customer Info'!E714,'Customer Info'!E714:E1213,1,0)</f>
        <v>#N/A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450</v>
      </c>
      <c r="R722" s="2" t="s">
        <v>50</v>
      </c>
      <c r="S722" s="9">
        <f t="shared" si="59"/>
        <v>0.05</v>
      </c>
    </row>
    <row r="723" spans="1:19" x14ac:dyDescent="0.3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e">
        <f>VLOOKUP('Customer Info'!B715,'Customer Info'!B715:B1214,1,0)</f>
        <v>#N/A</v>
      </c>
      <c r="H723" s="6" t="e">
        <f>VLOOKUP('Customer Info'!C715,'Customer Info'!C715:C1214,1)</f>
        <v>#N/A</v>
      </c>
      <c r="I723" s="6" t="e">
        <f>VLOOKUP('Customer Info'!E715,'Customer Info'!E715:E1214,1,0)</f>
        <v>#N/A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194</v>
      </c>
      <c r="R723" s="2" t="s">
        <v>50</v>
      </c>
      <c r="S723" s="9">
        <f t="shared" si="59"/>
        <v>0.02</v>
      </c>
    </row>
    <row r="724" spans="1:19" x14ac:dyDescent="0.3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e">
        <f>VLOOKUP('Customer Info'!B716,'Customer Info'!B716:B1215,1,0)</f>
        <v>#N/A</v>
      </c>
      <c r="H724" s="6" t="e">
        <f>VLOOKUP('Customer Info'!C716,'Customer Info'!C716:C1215,1)</f>
        <v>#N/A</v>
      </c>
      <c r="I724" s="6" t="e">
        <f>VLOOKUP('Customer Info'!E716,'Customer Info'!E716:E1215,1,0)</f>
        <v>#N/A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49</v>
      </c>
      <c r="R724" s="2" t="s">
        <v>50</v>
      </c>
      <c r="S724" s="9">
        <f t="shared" si="59"/>
        <v>0.02</v>
      </c>
    </row>
    <row r="725" spans="1:19" x14ac:dyDescent="0.3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e">
        <f>VLOOKUP('Customer Info'!B717,'Customer Info'!B717:B1216,1,0)</f>
        <v>#N/A</v>
      </c>
      <c r="H725" s="6" t="e">
        <f>VLOOKUP('Customer Info'!C717,'Customer Info'!C717:C1216,1)</f>
        <v>#N/A</v>
      </c>
      <c r="I725" s="6" t="e">
        <f>VLOOKUP('Customer Info'!E717,'Customer Info'!E717:E1216,1,0)</f>
        <v>#N/A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18</v>
      </c>
      <c r="R725" s="2" t="s">
        <v>50</v>
      </c>
      <c r="S725" s="9">
        <f t="shared" si="59"/>
        <v>0.02</v>
      </c>
    </row>
    <row r="726" spans="1:19" x14ac:dyDescent="0.3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e">
        <f>VLOOKUP('Customer Info'!B718,'Customer Info'!B718:B1217,1,0)</f>
        <v>#N/A</v>
      </c>
      <c r="H726" s="6" t="e">
        <f>VLOOKUP('Customer Info'!C718,'Customer Info'!C718:C1217,1)</f>
        <v>#N/A</v>
      </c>
      <c r="I726" s="6" t="e">
        <f>VLOOKUP('Customer Info'!E718,'Customer Info'!E718:E1217,1,0)</f>
        <v>#N/A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14</v>
      </c>
      <c r="R726" s="2" t="s">
        <v>50</v>
      </c>
      <c r="S726" s="9">
        <f t="shared" si="59"/>
        <v>0.02</v>
      </c>
    </row>
    <row r="727" spans="1:19" x14ac:dyDescent="0.3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e">
        <f>VLOOKUP('Customer Info'!B719,'Customer Info'!B719:B1218,1,0)</f>
        <v>#N/A</v>
      </c>
      <c r="H727" s="6" t="e">
        <f>VLOOKUP('Customer Info'!C719,'Customer Info'!C719:C1218,1)</f>
        <v>#N/A</v>
      </c>
      <c r="I727" s="6" t="e">
        <f>VLOOKUP('Customer Info'!E719,'Customer Info'!E719:E1218,1,0)</f>
        <v>#N/A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100</v>
      </c>
      <c r="R727" s="2" t="s">
        <v>50</v>
      </c>
      <c r="S727" s="9">
        <f t="shared" si="59"/>
        <v>0.02</v>
      </c>
    </row>
    <row r="728" spans="1:19" x14ac:dyDescent="0.3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e">
        <f>VLOOKUP('Customer Info'!B720,'Customer Info'!B720:B1219,1,0)</f>
        <v>#N/A</v>
      </c>
      <c r="H728" s="6" t="e">
        <f>VLOOKUP('Customer Info'!C720,'Customer Info'!C720:C1219,1)</f>
        <v>#N/A</v>
      </c>
      <c r="I728" s="6" t="e">
        <f>VLOOKUP('Customer Info'!E720,'Customer Info'!E720:E1219,1,0)</f>
        <v>#N/A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2025</v>
      </c>
      <c r="R728" s="2" t="s">
        <v>28</v>
      </c>
      <c r="S728" s="9">
        <f t="shared" si="59"/>
        <v>0.05</v>
      </c>
    </row>
    <row r="729" spans="1:19" x14ac:dyDescent="0.3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e">
        <f>VLOOKUP('Customer Info'!B721,'Customer Info'!B721:B1220,1,0)</f>
        <v>#N/A</v>
      </c>
      <c r="H729" s="6" t="e">
        <f>VLOOKUP('Customer Info'!C721,'Customer Info'!C721:C1220,1)</f>
        <v>#N/A</v>
      </c>
      <c r="I729" s="6" t="e">
        <f>VLOOKUP('Customer Info'!E721,'Customer Info'!E721:E1220,1,0)</f>
        <v>#N/A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12</v>
      </c>
      <c r="R729" s="2" t="s">
        <v>28</v>
      </c>
      <c r="S729" s="9">
        <f t="shared" si="59"/>
        <v>0.02</v>
      </c>
    </row>
    <row r="730" spans="1:19" x14ac:dyDescent="0.3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e">
        <f>VLOOKUP('Customer Info'!B722,'Customer Info'!B722:B1221,1,0)</f>
        <v>#N/A</v>
      </c>
      <c r="H730" s="6" t="e">
        <f>VLOOKUP('Customer Info'!C722,'Customer Info'!C722:C1221,1)</f>
        <v>#N/A</v>
      </c>
      <c r="I730" s="6" t="e">
        <f>VLOOKUP('Customer Info'!E722,'Customer Info'!E722:E1221,1,0)</f>
        <v>#N/A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172</v>
      </c>
      <c r="R730" s="2" t="s">
        <v>28</v>
      </c>
      <c r="S730" s="9">
        <f t="shared" si="59"/>
        <v>0.02</v>
      </c>
    </row>
    <row r="731" spans="1:19" x14ac:dyDescent="0.3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e">
        <f>VLOOKUP('Customer Info'!B723,'Customer Info'!B723:B1222,1,0)</f>
        <v>#N/A</v>
      </c>
      <c r="H731" s="6" t="e">
        <f>VLOOKUP('Customer Info'!C723,'Customer Info'!C723:C1222,1)</f>
        <v>#N/A</v>
      </c>
      <c r="I731" s="6" t="e">
        <f>VLOOKUP('Customer Info'!E723,'Customer Info'!E723:E1222,1,0)</f>
        <v>#N/A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150</v>
      </c>
      <c r="R731" s="2" t="s">
        <v>50</v>
      </c>
      <c r="S731" s="9">
        <f t="shared" si="59"/>
        <v>0.02</v>
      </c>
    </row>
    <row r="732" spans="1:19" x14ac:dyDescent="0.3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e">
        <f>VLOOKUP('Customer Info'!B724,'Customer Info'!B724:B1223,1,0)</f>
        <v>#N/A</v>
      </c>
      <c r="H732" s="6" t="e">
        <f>VLOOKUP('Customer Info'!C724,'Customer Info'!C724:C1223,1)</f>
        <v>#N/A</v>
      </c>
      <c r="I732" s="6" t="e">
        <f>VLOOKUP('Customer Info'!E724,'Customer Info'!E724:E1223,1,0)</f>
        <v>#N/A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584</v>
      </c>
      <c r="R732" s="2" t="s">
        <v>28</v>
      </c>
      <c r="S732" s="9">
        <f t="shared" si="59"/>
        <v>0.05</v>
      </c>
    </row>
    <row r="733" spans="1:19" x14ac:dyDescent="0.3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e">
        <f>VLOOKUP('Customer Info'!B725,'Customer Info'!B725:B1224,1,0)</f>
        <v>#N/A</v>
      </c>
      <c r="H733" s="6" t="e">
        <f>VLOOKUP('Customer Info'!C725,'Customer Info'!C725:C1224,1)</f>
        <v>#N/A</v>
      </c>
      <c r="I733" s="6" t="e">
        <f>VLOOKUP('Customer Info'!E725,'Customer Info'!E725:E1224,1,0)</f>
        <v>#N/A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27</v>
      </c>
      <c r="R733" s="2" t="s">
        <v>50</v>
      </c>
      <c r="S733" s="9">
        <f t="shared" si="59"/>
        <v>0.02</v>
      </c>
    </row>
    <row r="734" spans="1:19" x14ac:dyDescent="0.3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e">
        <f>VLOOKUP('Customer Info'!B726,'Customer Info'!B726:B1225,1,0)</f>
        <v>#N/A</v>
      </c>
      <c r="H734" s="6" t="e">
        <f>VLOOKUP('Customer Info'!C726,'Customer Info'!C726:C1225,1)</f>
        <v>#N/A</v>
      </c>
      <c r="I734" s="6" t="e">
        <f>VLOOKUP('Customer Info'!E726,'Customer Info'!E726:E1225,1,0)</f>
        <v>#N/A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10375</v>
      </c>
      <c r="R734" s="2" t="s">
        <v>56</v>
      </c>
      <c r="S734" s="9">
        <f t="shared" si="59"/>
        <v>0.12</v>
      </c>
    </row>
    <row r="735" spans="1:19" x14ac:dyDescent="0.3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e">
        <f>VLOOKUP('Customer Info'!B727,'Customer Info'!B727:B1226,1,0)</f>
        <v>#N/A</v>
      </c>
      <c r="H735" s="6" t="e">
        <f>VLOOKUP('Customer Info'!C727,'Customer Info'!C727:C1226,1)</f>
        <v>#N/A</v>
      </c>
      <c r="I735" s="6" t="e">
        <f>VLOOKUP('Customer Info'!E727,'Customer Info'!E727:E1226,1,0)</f>
        <v>#N/A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6225</v>
      </c>
      <c r="R735" s="2" t="s">
        <v>28</v>
      </c>
      <c r="S735" s="9">
        <f t="shared" si="59"/>
        <v>0.09</v>
      </c>
    </row>
    <row r="736" spans="1:19" x14ac:dyDescent="0.3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e">
        <f>VLOOKUP('Customer Info'!B728,'Customer Info'!B728:B1227,1,0)</f>
        <v>#N/A</v>
      </c>
      <c r="H736" s="6" t="e">
        <f>VLOOKUP('Customer Info'!C728,'Customer Info'!C728:C1227,1)</f>
        <v>#N/A</v>
      </c>
      <c r="I736" s="6" t="e">
        <f>VLOOKUP('Customer Info'!E728,'Customer Info'!E728:E1227,1,0)</f>
        <v>#N/A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33</v>
      </c>
      <c r="R736" s="2" t="s">
        <v>28</v>
      </c>
      <c r="S736" s="9">
        <f t="shared" si="59"/>
        <v>0.02</v>
      </c>
    </row>
    <row r="737" spans="1:19" x14ac:dyDescent="0.3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e">
        <f>VLOOKUP('Customer Info'!B729,'Customer Info'!B729:B1228,1,0)</f>
        <v>#N/A</v>
      </c>
      <c r="H737" s="6" t="e">
        <f>VLOOKUP('Customer Info'!C729,'Customer Info'!C729:C1228,1)</f>
        <v>#N/A</v>
      </c>
      <c r="I737" s="6" t="e">
        <f>VLOOKUP('Customer Info'!E729,'Customer Info'!E729:E1228,1,0)</f>
        <v>#N/A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105</v>
      </c>
      <c r="R737" s="2" t="s">
        <v>26</v>
      </c>
      <c r="S737" s="9">
        <f t="shared" si="59"/>
        <v>0.02</v>
      </c>
    </row>
    <row r="738" spans="1:19" x14ac:dyDescent="0.3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e">
        <f>VLOOKUP('Customer Info'!B730,'Customer Info'!B730:B1229,1,0)</f>
        <v>#N/A</v>
      </c>
      <c r="H738" s="6" t="e">
        <f>VLOOKUP('Customer Info'!C730,'Customer Info'!C730:C1229,1)</f>
        <v>#N/A</v>
      </c>
      <c r="I738" s="6" t="e">
        <f>VLOOKUP('Customer Info'!E730,'Customer Info'!E730:E1229,1,0)</f>
        <v>#N/A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206</v>
      </c>
      <c r="R738" s="2" t="s">
        <v>28</v>
      </c>
      <c r="S738" s="9">
        <f t="shared" si="59"/>
        <v>0.02</v>
      </c>
    </row>
    <row r="739" spans="1:19" x14ac:dyDescent="0.3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e">
        <f>VLOOKUP('Customer Info'!B731,'Customer Info'!B731:B1230,1,0)</f>
        <v>#N/A</v>
      </c>
      <c r="H739" s="6" t="e">
        <f>VLOOKUP('Customer Info'!C731,'Customer Info'!C731:C1230,1)</f>
        <v>#N/A</v>
      </c>
      <c r="I739" s="6" t="e">
        <f>VLOOKUP('Customer Info'!E731,'Customer Info'!E731:E1230,1,0)</f>
        <v>#N/A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42</v>
      </c>
      <c r="R739" s="2" t="s">
        <v>28</v>
      </c>
      <c r="S739" s="9">
        <f t="shared" si="59"/>
        <v>0.02</v>
      </c>
    </row>
    <row r="740" spans="1:19" x14ac:dyDescent="0.3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e">
        <f>VLOOKUP('Customer Info'!B732,'Customer Info'!B732:B1231,1,0)</f>
        <v>#N/A</v>
      </c>
      <c r="H740" s="6" t="e">
        <f>VLOOKUP('Customer Info'!C732,'Customer Info'!C732:C1231,1)</f>
        <v>#N/A</v>
      </c>
      <c r="I740" s="6" t="e">
        <f>VLOOKUP('Customer Info'!E732,'Customer Info'!E732:E1231,1,0)</f>
        <v>#N/A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134</v>
      </c>
      <c r="R740" s="2" t="s">
        <v>28</v>
      </c>
      <c r="S740" s="9">
        <f t="shared" si="59"/>
        <v>0.02</v>
      </c>
    </row>
    <row r="741" spans="1:19" x14ac:dyDescent="0.3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e">
        <f>VLOOKUP('Customer Info'!B733,'Customer Info'!B733:B1232,1,0)</f>
        <v>#N/A</v>
      </c>
      <c r="H741" s="6" t="e">
        <f>VLOOKUP('Customer Info'!C733,'Customer Info'!C733:C1232,1)</f>
        <v>#N/A</v>
      </c>
      <c r="I741" s="6" t="e">
        <f>VLOOKUP('Customer Info'!E733,'Customer Info'!E733:E1232,1,0)</f>
        <v>#N/A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2007</v>
      </c>
      <c r="R741" s="2" t="s">
        <v>28</v>
      </c>
      <c r="S741" s="9">
        <f t="shared" si="59"/>
        <v>0.05</v>
      </c>
    </row>
    <row r="742" spans="1:19" x14ac:dyDescent="0.3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e">
        <f>VLOOKUP('Customer Info'!B734,'Customer Info'!B734:B1233,1,0)</f>
        <v>#N/A</v>
      </c>
      <c r="H742" s="6" t="e">
        <f>VLOOKUP('Customer Info'!C734,'Customer Info'!C734:C1233,1)</f>
        <v>#N/A</v>
      </c>
      <c r="I742" s="6" t="e">
        <f>VLOOKUP('Customer Info'!E734,'Customer Info'!E734:E1233,1,0)</f>
        <v>#N/A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720</v>
      </c>
      <c r="R742" s="2" t="s">
        <v>28</v>
      </c>
      <c r="S742" s="9">
        <f t="shared" si="59"/>
        <v>0.05</v>
      </c>
    </row>
    <row r="743" spans="1:19" x14ac:dyDescent="0.3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e">
        <f>VLOOKUP('Customer Info'!B735,'Customer Info'!B735:B1234,1,0)</f>
        <v>#N/A</v>
      </c>
      <c r="H743" s="6" t="e">
        <f>VLOOKUP('Customer Info'!C735,'Customer Info'!C735:C1234,1)</f>
        <v>#N/A</v>
      </c>
      <c r="I743" s="6" t="e">
        <f>VLOOKUP('Customer Info'!E735,'Customer Info'!E735:E1234,1,0)</f>
        <v>#N/A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48</v>
      </c>
      <c r="R743" s="2" t="s">
        <v>26</v>
      </c>
      <c r="S743" s="9">
        <f t="shared" si="59"/>
        <v>0.02</v>
      </c>
    </row>
    <row r="744" spans="1:19" x14ac:dyDescent="0.3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e">
        <f>VLOOKUP('Customer Info'!B736,'Customer Info'!B736:B1235,1,0)</f>
        <v>#N/A</v>
      </c>
      <c r="H744" s="6" t="e">
        <f>VLOOKUP('Customer Info'!C736,'Customer Info'!C736:C1235,1)</f>
        <v>#N/A</v>
      </c>
      <c r="I744" s="6" t="e">
        <f>VLOOKUP('Customer Info'!E736,'Customer Info'!E736:E1235,1,0)</f>
        <v>#N/A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708</v>
      </c>
      <c r="R744" s="2" t="s">
        <v>28</v>
      </c>
      <c r="S744" s="9">
        <f t="shared" si="59"/>
        <v>0.05</v>
      </c>
    </row>
    <row r="745" spans="1:19" x14ac:dyDescent="0.3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e">
        <f>VLOOKUP('Customer Info'!B737,'Customer Info'!B737:B1236,1,0)</f>
        <v>#N/A</v>
      </c>
      <c r="H745" s="6" t="e">
        <f>VLOOKUP('Customer Info'!C737,'Customer Info'!C737:C1236,1)</f>
        <v>#N/A</v>
      </c>
      <c r="I745" s="6" t="e">
        <f>VLOOKUP('Customer Info'!E737,'Customer Info'!E737:E1236,1,0)</f>
        <v>#N/A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90</v>
      </c>
      <c r="R745" s="2" t="s">
        <v>26</v>
      </c>
      <c r="S745" s="9">
        <f t="shared" si="59"/>
        <v>0.02</v>
      </c>
    </row>
    <row r="746" spans="1:19" x14ac:dyDescent="0.3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e">
        <f>VLOOKUP('Customer Info'!B738,'Customer Info'!B738:B1237,1,0)</f>
        <v>#N/A</v>
      </c>
      <c r="H746" s="6" t="e">
        <f>VLOOKUP('Customer Info'!C738,'Customer Info'!C738:C1237,1)</f>
        <v>#N/A</v>
      </c>
      <c r="I746" s="6" t="e">
        <f>VLOOKUP('Customer Info'!E738,'Customer Info'!E738:E1237,1,0)</f>
        <v>#N/A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116</v>
      </c>
      <c r="R746" s="2" t="s">
        <v>26</v>
      </c>
      <c r="S746" s="9">
        <f t="shared" si="59"/>
        <v>0.02</v>
      </c>
    </row>
    <row r="747" spans="1:19" x14ac:dyDescent="0.3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e">
        <f>VLOOKUP('Customer Info'!B739,'Customer Info'!B739:B1238,1,0)</f>
        <v>#N/A</v>
      </c>
      <c r="H747" s="6" t="e">
        <f>VLOOKUP('Customer Info'!C739,'Customer Info'!C739:C1238,1)</f>
        <v>#N/A</v>
      </c>
      <c r="I747" s="6" t="e">
        <f>VLOOKUP('Customer Info'!E739,'Customer Info'!E739:E1238,1,0)</f>
        <v>#N/A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273</v>
      </c>
      <c r="R747" s="2" t="s">
        <v>50</v>
      </c>
      <c r="S747" s="9">
        <f t="shared" si="59"/>
        <v>0.05</v>
      </c>
    </row>
    <row r="748" spans="1:19" x14ac:dyDescent="0.3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e">
        <f>VLOOKUP('Customer Info'!B740,'Customer Info'!B740:B1239,1,0)</f>
        <v>#N/A</v>
      </c>
      <c r="H748" s="6" t="e">
        <f>VLOOKUP('Customer Info'!C740,'Customer Info'!C740:C1239,1)</f>
        <v>#N/A</v>
      </c>
      <c r="I748" s="6" t="e">
        <f>VLOOKUP('Customer Info'!E740,'Customer Info'!E740:E1239,1,0)</f>
        <v>#N/A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568</v>
      </c>
      <c r="R748" s="2" t="s">
        <v>28</v>
      </c>
      <c r="S748" s="9">
        <f t="shared" si="59"/>
        <v>0.05</v>
      </c>
    </row>
    <row r="749" spans="1:19" x14ac:dyDescent="0.3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e">
        <f>VLOOKUP('Customer Info'!B741,'Customer Info'!B741:B1240,1,0)</f>
        <v>#N/A</v>
      </c>
      <c r="H749" s="6" t="e">
        <f>VLOOKUP('Customer Info'!C741,'Customer Info'!C741:C1240,1)</f>
        <v>#N/A</v>
      </c>
      <c r="I749" s="6" t="e">
        <f>VLOOKUP('Customer Info'!E741,'Customer Info'!E741:E1240,1,0)</f>
        <v>#N/A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161</v>
      </c>
      <c r="R749" s="2" t="s">
        <v>26</v>
      </c>
      <c r="S749" s="9">
        <f t="shared" si="59"/>
        <v>0.02</v>
      </c>
    </row>
    <row r="750" spans="1:19" x14ac:dyDescent="0.3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e">
        <f>VLOOKUP('Customer Info'!B742,'Customer Info'!B742:B1241,1,0)</f>
        <v>#N/A</v>
      </c>
      <c r="H750" s="6" t="e">
        <f>VLOOKUP('Customer Info'!C742,'Customer Info'!C742:C1241,1)</f>
        <v>#N/A</v>
      </c>
      <c r="I750" s="6" t="e">
        <f>VLOOKUP('Customer Info'!E742,'Customer Info'!E742:E1241,1,0)</f>
        <v>#N/A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2268</v>
      </c>
      <c r="R750" s="2" t="s">
        <v>28</v>
      </c>
      <c r="S750" s="9">
        <f t="shared" si="59"/>
        <v>7.0000000000000007E-2</v>
      </c>
    </row>
    <row r="751" spans="1:19" x14ac:dyDescent="0.3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e">
        <f>VLOOKUP('Customer Info'!B743,'Customer Info'!B743:B1242,1,0)</f>
        <v>#N/A</v>
      </c>
      <c r="H751" s="6" t="e">
        <f>VLOOKUP('Customer Info'!C743,'Customer Info'!C743:C1242,1)</f>
        <v>#N/A</v>
      </c>
      <c r="I751" s="6" t="e">
        <f>VLOOKUP('Customer Info'!E743,'Customer Info'!E743:E1242,1,0)</f>
        <v>#N/A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168</v>
      </c>
      <c r="R751" s="2" t="s">
        <v>28</v>
      </c>
      <c r="S751" s="9">
        <f t="shared" si="59"/>
        <v>0.02</v>
      </c>
    </row>
    <row r="752" spans="1:19" x14ac:dyDescent="0.3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e">
        <f>VLOOKUP('Customer Info'!B744,'Customer Info'!B744:B1243,1,0)</f>
        <v>#N/A</v>
      </c>
      <c r="H752" s="6" t="e">
        <f>VLOOKUP('Customer Info'!C744,'Customer Info'!C744:C1243,1)</f>
        <v>#N/A</v>
      </c>
      <c r="I752" s="6" t="e">
        <f>VLOOKUP('Customer Info'!E744,'Customer Info'!E744:E1243,1,0)</f>
        <v>#N/A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186</v>
      </c>
      <c r="R752" s="2" t="s">
        <v>28</v>
      </c>
      <c r="S752" s="9">
        <f t="shared" si="59"/>
        <v>0.02</v>
      </c>
    </row>
    <row r="753" spans="1:19" x14ac:dyDescent="0.3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e">
        <f>VLOOKUP('Customer Info'!B745,'Customer Info'!B745:B1244,1,0)</f>
        <v>#N/A</v>
      </c>
      <c r="H753" s="6" t="e">
        <f>VLOOKUP('Customer Info'!C745,'Customer Info'!C745:C1244,1)</f>
        <v>#N/A</v>
      </c>
      <c r="I753" s="6" t="e">
        <f>VLOOKUP('Customer Info'!E745,'Customer Info'!E745:E1244,1,0)</f>
        <v>#N/A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4320</v>
      </c>
      <c r="R753" s="2" t="s">
        <v>28</v>
      </c>
      <c r="S753" s="9">
        <f t="shared" si="59"/>
        <v>0.09</v>
      </c>
    </row>
    <row r="754" spans="1:19" x14ac:dyDescent="0.3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e">
        <f>VLOOKUP('Customer Info'!B746,'Customer Info'!B746:B1245,1,0)</f>
        <v>#N/A</v>
      </c>
      <c r="H754" s="6" t="e">
        <f>VLOOKUP('Customer Info'!C746,'Customer Info'!C746:C1245,1)</f>
        <v>#N/A</v>
      </c>
      <c r="I754" s="6" t="e">
        <f>VLOOKUP('Customer Info'!E746,'Customer Info'!E746:E1245,1,0)</f>
        <v>#N/A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18</v>
      </c>
      <c r="R754" s="2" t="s">
        <v>28</v>
      </c>
      <c r="S754" s="9">
        <f t="shared" si="59"/>
        <v>0.02</v>
      </c>
    </row>
    <row r="755" spans="1:19" x14ac:dyDescent="0.3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e">
        <f>VLOOKUP('Customer Info'!B747,'Customer Info'!B747:B1246,1,0)</f>
        <v>#N/A</v>
      </c>
      <c r="H755" s="6" t="e">
        <f>VLOOKUP('Customer Info'!C747,'Customer Info'!C747:C1246,1)</f>
        <v>#N/A</v>
      </c>
      <c r="I755" s="6" t="e">
        <f>VLOOKUP('Customer Info'!E747,'Customer Info'!E747:E1246,1,0)</f>
        <v>#N/A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536</v>
      </c>
      <c r="R755" s="2" t="s">
        <v>50</v>
      </c>
      <c r="S755" s="9">
        <f t="shared" si="59"/>
        <v>0.05</v>
      </c>
    </row>
    <row r="756" spans="1:19" x14ac:dyDescent="0.3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e">
        <f>VLOOKUP('Customer Info'!B748,'Customer Info'!B748:B1247,1,0)</f>
        <v>#N/A</v>
      </c>
      <c r="H756" s="6" t="e">
        <f>VLOOKUP('Customer Info'!C748,'Customer Info'!C748:C1247,1)</f>
        <v>#N/A</v>
      </c>
      <c r="I756" s="6" t="e">
        <f>VLOOKUP('Customer Info'!E748,'Customer Info'!E748:E1247,1,0)</f>
        <v>#N/A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720</v>
      </c>
      <c r="R756" s="2" t="s">
        <v>50</v>
      </c>
      <c r="S756" s="9">
        <f t="shared" si="59"/>
        <v>0.05</v>
      </c>
    </row>
    <row r="757" spans="1:19" x14ac:dyDescent="0.3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e">
        <f>VLOOKUP('Customer Info'!B749,'Customer Info'!B749:B1248,1,0)</f>
        <v>#N/A</v>
      </c>
      <c r="H757" s="6" t="e">
        <f>VLOOKUP('Customer Info'!C749,'Customer Info'!C749:C1248,1)</f>
        <v>#N/A</v>
      </c>
      <c r="I757" s="6" t="e">
        <f>VLOOKUP('Customer Info'!E749,'Customer Info'!E749:E1248,1,0)</f>
        <v>#N/A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468</v>
      </c>
      <c r="R757" s="2" t="s">
        <v>28</v>
      </c>
      <c r="S757" s="9">
        <f t="shared" si="59"/>
        <v>0.05</v>
      </c>
    </row>
    <row r="758" spans="1:19" x14ac:dyDescent="0.3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e">
        <f>VLOOKUP('Customer Info'!B750,'Customer Info'!B750:B1249,1,0)</f>
        <v>#N/A</v>
      </c>
      <c r="H758" s="6" t="e">
        <f>VLOOKUP('Customer Info'!C750,'Customer Info'!C750:C1249,1)</f>
        <v>#N/A</v>
      </c>
      <c r="I758" s="6" t="e">
        <f>VLOOKUP('Customer Info'!E750,'Customer Info'!E750:E1249,1,0)</f>
        <v>#N/A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564</v>
      </c>
      <c r="R758" s="2" t="s">
        <v>26</v>
      </c>
      <c r="S758" s="9">
        <f t="shared" si="59"/>
        <v>0.05</v>
      </c>
    </row>
    <row r="759" spans="1:19" x14ac:dyDescent="0.3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e">
        <f>VLOOKUP('Customer Info'!B751,'Customer Info'!B751:B1250,1,0)</f>
        <v>#N/A</v>
      </c>
      <c r="H759" s="6" t="e">
        <f>VLOOKUP('Customer Info'!C751,'Customer Info'!C751:C1250,1)</f>
        <v>#N/A</v>
      </c>
      <c r="I759" s="6" t="e">
        <f>VLOOKUP('Customer Info'!E751,'Customer Info'!E751:E1250,1,0)</f>
        <v>#N/A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724</v>
      </c>
      <c r="R759" s="2" t="s">
        <v>26</v>
      </c>
      <c r="S759" s="9">
        <f t="shared" si="59"/>
        <v>7.0000000000000007E-2</v>
      </c>
    </row>
    <row r="760" spans="1:19" x14ac:dyDescent="0.3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e">
        <f>VLOOKUP('Customer Info'!B752,'Customer Info'!B752:B1251,1,0)</f>
        <v>#N/A</v>
      </c>
      <c r="H760" s="6" t="e">
        <f>VLOOKUP('Customer Info'!C752,'Customer Info'!C752:C1251,1)</f>
        <v>#N/A</v>
      </c>
      <c r="I760" s="6" t="e">
        <f>VLOOKUP('Customer Info'!E752,'Customer Info'!E752:E1251,1,0)</f>
        <v>#N/A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3500</v>
      </c>
      <c r="R760" s="2" t="s">
        <v>50</v>
      </c>
      <c r="S760" s="9">
        <f t="shared" si="59"/>
        <v>7.0000000000000007E-2</v>
      </c>
    </row>
    <row r="761" spans="1:19" x14ac:dyDescent="0.3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e">
        <f>VLOOKUP('Customer Info'!B753,'Customer Info'!B753:B1252,1,0)</f>
        <v>#N/A</v>
      </c>
      <c r="H761" s="6" t="e">
        <f>VLOOKUP('Customer Info'!C753,'Customer Info'!C753:C1252,1)</f>
        <v>#N/A</v>
      </c>
      <c r="I761" s="6" t="e">
        <f>VLOOKUP('Customer Info'!E753,'Customer Info'!E753:E1252,1,0)</f>
        <v>#N/A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36</v>
      </c>
      <c r="R761" s="2" t="s">
        <v>28</v>
      </c>
      <c r="S761" s="9">
        <f t="shared" si="59"/>
        <v>0.02</v>
      </c>
    </row>
    <row r="762" spans="1:19" x14ac:dyDescent="0.3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e">
        <f>VLOOKUP('Customer Info'!B754,'Customer Info'!B754:B1253,1,0)</f>
        <v>#N/A</v>
      </c>
      <c r="H762" s="6" t="e">
        <f>VLOOKUP('Customer Info'!C754,'Customer Info'!C754:C1253,1)</f>
        <v>#N/A</v>
      </c>
      <c r="I762" s="6" t="e">
        <f>VLOOKUP('Customer Info'!E754,'Customer Info'!E754:E1253,1,0)</f>
        <v>#N/A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1365</v>
      </c>
      <c r="R762" s="2" t="s">
        <v>50</v>
      </c>
      <c r="S762" s="9">
        <f t="shared" si="59"/>
        <v>7.0000000000000007E-2</v>
      </c>
    </row>
    <row r="763" spans="1:19" x14ac:dyDescent="0.3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e">
        <f>VLOOKUP('Customer Info'!B755,'Customer Info'!B755:B1254,1,0)</f>
        <v>#N/A</v>
      </c>
      <c r="H763" s="6" t="e">
        <f>VLOOKUP('Customer Info'!C755,'Customer Info'!C755:C1254,1)</f>
        <v>#N/A</v>
      </c>
      <c r="I763" s="6" t="e">
        <f>VLOOKUP('Customer Info'!E755,'Customer Info'!E755:E1254,1,0)</f>
        <v>#N/A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325</v>
      </c>
      <c r="R763" s="2" t="s">
        <v>50</v>
      </c>
      <c r="S763" s="9">
        <f t="shared" si="59"/>
        <v>0.05</v>
      </c>
    </row>
    <row r="764" spans="1:19" x14ac:dyDescent="0.3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e">
        <f>VLOOKUP('Customer Info'!B756,'Customer Info'!B756:B1255,1,0)</f>
        <v>#N/A</v>
      </c>
      <c r="H764" s="6" t="e">
        <f>VLOOKUP('Customer Info'!C756,'Customer Info'!C756:C1255,1)</f>
        <v>#N/A</v>
      </c>
      <c r="I764" s="6" t="e">
        <f>VLOOKUP('Customer Info'!E756,'Customer Info'!E756:E1255,1,0)</f>
        <v>#N/A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237</v>
      </c>
      <c r="R764" s="2" t="s">
        <v>28</v>
      </c>
      <c r="S764" s="9">
        <f t="shared" si="59"/>
        <v>0.02</v>
      </c>
    </row>
    <row r="765" spans="1:19" x14ac:dyDescent="0.3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e">
        <f>VLOOKUP('Customer Info'!B757,'Customer Info'!B757:B1256,1,0)</f>
        <v>#N/A</v>
      </c>
      <c r="H765" s="6" t="e">
        <f>VLOOKUP('Customer Info'!C757,'Customer Info'!C757:C1256,1)</f>
        <v>#N/A</v>
      </c>
      <c r="I765" s="6" t="e">
        <f>VLOOKUP('Customer Info'!E757,'Customer Info'!E757:E1256,1,0)</f>
        <v>#N/A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116</v>
      </c>
      <c r="R765" s="2" t="s">
        <v>28</v>
      </c>
      <c r="S765" s="9">
        <f t="shared" si="59"/>
        <v>0.02</v>
      </c>
    </row>
    <row r="766" spans="1:19" x14ac:dyDescent="0.3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e">
        <f>VLOOKUP('Customer Info'!B758,'Customer Info'!B758:B1257,1,0)</f>
        <v>#N/A</v>
      </c>
      <c r="H766" s="6" t="e">
        <f>VLOOKUP('Customer Info'!C758,'Customer Info'!C758:C1257,1)</f>
        <v>#N/A</v>
      </c>
      <c r="I766" s="6" t="e">
        <f>VLOOKUP('Customer Info'!E758,'Customer Info'!E758:E1257,1,0)</f>
        <v>#N/A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1188</v>
      </c>
      <c r="R766" s="2" t="s">
        <v>28</v>
      </c>
      <c r="S766" s="9">
        <f t="shared" si="59"/>
        <v>0.05</v>
      </c>
    </row>
    <row r="767" spans="1:19" x14ac:dyDescent="0.3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e">
        <f>VLOOKUP('Customer Info'!B759,'Customer Info'!B759:B1258,1,0)</f>
        <v>#N/A</v>
      </c>
      <c r="H767" s="6" t="e">
        <f>VLOOKUP('Customer Info'!C759,'Customer Info'!C759:C1258,1)</f>
        <v>#N/A</v>
      </c>
      <c r="I767" s="6" t="e">
        <f>VLOOKUP('Customer Info'!E759,'Customer Info'!E759:E1258,1,0)</f>
        <v>#N/A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16600</v>
      </c>
      <c r="R767" s="2" t="s">
        <v>28</v>
      </c>
      <c r="S767" s="9">
        <f t="shared" si="59"/>
        <v>0.12</v>
      </c>
    </row>
    <row r="768" spans="1:19" x14ac:dyDescent="0.3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e">
        <f>VLOOKUP('Customer Info'!B760,'Customer Info'!B760:B1259,1,0)</f>
        <v>#N/A</v>
      </c>
      <c r="H768" s="6" t="e">
        <f>VLOOKUP('Customer Info'!C760,'Customer Info'!C760:C1259,1)</f>
        <v>#N/A</v>
      </c>
      <c r="I768" s="6" t="e">
        <f>VLOOKUP('Customer Info'!E760,'Customer Info'!E760:E1259,1,0)</f>
        <v>#N/A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2574</v>
      </c>
      <c r="R768" s="2" t="s">
        <v>28</v>
      </c>
      <c r="S768" s="9">
        <f t="shared" si="59"/>
        <v>7.0000000000000007E-2</v>
      </c>
    </row>
    <row r="769" spans="1:19" x14ac:dyDescent="0.3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e">
        <f>VLOOKUP('Customer Info'!B761,'Customer Info'!B761:B1260,1,0)</f>
        <v>#N/A</v>
      </c>
      <c r="H769" s="6" t="e">
        <f>VLOOKUP('Customer Info'!C761,'Customer Info'!C761:C1260,1)</f>
        <v>#N/A</v>
      </c>
      <c r="I769" s="6" t="e">
        <f>VLOOKUP('Customer Info'!E761,'Customer Info'!E761:E1260,1,0)</f>
        <v>#N/A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1008</v>
      </c>
      <c r="R769" s="2" t="s">
        <v>28</v>
      </c>
      <c r="S769" s="9">
        <f t="shared" si="59"/>
        <v>0.05</v>
      </c>
    </row>
    <row r="770" spans="1:19" x14ac:dyDescent="0.3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e">
        <f>VLOOKUP('Customer Info'!B762,'Customer Info'!B762:B1261,1,0)</f>
        <v>#N/A</v>
      </c>
      <c r="H770" s="6" t="e">
        <f>VLOOKUP('Customer Info'!C762,'Customer Info'!C762:C1261,1)</f>
        <v>#N/A</v>
      </c>
      <c r="I770" s="6" t="e">
        <f>VLOOKUP('Customer Info'!E762,'Customer Info'!E762:E1261,1,0)</f>
        <v>#N/A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84</v>
      </c>
      <c r="R770" s="2" t="s">
        <v>28</v>
      </c>
      <c r="S770" s="9">
        <f t="shared" si="59"/>
        <v>0.02</v>
      </c>
    </row>
    <row r="771" spans="1:19" x14ac:dyDescent="0.3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e">
        <f>VLOOKUP('Customer Info'!B763,'Customer Info'!B763:B1262,1,0)</f>
        <v>#N/A</v>
      </c>
      <c r="H771" s="6" t="e">
        <f>VLOOKUP('Customer Info'!C763,'Customer Info'!C763:C1262,1)</f>
        <v>#N/A</v>
      </c>
      <c r="I771" s="6" t="e">
        <f>VLOOKUP('Customer Info'!E763,'Customer Info'!E763:E1262,1,0)</f>
        <v>#N/A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78</v>
      </c>
      <c r="R771" s="2" t="s">
        <v>28</v>
      </c>
      <c r="S771" s="9">
        <f t="shared" si="59"/>
        <v>0.02</v>
      </c>
    </row>
    <row r="772" spans="1:19" x14ac:dyDescent="0.3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e">
        <f>VLOOKUP('Customer Info'!B764,'Customer Info'!B764:B1263,1,0)</f>
        <v>#N/A</v>
      </c>
      <c r="H772" s="6" t="e">
        <f>VLOOKUP('Customer Info'!C764,'Customer Info'!C764:C1263,1)</f>
        <v>#N/A</v>
      </c>
      <c r="I772" s="6" t="e">
        <f>VLOOKUP('Customer Info'!E764,'Customer Info'!E764:E1263,1,0)</f>
        <v>#N/A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20</v>
      </c>
      <c r="R772" s="2" t="s">
        <v>28</v>
      </c>
      <c r="S772" s="9">
        <f t="shared" si="59"/>
        <v>0.02</v>
      </c>
    </row>
    <row r="773" spans="1:19" x14ac:dyDescent="0.3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e">
        <f>VLOOKUP('Customer Info'!B765,'Customer Info'!B765:B1264,1,0)</f>
        <v>#N/A</v>
      </c>
      <c r="H773" s="6" t="e">
        <f>VLOOKUP('Customer Info'!C765,'Customer Info'!C765:C1264,1)</f>
        <v>#N/A</v>
      </c>
      <c r="I773" s="6" t="e">
        <f>VLOOKUP('Customer Info'!E765,'Customer Info'!E765:E1264,1,0)</f>
        <v>#N/A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2055</v>
      </c>
      <c r="R773" s="2" t="s">
        <v>28</v>
      </c>
      <c r="S773" s="9">
        <f t="shared" si="59"/>
        <v>0.05</v>
      </c>
    </row>
    <row r="774" spans="1:19" x14ac:dyDescent="0.3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e">
        <f>VLOOKUP('Customer Info'!B766,'Customer Info'!B766:B1265,1,0)</f>
        <v>#N/A</v>
      </c>
      <c r="H774" s="6" t="e">
        <f>VLOOKUP('Customer Info'!C766,'Customer Info'!C766:C1265,1)</f>
        <v>#N/A</v>
      </c>
      <c r="I774" s="6" t="e">
        <f>VLOOKUP('Customer Info'!E766,'Customer Info'!E766:E1265,1,0)</f>
        <v>#N/A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441</v>
      </c>
      <c r="R774" s="2" t="s">
        <v>28</v>
      </c>
      <c r="S774" s="9">
        <f t="shared" si="59"/>
        <v>0.05</v>
      </c>
    </row>
    <row r="775" spans="1:19" x14ac:dyDescent="0.3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e">
        <f>VLOOKUP('Customer Info'!B767,'Customer Info'!B767:B1266,1,0)</f>
        <v>#N/A</v>
      </c>
      <c r="H775" s="6" t="e">
        <f>VLOOKUP('Customer Info'!C767,'Customer Info'!C767:C1266,1)</f>
        <v>#N/A</v>
      </c>
      <c r="I775" s="6" t="e">
        <f>VLOOKUP('Customer Info'!E767,'Customer Info'!E767:E1266,1,0)</f>
        <v>#N/A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536</v>
      </c>
      <c r="R775" s="2" t="s">
        <v>50</v>
      </c>
      <c r="S775" s="9">
        <f t="shared" si="59"/>
        <v>0.05</v>
      </c>
    </row>
    <row r="776" spans="1:19" x14ac:dyDescent="0.3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e">
        <f>VLOOKUP('Customer Info'!B768,'Customer Info'!B768:B1267,1,0)</f>
        <v>#N/A</v>
      </c>
      <c r="H776" s="6" t="e">
        <f>VLOOKUP('Customer Info'!C768,'Customer Info'!C768:C1267,1)</f>
        <v>#N/A</v>
      </c>
      <c r="I776" s="6" t="e">
        <f>VLOOKUP('Customer Info'!E768,'Customer Info'!E768:E1267,1,0)</f>
        <v>#N/A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86</v>
      </c>
      <c r="R776" s="2" t="s">
        <v>28</v>
      </c>
      <c r="S776" s="9">
        <f t="shared" si="59"/>
        <v>0.02</v>
      </c>
    </row>
    <row r="777" spans="1:19" x14ac:dyDescent="0.3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e">
        <f>VLOOKUP('Customer Info'!B769,'Customer Info'!B769:B1268,1,0)</f>
        <v>#N/A</v>
      </c>
      <c r="H777" s="6" t="e">
        <f>VLOOKUP('Customer Info'!C769,'Customer Info'!C769:C1268,1)</f>
        <v>#N/A</v>
      </c>
      <c r="I777" s="6" t="e">
        <f>VLOOKUP('Customer Info'!E769,'Customer Info'!E769:E1268,1,0)</f>
        <v>#N/A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717</v>
      </c>
      <c r="R777" s="2" t="s">
        <v>50</v>
      </c>
      <c r="S777" s="9">
        <f t="shared" si="59"/>
        <v>0.05</v>
      </c>
    </row>
    <row r="778" spans="1:19" x14ac:dyDescent="0.3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e">
        <f>VLOOKUP('Customer Info'!B770,'Customer Info'!B770:B1269,1,0)</f>
        <v>#N/A</v>
      </c>
      <c r="H778" s="6" t="e">
        <f>VLOOKUP('Customer Info'!C770,'Customer Info'!C770:C1269,1)</f>
        <v>#N/A</v>
      </c>
      <c r="I778" s="6" t="e">
        <f>VLOOKUP('Customer Info'!E770,'Customer Info'!E770:E1269,1,0)</f>
        <v>#N/A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154</v>
      </c>
      <c r="R778" s="2" t="s">
        <v>56</v>
      </c>
      <c r="S778" s="9">
        <f t="shared" si="59"/>
        <v>0.02</v>
      </c>
    </row>
    <row r="779" spans="1:19" x14ac:dyDescent="0.3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e">
        <f>VLOOKUP('Customer Info'!B771,'Customer Info'!B771:B1270,1,0)</f>
        <v>#N/A</v>
      </c>
      <c r="H779" s="6" t="e">
        <f>VLOOKUP('Customer Info'!C771,'Customer Info'!C771:C1270,1)</f>
        <v>#N/A</v>
      </c>
      <c r="I779" s="6" t="e">
        <f>VLOOKUP('Customer Info'!E771,'Customer Info'!E771:E1270,1,0)</f>
        <v>#N/A</v>
      </c>
      <c r="J779" s="2">
        <v>1808</v>
      </c>
      <c r="K779" s="2">
        <v>1740</v>
      </c>
      <c r="L779" s="2">
        <v>2</v>
      </c>
      <c r="M779" s="7">
        <f t="shared" ref="M779:M842" si="60">(K779*L779)</f>
        <v>3480</v>
      </c>
      <c r="N779" s="7">
        <f t="shared" ref="N779:N842" si="61">(J779*L779)</f>
        <v>3616</v>
      </c>
      <c r="O779" s="2">
        <v>35</v>
      </c>
      <c r="P779" s="8">
        <f t="shared" ref="P779:P842" si="62">(N779+O779)</f>
        <v>3651</v>
      </c>
      <c r="Q779" s="8">
        <f t="shared" ref="Q779:Q842" si="63">(N779-M779)</f>
        <v>136</v>
      </c>
      <c r="R779" s="2" t="s">
        <v>28</v>
      </c>
      <c r="S779" s="9">
        <f t="shared" ref="S779:S842" si="64">_xlfn.IFS(P779&gt;250000,0.15,P779&gt;100000,0.12,P779&gt;50000,0.09,P779&gt;25000,0.07,P779&gt;5000,0.05,
 TRUE,0.02)</f>
        <v>0.02</v>
      </c>
    </row>
    <row r="780" spans="1:19" x14ac:dyDescent="0.3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e">
        <f>VLOOKUP('Customer Info'!B772,'Customer Info'!B772:B1271,1,0)</f>
        <v>#N/A</v>
      </c>
      <c r="H780" s="6" t="e">
        <f>VLOOKUP('Customer Info'!C772,'Customer Info'!C772:C1271,1)</f>
        <v>#N/A</v>
      </c>
      <c r="I780" s="6" t="e">
        <f>VLOOKUP('Customer Info'!E772,'Customer Info'!E772:E1271,1,0)</f>
        <v>#N/A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1005</v>
      </c>
      <c r="R780" s="2" t="s">
        <v>28</v>
      </c>
      <c r="S780" s="9">
        <f t="shared" si="64"/>
        <v>0.05</v>
      </c>
    </row>
    <row r="781" spans="1:19" x14ac:dyDescent="0.3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e">
        <f>VLOOKUP('Customer Info'!B773,'Customer Info'!B773:B1272,1,0)</f>
        <v>#N/A</v>
      </c>
      <c r="H781" s="6" t="e">
        <f>VLOOKUP('Customer Info'!C773,'Customer Info'!C773:C1272,1)</f>
        <v>#N/A</v>
      </c>
      <c r="I781" s="6" t="e">
        <f>VLOOKUP('Customer Info'!E773,'Customer Info'!E773:E1272,1,0)</f>
        <v>#N/A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1300</v>
      </c>
      <c r="R781" s="2" t="s">
        <v>28</v>
      </c>
      <c r="S781" s="9">
        <f t="shared" si="64"/>
        <v>0.05</v>
      </c>
    </row>
    <row r="782" spans="1:19" x14ac:dyDescent="0.3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e">
        <f>VLOOKUP('Customer Info'!B774,'Customer Info'!B774:B1273,1,0)</f>
        <v>#N/A</v>
      </c>
      <c r="H782" s="6" t="e">
        <f>VLOOKUP('Customer Info'!C774,'Customer Info'!C774:C1273,1)</f>
        <v>#N/A</v>
      </c>
      <c r="I782" s="6" t="e">
        <f>VLOOKUP('Customer Info'!E774,'Customer Info'!E774:E1273,1,0)</f>
        <v>#N/A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16</v>
      </c>
      <c r="R782" s="2" t="s">
        <v>50</v>
      </c>
      <c r="S782" s="9">
        <f t="shared" si="64"/>
        <v>0.02</v>
      </c>
    </row>
    <row r="783" spans="1:19" x14ac:dyDescent="0.3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e">
        <f>VLOOKUP('Customer Info'!B775,'Customer Info'!B775:B1274,1,0)</f>
        <v>#N/A</v>
      </c>
      <c r="H783" s="6" t="e">
        <f>VLOOKUP('Customer Info'!C775,'Customer Info'!C775:C1274,1)</f>
        <v>#N/A</v>
      </c>
      <c r="I783" s="6" t="e">
        <f>VLOOKUP('Customer Info'!E775,'Customer Info'!E775:E1274,1,0)</f>
        <v>#N/A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3133</v>
      </c>
      <c r="R783" s="2" t="s">
        <v>28</v>
      </c>
      <c r="S783" s="9">
        <f t="shared" si="64"/>
        <v>7.0000000000000007E-2</v>
      </c>
    </row>
    <row r="784" spans="1:19" x14ac:dyDescent="0.3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e">
        <f>VLOOKUP('Customer Info'!B776,'Customer Info'!B776:B1275,1,0)</f>
        <v>#N/A</v>
      </c>
      <c r="H784" s="6" t="e">
        <f>VLOOKUP('Customer Info'!C776,'Customer Info'!C776:C1275,1)</f>
        <v>#N/A</v>
      </c>
      <c r="I784" s="6" t="e">
        <f>VLOOKUP('Customer Info'!E776,'Customer Info'!E776:E1275,1,0)</f>
        <v>#N/A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668</v>
      </c>
      <c r="R784" s="2" t="s">
        <v>50</v>
      </c>
      <c r="S784" s="9">
        <f t="shared" si="64"/>
        <v>0.05</v>
      </c>
    </row>
    <row r="785" spans="1:19" x14ac:dyDescent="0.3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e">
        <f>VLOOKUP('Customer Info'!B777,'Customer Info'!B777:B1276,1,0)</f>
        <v>#N/A</v>
      </c>
      <c r="H785" s="6" t="e">
        <f>VLOOKUP('Customer Info'!C777,'Customer Info'!C777:C1276,1)</f>
        <v>#N/A</v>
      </c>
      <c r="I785" s="6" t="e">
        <f>VLOOKUP('Customer Info'!E777,'Customer Info'!E777:E1276,1,0)</f>
        <v>#N/A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2236</v>
      </c>
      <c r="R785" s="2" t="s">
        <v>28</v>
      </c>
      <c r="S785" s="9">
        <f t="shared" si="64"/>
        <v>7.0000000000000007E-2</v>
      </c>
    </row>
    <row r="786" spans="1:19" x14ac:dyDescent="0.3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e">
        <f>VLOOKUP('Customer Info'!B778,'Customer Info'!B778:B1277,1,0)</f>
        <v>#N/A</v>
      </c>
      <c r="H786" s="6" t="e">
        <f>VLOOKUP('Customer Info'!C778,'Customer Info'!C778:C1277,1)</f>
        <v>#N/A</v>
      </c>
      <c r="I786" s="6" t="e">
        <f>VLOOKUP('Customer Info'!E778,'Customer Info'!E778:E1277,1,0)</f>
        <v>#N/A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20690</v>
      </c>
      <c r="R786" s="2" t="s">
        <v>28</v>
      </c>
      <c r="S786" s="9">
        <f t="shared" si="64"/>
        <v>0.15</v>
      </c>
    </row>
    <row r="787" spans="1:19" x14ac:dyDescent="0.3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e">
        <f>VLOOKUP('Customer Info'!B779,'Customer Info'!B779:B1278,1,0)</f>
        <v>#N/A</v>
      </c>
      <c r="H787" s="6" t="e">
        <f>VLOOKUP('Customer Info'!C779,'Customer Info'!C779:C1278,1)</f>
        <v>#N/A</v>
      </c>
      <c r="I787" s="6" t="e">
        <f>VLOOKUP('Customer Info'!E779,'Customer Info'!E779:E1278,1,0)</f>
        <v>#N/A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412</v>
      </c>
      <c r="R787" s="2" t="s">
        <v>28</v>
      </c>
      <c r="S787" s="9">
        <f t="shared" si="64"/>
        <v>0.05</v>
      </c>
    </row>
    <row r="788" spans="1:19" x14ac:dyDescent="0.3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e">
        <f>VLOOKUP('Customer Info'!B780,'Customer Info'!B780:B1279,1,0)</f>
        <v>#N/A</v>
      </c>
      <c r="H788" s="6" t="e">
        <f>VLOOKUP('Customer Info'!C780,'Customer Info'!C780:C1279,1)</f>
        <v>#N/A</v>
      </c>
      <c r="I788" s="6" t="e">
        <f>VLOOKUP('Customer Info'!E780,'Customer Info'!E780:E1279,1,0)</f>
        <v>#N/A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426</v>
      </c>
      <c r="R788" s="2" t="s">
        <v>28</v>
      </c>
      <c r="S788" s="9">
        <f t="shared" si="64"/>
        <v>0.02</v>
      </c>
    </row>
    <row r="789" spans="1:19" x14ac:dyDescent="0.3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e">
        <f>VLOOKUP('Customer Info'!B781,'Customer Info'!B781:B1280,1,0)</f>
        <v>#N/A</v>
      </c>
      <c r="H789" s="6" t="e">
        <f>VLOOKUP('Customer Info'!C781,'Customer Info'!C781:C1280,1)</f>
        <v>#N/A</v>
      </c>
      <c r="I789" s="6" t="e">
        <f>VLOOKUP('Customer Info'!E781,'Customer Info'!E781:E1280,1,0)</f>
        <v>#N/A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155</v>
      </c>
      <c r="R789" s="2" t="s">
        <v>50</v>
      </c>
      <c r="S789" s="9">
        <f t="shared" si="64"/>
        <v>0.02</v>
      </c>
    </row>
    <row r="790" spans="1:19" x14ac:dyDescent="0.3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e">
        <f>VLOOKUP('Customer Info'!B782,'Customer Info'!B782:B1281,1,0)</f>
        <v>#N/A</v>
      </c>
      <c r="H790" s="6" t="e">
        <f>VLOOKUP('Customer Info'!C782,'Customer Info'!C782:C1281,1)</f>
        <v>#N/A</v>
      </c>
      <c r="I790" s="6" t="e">
        <f>VLOOKUP('Customer Info'!E782,'Customer Info'!E782:E1281,1,0)</f>
        <v>#N/A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343</v>
      </c>
      <c r="R790" s="2" t="s">
        <v>26</v>
      </c>
      <c r="S790" s="9">
        <f t="shared" si="64"/>
        <v>0.02</v>
      </c>
    </row>
    <row r="791" spans="1:19" x14ac:dyDescent="0.3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e">
        <f>VLOOKUP('Customer Info'!B783,'Customer Info'!B783:B1282,1,0)</f>
        <v>#N/A</v>
      </c>
      <c r="H791" s="6" t="e">
        <f>VLOOKUP('Customer Info'!C783,'Customer Info'!C783:C1282,1)</f>
        <v>#N/A</v>
      </c>
      <c r="I791" s="6" t="e">
        <f>VLOOKUP('Customer Info'!E783,'Customer Info'!E783:E1282,1,0)</f>
        <v>#N/A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963</v>
      </c>
      <c r="R791" s="2" t="s">
        <v>28</v>
      </c>
      <c r="S791" s="9">
        <f t="shared" si="64"/>
        <v>0.05</v>
      </c>
    </row>
    <row r="792" spans="1:19" x14ac:dyDescent="0.3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e">
        <f>VLOOKUP('Customer Info'!B784,'Customer Info'!B784:B1283,1,0)</f>
        <v>#N/A</v>
      </c>
      <c r="H792" s="6" t="e">
        <f>VLOOKUP('Customer Info'!C784,'Customer Info'!C784:C1283,1)</f>
        <v>#N/A</v>
      </c>
      <c r="I792" s="6" t="e">
        <f>VLOOKUP('Customer Info'!E784,'Customer Info'!E784:E1283,1,0)</f>
        <v>#N/A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280</v>
      </c>
      <c r="R792" s="2" t="s">
        <v>50</v>
      </c>
      <c r="S792" s="9">
        <f t="shared" si="64"/>
        <v>0.02</v>
      </c>
    </row>
    <row r="793" spans="1:19" x14ac:dyDescent="0.3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e">
        <f>VLOOKUP('Customer Info'!B785,'Customer Info'!B785:B1284,1,0)</f>
        <v>#N/A</v>
      </c>
      <c r="H793" s="6" t="e">
        <f>VLOOKUP('Customer Info'!C785,'Customer Info'!C785:C1284,1)</f>
        <v>#N/A</v>
      </c>
      <c r="I793" s="6" t="e">
        <f>VLOOKUP('Customer Info'!E785,'Customer Info'!E785:E1284,1,0)</f>
        <v>#N/A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1750</v>
      </c>
      <c r="R793" s="2" t="s">
        <v>50</v>
      </c>
      <c r="S793" s="9">
        <f t="shared" si="64"/>
        <v>0.05</v>
      </c>
    </row>
    <row r="794" spans="1:19" x14ac:dyDescent="0.3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e">
        <f>VLOOKUP('Customer Info'!B786,'Customer Info'!B786:B1285,1,0)</f>
        <v>#N/A</v>
      </c>
      <c r="H794" s="6" t="e">
        <f>VLOOKUP('Customer Info'!C786,'Customer Info'!C786:C1285,1)</f>
        <v>#N/A</v>
      </c>
      <c r="I794" s="6" t="e">
        <f>VLOOKUP('Customer Info'!E786,'Customer Info'!E786:E1285,1,0)</f>
        <v>#N/A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1056</v>
      </c>
      <c r="R794" s="2" t="s">
        <v>28</v>
      </c>
      <c r="S794" s="9">
        <f t="shared" si="64"/>
        <v>0.05</v>
      </c>
    </row>
    <row r="795" spans="1:19" x14ac:dyDescent="0.3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e">
        <f>VLOOKUP('Customer Info'!B787,'Customer Info'!B787:B1286,1,0)</f>
        <v>#N/A</v>
      </c>
      <c r="H795" s="6" t="e">
        <f>VLOOKUP('Customer Info'!C787,'Customer Info'!C787:C1286,1)</f>
        <v>#N/A</v>
      </c>
      <c r="I795" s="6" t="e">
        <f>VLOOKUP('Customer Info'!E787,'Customer Info'!E787:E1286,1,0)</f>
        <v>#N/A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2375</v>
      </c>
      <c r="R795" s="2" t="s">
        <v>26</v>
      </c>
      <c r="S795" s="9">
        <f t="shared" si="64"/>
        <v>7.0000000000000007E-2</v>
      </c>
    </row>
    <row r="796" spans="1:19" x14ac:dyDescent="0.3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e">
        <f>VLOOKUP('Customer Info'!B788,'Customer Info'!B788:B1287,1,0)</f>
        <v>#N/A</v>
      </c>
      <c r="H796" s="6" t="e">
        <f>VLOOKUP('Customer Info'!C788,'Customer Info'!C788:C1287,1)</f>
        <v>#N/A</v>
      </c>
      <c r="I796" s="6" t="e">
        <f>VLOOKUP('Customer Info'!E788,'Customer Info'!E788:E1287,1,0)</f>
        <v>#N/A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21</v>
      </c>
      <c r="R796" s="2" t="s">
        <v>28</v>
      </c>
      <c r="S796" s="9">
        <f t="shared" si="64"/>
        <v>0.02</v>
      </c>
    </row>
    <row r="797" spans="1:19" x14ac:dyDescent="0.3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e">
        <f>VLOOKUP('Customer Info'!B789,'Customer Info'!B789:B1288,1,0)</f>
        <v>#N/A</v>
      </c>
      <c r="H797" s="6" t="e">
        <f>VLOOKUP('Customer Info'!C789,'Customer Info'!C789:C1288,1)</f>
        <v>#N/A</v>
      </c>
      <c r="I797" s="6" t="e">
        <f>VLOOKUP('Customer Info'!E789,'Customer Info'!E789:E1288,1,0)</f>
        <v>#N/A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4200</v>
      </c>
      <c r="R797" s="2" t="s">
        <v>28</v>
      </c>
      <c r="S797" s="9">
        <f t="shared" si="64"/>
        <v>0.09</v>
      </c>
    </row>
    <row r="798" spans="1:19" x14ac:dyDescent="0.3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e">
        <f>VLOOKUP('Customer Info'!B790,'Customer Info'!B790:B1289,1,0)</f>
        <v>#N/A</v>
      </c>
      <c r="H798" s="6" t="e">
        <f>VLOOKUP('Customer Info'!C790,'Customer Info'!C790:C1289,1)</f>
        <v>#N/A</v>
      </c>
      <c r="I798" s="6" t="e">
        <f>VLOOKUP('Customer Info'!E790,'Customer Info'!E790:E1289,1,0)</f>
        <v>#N/A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845</v>
      </c>
      <c r="R798" s="2" t="s">
        <v>28</v>
      </c>
      <c r="S798" s="9">
        <f t="shared" si="64"/>
        <v>0.05</v>
      </c>
    </row>
    <row r="799" spans="1:19" x14ac:dyDescent="0.3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e">
        <f>VLOOKUP('Customer Info'!B791,'Customer Info'!B791:B1290,1,0)</f>
        <v>#N/A</v>
      </c>
      <c r="H799" s="6" t="e">
        <f>VLOOKUP('Customer Info'!C791,'Customer Info'!C791:C1290,1)</f>
        <v>#N/A</v>
      </c>
      <c r="I799" s="6" t="e">
        <f>VLOOKUP('Customer Info'!E791,'Customer Info'!E791:E1290,1,0)</f>
        <v>#N/A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195</v>
      </c>
      <c r="R799" s="2" t="s">
        <v>28</v>
      </c>
      <c r="S799" s="9">
        <f t="shared" si="64"/>
        <v>0.05</v>
      </c>
    </row>
    <row r="800" spans="1:19" x14ac:dyDescent="0.3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e">
        <f>VLOOKUP('Customer Info'!B792,'Customer Info'!B792:B1291,1,0)</f>
        <v>#N/A</v>
      </c>
      <c r="H800" s="6" t="e">
        <f>VLOOKUP('Customer Info'!C792,'Customer Info'!C792:C1291,1)</f>
        <v>#N/A</v>
      </c>
      <c r="I800" s="6" t="e">
        <f>VLOOKUP('Customer Info'!E792,'Customer Info'!E792:E1291,1,0)</f>
        <v>#N/A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30</v>
      </c>
      <c r="R800" s="2" t="s">
        <v>50</v>
      </c>
      <c r="S800" s="9">
        <f t="shared" si="64"/>
        <v>0.02</v>
      </c>
    </row>
    <row r="801" spans="1:19" x14ac:dyDescent="0.3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e">
        <f>VLOOKUP('Customer Info'!B793,'Customer Info'!B793:B1292,1,0)</f>
        <v>#N/A</v>
      </c>
      <c r="H801" s="6" t="e">
        <f>VLOOKUP('Customer Info'!C793,'Customer Info'!C793:C1292,1)</f>
        <v>#N/A</v>
      </c>
      <c r="I801" s="6" t="e">
        <f>VLOOKUP('Customer Info'!E793,'Customer Info'!E793:E1292,1,0)</f>
        <v>#N/A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190</v>
      </c>
      <c r="R801" s="2" t="s">
        <v>28</v>
      </c>
      <c r="S801" s="9">
        <f t="shared" si="64"/>
        <v>0.05</v>
      </c>
    </row>
    <row r="802" spans="1:19" x14ac:dyDescent="0.3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e">
        <f>VLOOKUP('Customer Info'!B794,'Customer Info'!B794:B1293,1,0)</f>
        <v>#N/A</v>
      </c>
      <c r="H802" s="6" t="e">
        <f>VLOOKUP('Customer Info'!C794,'Customer Info'!C794:C1293,1)</f>
        <v>#N/A</v>
      </c>
      <c r="I802" s="6" t="e">
        <f>VLOOKUP('Customer Info'!E794,'Customer Info'!E794:E1293,1,0)</f>
        <v>#N/A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64</v>
      </c>
      <c r="R802" s="2" t="s">
        <v>28</v>
      </c>
      <c r="S802" s="9">
        <f t="shared" si="64"/>
        <v>0.02</v>
      </c>
    </row>
    <row r="803" spans="1:19" x14ac:dyDescent="0.3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e">
        <f>VLOOKUP('Customer Info'!B795,'Customer Info'!B795:B1294,1,0)</f>
        <v>#N/A</v>
      </c>
      <c r="H803" s="6" t="e">
        <f>VLOOKUP('Customer Info'!C795,'Customer Info'!C795:C1294,1)</f>
        <v>#N/A</v>
      </c>
      <c r="I803" s="6" t="e">
        <f>VLOOKUP('Customer Info'!E795,'Customer Info'!E795:E1294,1,0)</f>
        <v>#N/A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520</v>
      </c>
      <c r="R803" s="2" t="s">
        <v>26</v>
      </c>
      <c r="S803" s="9">
        <f t="shared" si="64"/>
        <v>0.05</v>
      </c>
    </row>
    <row r="804" spans="1:19" x14ac:dyDescent="0.3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e">
        <f>VLOOKUP('Customer Info'!B796,'Customer Info'!B796:B1295,1,0)</f>
        <v>#N/A</v>
      </c>
      <c r="H804" s="6" t="e">
        <f>VLOOKUP('Customer Info'!C796,'Customer Info'!C796:C1295,1)</f>
        <v>#N/A</v>
      </c>
      <c r="I804" s="6" t="e">
        <f>VLOOKUP('Customer Info'!E796,'Customer Info'!E796:E1295,1,0)</f>
        <v>#N/A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423</v>
      </c>
      <c r="R804" s="2" t="s">
        <v>28</v>
      </c>
      <c r="S804" s="9">
        <f t="shared" si="64"/>
        <v>0.05</v>
      </c>
    </row>
    <row r="805" spans="1:19" x14ac:dyDescent="0.3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e">
        <f>VLOOKUP('Customer Info'!B797,'Customer Info'!B797:B1296,1,0)</f>
        <v>#N/A</v>
      </c>
      <c r="H805" s="6" t="e">
        <f>VLOOKUP('Customer Info'!C797,'Customer Info'!C797:C1296,1)</f>
        <v>#N/A</v>
      </c>
      <c r="I805" s="6" t="e">
        <f>VLOOKUP('Customer Info'!E797,'Customer Info'!E797:E1296,1,0)</f>
        <v>#N/A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24</v>
      </c>
      <c r="R805" s="2" t="s">
        <v>28</v>
      </c>
      <c r="S805" s="9">
        <f t="shared" si="64"/>
        <v>0.02</v>
      </c>
    </row>
    <row r="806" spans="1:19" x14ac:dyDescent="0.3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e">
        <f>VLOOKUP('Customer Info'!B798,'Customer Info'!B798:B1297,1,0)</f>
        <v>#N/A</v>
      </c>
      <c r="H806" s="6" t="e">
        <f>VLOOKUP('Customer Info'!C798,'Customer Info'!C798:C1297,1)</f>
        <v>#N/A</v>
      </c>
      <c r="I806" s="6" t="e">
        <f>VLOOKUP('Customer Info'!E798,'Customer Info'!E798:E1297,1,0)</f>
        <v>#N/A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28</v>
      </c>
      <c r="R806" s="2" t="s">
        <v>28</v>
      </c>
      <c r="S806" s="9">
        <f t="shared" si="64"/>
        <v>0.02</v>
      </c>
    </row>
    <row r="807" spans="1:19" x14ac:dyDescent="0.3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e">
        <f>VLOOKUP('Customer Info'!B799,'Customer Info'!B799:B1298,1,0)</f>
        <v>#N/A</v>
      </c>
      <c r="H807" s="6" t="e">
        <f>VLOOKUP('Customer Info'!C799,'Customer Info'!C799:C1298,1)</f>
        <v>#N/A</v>
      </c>
      <c r="I807" s="6" t="e">
        <f>VLOOKUP('Customer Info'!E799,'Customer Info'!E799:E1298,1,0)</f>
        <v>#N/A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25</v>
      </c>
      <c r="R807" s="2" t="s">
        <v>26</v>
      </c>
      <c r="S807" s="9">
        <f t="shared" si="64"/>
        <v>0.02</v>
      </c>
    </row>
    <row r="808" spans="1:19" x14ac:dyDescent="0.3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e">
        <f>VLOOKUP('Customer Info'!B800,'Customer Info'!B800:B1299,1,0)</f>
        <v>#N/A</v>
      </c>
      <c r="H808" s="6" t="e">
        <f>VLOOKUP('Customer Info'!C800,'Customer Info'!C800:C1299,1)</f>
        <v>#N/A</v>
      </c>
      <c r="I808" s="6" t="e">
        <f>VLOOKUP('Customer Info'!E800,'Customer Info'!E800:E1299,1,0)</f>
        <v>#N/A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292</v>
      </c>
      <c r="R808" s="2" t="s">
        <v>56</v>
      </c>
      <c r="S808" s="9">
        <f t="shared" si="64"/>
        <v>0.02</v>
      </c>
    </row>
    <row r="809" spans="1:19" x14ac:dyDescent="0.3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e">
        <f>VLOOKUP('Customer Info'!B801,'Customer Info'!B801:B1300,1,0)</f>
        <v>#N/A</v>
      </c>
      <c r="H809" s="6" t="e">
        <f>VLOOKUP('Customer Info'!C801,'Customer Info'!C801:C1300,1)</f>
        <v>#N/A</v>
      </c>
      <c r="I809" s="6" t="e">
        <f>VLOOKUP('Customer Info'!E801,'Customer Info'!E801:E1300,1,0)</f>
        <v>#N/A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480</v>
      </c>
      <c r="R809" s="2" t="s">
        <v>50</v>
      </c>
      <c r="S809" s="9">
        <f t="shared" si="64"/>
        <v>0.05</v>
      </c>
    </row>
    <row r="810" spans="1:19" x14ac:dyDescent="0.3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e">
        <f>VLOOKUP('Customer Info'!B802,'Customer Info'!B802:B1301,1,0)</f>
        <v>#N/A</v>
      </c>
      <c r="H810" s="6" t="e">
        <f>VLOOKUP('Customer Info'!C802,'Customer Info'!C802:C1301,1)</f>
        <v>#N/A</v>
      </c>
      <c r="I810" s="6" t="e">
        <f>VLOOKUP('Customer Info'!E802,'Customer Info'!E802:E1301,1,0)</f>
        <v>#N/A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1188</v>
      </c>
      <c r="R810" s="2" t="s">
        <v>50</v>
      </c>
      <c r="S810" s="9">
        <f t="shared" si="64"/>
        <v>0.05</v>
      </c>
    </row>
    <row r="811" spans="1:19" x14ac:dyDescent="0.3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e">
        <f>VLOOKUP('Customer Info'!B803,'Customer Info'!B803:B1302,1,0)</f>
        <v>#N/A</v>
      </c>
      <c r="H811" s="6" t="e">
        <f>VLOOKUP('Customer Info'!C803,'Customer Info'!C803:C1302,1)</f>
        <v>#N/A</v>
      </c>
      <c r="I811" s="6" t="e">
        <f>VLOOKUP('Customer Info'!E803,'Customer Info'!E803:E1302,1,0)</f>
        <v>#N/A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146</v>
      </c>
      <c r="R811" s="2" t="s">
        <v>28</v>
      </c>
      <c r="S811" s="9">
        <f t="shared" si="64"/>
        <v>0.02</v>
      </c>
    </row>
    <row r="812" spans="1:19" x14ac:dyDescent="0.3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e">
        <f>VLOOKUP('Customer Info'!B804,'Customer Info'!B804:B1303,1,0)</f>
        <v>#N/A</v>
      </c>
      <c r="H812" s="6" t="e">
        <f>VLOOKUP('Customer Info'!C804,'Customer Info'!C804:C1303,1)</f>
        <v>#N/A</v>
      </c>
      <c r="I812" s="6" t="e">
        <f>VLOOKUP('Customer Info'!E804,'Customer Info'!E804:E1303,1,0)</f>
        <v>#N/A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32</v>
      </c>
      <c r="R812" s="2" t="s">
        <v>50</v>
      </c>
      <c r="S812" s="9">
        <f t="shared" si="64"/>
        <v>0.02</v>
      </c>
    </row>
    <row r="813" spans="1:19" x14ac:dyDescent="0.3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e">
        <f>VLOOKUP('Customer Info'!B805,'Customer Info'!B805:B1304,1,0)</f>
        <v>#N/A</v>
      </c>
      <c r="H813" s="6" t="e">
        <f>VLOOKUP('Customer Info'!C805,'Customer Info'!C805:C1304,1)</f>
        <v>#N/A</v>
      </c>
      <c r="I813" s="6" t="e">
        <f>VLOOKUP('Customer Info'!E805,'Customer Info'!E805:E1304,1,0)</f>
        <v>#N/A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97</v>
      </c>
      <c r="R813" s="2" t="s">
        <v>28</v>
      </c>
      <c r="S813" s="9">
        <f t="shared" si="64"/>
        <v>0.02</v>
      </c>
    </row>
    <row r="814" spans="1:19" x14ac:dyDescent="0.3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e">
        <f>VLOOKUP('Customer Info'!B806,'Customer Info'!B806:B1305,1,0)</f>
        <v>#N/A</v>
      </c>
      <c r="H814" s="6" t="e">
        <f>VLOOKUP('Customer Info'!C806,'Customer Info'!C806:C1305,1)</f>
        <v>#N/A</v>
      </c>
      <c r="I814" s="6" t="e">
        <f>VLOOKUP('Customer Info'!E806,'Customer Info'!E806:E1305,1,0)</f>
        <v>#N/A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273</v>
      </c>
      <c r="R814" s="2" t="s">
        <v>50</v>
      </c>
      <c r="S814" s="9">
        <f t="shared" si="64"/>
        <v>0.05</v>
      </c>
    </row>
    <row r="815" spans="1:19" x14ac:dyDescent="0.3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e">
        <f>VLOOKUP('Customer Info'!B807,'Customer Info'!B807:B1306,1,0)</f>
        <v>#N/A</v>
      </c>
      <c r="H815" s="6" t="e">
        <f>VLOOKUP('Customer Info'!C807,'Customer Info'!C807:C1306,1)</f>
        <v>#N/A</v>
      </c>
      <c r="I815" s="6" t="e">
        <f>VLOOKUP('Customer Info'!E807,'Customer Info'!E807:E1306,1,0)</f>
        <v>#N/A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1592</v>
      </c>
      <c r="R815" s="2" t="s">
        <v>50</v>
      </c>
      <c r="S815" s="9">
        <f t="shared" si="64"/>
        <v>0.05</v>
      </c>
    </row>
    <row r="816" spans="1:19" x14ac:dyDescent="0.3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e">
        <f>VLOOKUP('Customer Info'!B808,'Customer Info'!B808:B1307,1,0)</f>
        <v>#N/A</v>
      </c>
      <c r="H816" s="6" t="e">
        <f>VLOOKUP('Customer Info'!C808,'Customer Info'!C808:C1307,1)</f>
        <v>#N/A</v>
      </c>
      <c r="I816" s="6" t="e">
        <f>VLOOKUP('Customer Info'!E808,'Customer Info'!E808:E1307,1,0)</f>
        <v>#N/A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528</v>
      </c>
      <c r="R816" s="2" t="s">
        <v>28</v>
      </c>
      <c r="S816" s="9">
        <f t="shared" si="64"/>
        <v>0.05</v>
      </c>
    </row>
    <row r="817" spans="1:19" x14ac:dyDescent="0.3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e">
        <f>VLOOKUP('Customer Info'!B809,'Customer Info'!B809:B1308,1,0)</f>
        <v>#N/A</v>
      </c>
      <c r="H817" s="6" t="e">
        <f>VLOOKUP('Customer Info'!C809,'Customer Info'!C809:C1308,1)</f>
        <v>#N/A</v>
      </c>
      <c r="I817" s="6" t="e">
        <f>VLOOKUP('Customer Info'!E809,'Customer Info'!E809:E1308,1,0)</f>
        <v>#N/A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18</v>
      </c>
      <c r="R817" s="2" t="s">
        <v>28</v>
      </c>
      <c r="S817" s="9">
        <f t="shared" si="64"/>
        <v>0.02</v>
      </c>
    </row>
    <row r="818" spans="1:19" x14ac:dyDescent="0.3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e">
        <f>VLOOKUP('Customer Info'!B810,'Customer Info'!B810:B1309,1,0)</f>
        <v>#N/A</v>
      </c>
      <c r="H818" s="6" t="e">
        <f>VLOOKUP('Customer Info'!C810,'Customer Info'!C810:C1309,1)</f>
        <v>#N/A</v>
      </c>
      <c r="I818" s="6" t="e">
        <f>VLOOKUP('Customer Info'!E810,'Customer Info'!E810:E1309,1,0)</f>
        <v>#N/A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133</v>
      </c>
      <c r="R818" s="2" t="s">
        <v>28</v>
      </c>
      <c r="S818" s="9">
        <f t="shared" si="64"/>
        <v>0.02</v>
      </c>
    </row>
    <row r="819" spans="1:19" x14ac:dyDescent="0.3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e">
        <f>VLOOKUP('Customer Info'!B811,'Customer Info'!B811:B1310,1,0)</f>
        <v>#N/A</v>
      </c>
      <c r="H819" s="6" t="e">
        <f>VLOOKUP('Customer Info'!C811,'Customer Info'!C811:C1310,1)</f>
        <v>#N/A</v>
      </c>
      <c r="I819" s="6" t="e">
        <f>VLOOKUP('Customer Info'!E811,'Customer Info'!E811:E1310,1,0)</f>
        <v>#N/A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763</v>
      </c>
      <c r="R819" s="2" t="s">
        <v>26</v>
      </c>
      <c r="S819" s="9">
        <f t="shared" si="64"/>
        <v>0.05</v>
      </c>
    </row>
    <row r="820" spans="1:19" x14ac:dyDescent="0.3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e">
        <f>VLOOKUP('Customer Info'!B812,'Customer Info'!B812:B1311,1,0)</f>
        <v>#N/A</v>
      </c>
      <c r="H820" s="6" t="e">
        <f>VLOOKUP('Customer Info'!C812,'Customer Info'!C812:C1311,1)</f>
        <v>#N/A</v>
      </c>
      <c r="I820" s="6" t="e">
        <f>VLOOKUP('Customer Info'!E812,'Customer Info'!E812:E1311,1,0)</f>
        <v>#N/A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114</v>
      </c>
      <c r="R820" s="2" t="s">
        <v>50</v>
      </c>
      <c r="S820" s="9">
        <f t="shared" si="64"/>
        <v>0.02</v>
      </c>
    </row>
    <row r="821" spans="1:19" x14ac:dyDescent="0.3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e">
        <f>VLOOKUP('Customer Info'!B813,'Customer Info'!B813:B1312,1,0)</f>
        <v>#N/A</v>
      </c>
      <c r="H821" s="6" t="e">
        <f>VLOOKUP('Customer Info'!C813,'Customer Info'!C813:C1312,1)</f>
        <v>#N/A</v>
      </c>
      <c r="I821" s="6" t="e">
        <f>VLOOKUP('Customer Info'!E813,'Customer Info'!E813:E1312,1,0)</f>
        <v>#N/A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33</v>
      </c>
      <c r="R821" s="2" t="s">
        <v>26</v>
      </c>
      <c r="S821" s="9">
        <f t="shared" si="64"/>
        <v>0.02</v>
      </c>
    </row>
    <row r="822" spans="1:19" x14ac:dyDescent="0.3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e">
        <f>VLOOKUP('Customer Info'!B814,'Customer Info'!B814:B1313,1,0)</f>
        <v>#N/A</v>
      </c>
      <c r="H822" s="6" t="e">
        <f>VLOOKUP('Customer Info'!C814,'Customer Info'!C814:C1313,1)</f>
        <v>#N/A</v>
      </c>
      <c r="I822" s="6" t="e">
        <f>VLOOKUP('Customer Info'!E814,'Customer Info'!E814:E1313,1,0)</f>
        <v>#N/A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756</v>
      </c>
      <c r="R822" s="2" t="s">
        <v>50</v>
      </c>
      <c r="S822" s="9">
        <f t="shared" si="64"/>
        <v>0.05</v>
      </c>
    </row>
    <row r="823" spans="1:19" x14ac:dyDescent="0.3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e">
        <f>VLOOKUP('Customer Info'!B815,'Customer Info'!B815:B1314,1,0)</f>
        <v>#N/A</v>
      </c>
      <c r="H823" s="6" t="e">
        <f>VLOOKUP('Customer Info'!C815,'Customer Info'!C815:C1314,1)</f>
        <v>#N/A</v>
      </c>
      <c r="I823" s="6" t="e">
        <f>VLOOKUP('Customer Info'!E815,'Customer Info'!E815:E1314,1,0)</f>
        <v>#N/A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22</v>
      </c>
      <c r="R823" s="2" t="s">
        <v>50</v>
      </c>
      <c r="S823" s="9">
        <f t="shared" si="64"/>
        <v>0.02</v>
      </c>
    </row>
    <row r="824" spans="1:19" x14ac:dyDescent="0.3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e">
        <f>VLOOKUP('Customer Info'!B816,'Customer Info'!B816:B1315,1,0)</f>
        <v>#N/A</v>
      </c>
      <c r="H824" s="6" t="e">
        <f>VLOOKUP('Customer Info'!C816,'Customer Info'!C816:C1315,1)</f>
        <v>#N/A</v>
      </c>
      <c r="I824" s="6" t="e">
        <f>VLOOKUP('Customer Info'!E816,'Customer Info'!E816:E1315,1,0)</f>
        <v>#N/A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170</v>
      </c>
      <c r="R824" s="2" t="s">
        <v>28</v>
      </c>
      <c r="S824" s="9">
        <f t="shared" si="64"/>
        <v>0.02</v>
      </c>
    </row>
    <row r="825" spans="1:19" x14ac:dyDescent="0.3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e">
        <f>VLOOKUP('Customer Info'!B817,'Customer Info'!B817:B1316,1,0)</f>
        <v>#N/A</v>
      </c>
      <c r="H825" s="6" t="e">
        <f>VLOOKUP('Customer Info'!C817,'Customer Info'!C817:C1316,1)</f>
        <v>#N/A</v>
      </c>
      <c r="I825" s="6" t="e">
        <f>VLOOKUP('Customer Info'!E817,'Customer Info'!E817:E1316,1,0)</f>
        <v>#N/A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292</v>
      </c>
      <c r="R825" s="2" t="s">
        <v>28</v>
      </c>
      <c r="S825" s="9">
        <f t="shared" si="64"/>
        <v>0.02</v>
      </c>
    </row>
    <row r="826" spans="1:19" x14ac:dyDescent="0.3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e">
        <f>VLOOKUP('Customer Info'!B818,'Customer Info'!B818:B1317,1,0)</f>
        <v>#N/A</v>
      </c>
      <c r="H826" s="6" t="e">
        <f>VLOOKUP('Customer Info'!C818,'Customer Info'!C818:C1317,1)</f>
        <v>#N/A</v>
      </c>
      <c r="I826" s="6" t="e">
        <f>VLOOKUP('Customer Info'!E818,'Customer Info'!E818:E1317,1,0)</f>
        <v>#N/A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972</v>
      </c>
      <c r="R826" s="2" t="s">
        <v>26</v>
      </c>
      <c r="S826" s="9">
        <f t="shared" si="64"/>
        <v>0.05</v>
      </c>
    </row>
    <row r="827" spans="1:19" x14ac:dyDescent="0.3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e">
        <f>VLOOKUP('Customer Info'!B819,'Customer Info'!B819:B1318,1,0)</f>
        <v>#N/A</v>
      </c>
      <c r="H827" s="6" t="e">
        <f>VLOOKUP('Customer Info'!C819,'Customer Info'!C819:C1318,1)</f>
        <v>#N/A</v>
      </c>
      <c r="I827" s="6" t="e">
        <f>VLOOKUP('Customer Info'!E819,'Customer Info'!E819:E1318,1,0)</f>
        <v>#N/A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42</v>
      </c>
      <c r="R827" s="2" t="s">
        <v>28</v>
      </c>
      <c r="S827" s="9">
        <f t="shared" si="64"/>
        <v>0.02</v>
      </c>
    </row>
    <row r="828" spans="1:19" x14ac:dyDescent="0.3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e">
        <f>VLOOKUP('Customer Info'!B820,'Customer Info'!B820:B1319,1,0)</f>
        <v>#N/A</v>
      </c>
      <c r="H828" s="6" t="e">
        <f>VLOOKUP('Customer Info'!C820,'Customer Info'!C820:C1319,1)</f>
        <v>#N/A</v>
      </c>
      <c r="I828" s="6" t="e">
        <f>VLOOKUP('Customer Info'!E820,'Customer Info'!E820:E1319,1,0)</f>
        <v>#N/A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266</v>
      </c>
      <c r="R828" s="2" t="s">
        <v>50</v>
      </c>
      <c r="S828" s="9">
        <f t="shared" si="64"/>
        <v>0.02</v>
      </c>
    </row>
    <row r="829" spans="1:19" x14ac:dyDescent="0.3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e">
        <f>VLOOKUP('Customer Info'!B821,'Customer Info'!B821:B1320,1,0)</f>
        <v>#N/A</v>
      </c>
      <c r="H829" s="6" t="e">
        <f>VLOOKUP('Customer Info'!C821,'Customer Info'!C821:C1320,1)</f>
        <v>#N/A</v>
      </c>
      <c r="I829" s="6" t="e">
        <f>VLOOKUP('Customer Info'!E821,'Customer Info'!E821:E1320,1,0)</f>
        <v>#N/A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60</v>
      </c>
      <c r="R829" s="2" t="s">
        <v>26</v>
      </c>
      <c r="S829" s="9">
        <f t="shared" si="64"/>
        <v>0.05</v>
      </c>
    </row>
    <row r="830" spans="1:19" x14ac:dyDescent="0.3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e">
        <f>VLOOKUP('Customer Info'!B822,'Customer Info'!B822:B1321,1,0)</f>
        <v>#N/A</v>
      </c>
      <c r="H830" s="6" t="e">
        <f>VLOOKUP('Customer Info'!C822,'Customer Info'!C822:C1321,1)</f>
        <v>#N/A</v>
      </c>
      <c r="I830" s="6" t="e">
        <f>VLOOKUP('Customer Info'!E822,'Customer Info'!E822:E1321,1,0)</f>
        <v>#N/A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266</v>
      </c>
      <c r="R830" s="2" t="s">
        <v>26</v>
      </c>
      <c r="S830" s="9">
        <f t="shared" si="64"/>
        <v>0.02</v>
      </c>
    </row>
    <row r="831" spans="1:19" x14ac:dyDescent="0.3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e">
        <f>VLOOKUP('Customer Info'!B823,'Customer Info'!B823:B1322,1,0)</f>
        <v>#N/A</v>
      </c>
      <c r="H831" s="6" t="e">
        <f>VLOOKUP('Customer Info'!C823,'Customer Info'!C823:C1322,1)</f>
        <v>#N/A</v>
      </c>
      <c r="I831" s="6" t="e">
        <f>VLOOKUP('Customer Info'!E823,'Customer Info'!E823:E1322,1,0)</f>
        <v>#N/A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22</v>
      </c>
      <c r="R831" s="2" t="s">
        <v>56</v>
      </c>
      <c r="S831" s="9">
        <f t="shared" si="64"/>
        <v>0.02</v>
      </c>
    </row>
    <row r="832" spans="1:19" x14ac:dyDescent="0.3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e">
        <f>VLOOKUP('Customer Info'!B824,'Customer Info'!B824:B1323,1,0)</f>
        <v>#N/A</v>
      </c>
      <c r="H832" s="6" t="e">
        <f>VLOOKUP('Customer Info'!C824,'Customer Info'!C824:C1323,1)</f>
        <v>#N/A</v>
      </c>
      <c r="I832" s="6" t="e">
        <f>VLOOKUP('Customer Info'!E824,'Customer Info'!E824:E1323,1,0)</f>
        <v>#N/A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1005</v>
      </c>
      <c r="R832" s="2" t="s">
        <v>28</v>
      </c>
      <c r="S832" s="9">
        <f t="shared" si="64"/>
        <v>0.05</v>
      </c>
    </row>
    <row r="833" spans="1:19" x14ac:dyDescent="0.3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e">
        <f>VLOOKUP('Customer Info'!B825,'Customer Info'!B825:B1324,1,0)</f>
        <v>#N/A</v>
      </c>
      <c r="H833" s="6" t="e">
        <f>VLOOKUP('Customer Info'!C825,'Customer Info'!C825:C1324,1)</f>
        <v>#N/A</v>
      </c>
      <c r="I833" s="6" t="e">
        <f>VLOOKUP('Customer Info'!E825,'Customer Info'!E825:E1324,1,0)</f>
        <v>#N/A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4300</v>
      </c>
      <c r="R833" s="2" t="s">
        <v>56</v>
      </c>
      <c r="S833" s="9">
        <f t="shared" si="64"/>
        <v>7.0000000000000007E-2</v>
      </c>
    </row>
    <row r="834" spans="1:19" x14ac:dyDescent="0.3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e">
        <f>VLOOKUP('Customer Info'!B826,'Customer Info'!B826:B1325,1,0)</f>
        <v>#N/A</v>
      </c>
      <c r="H834" s="6" t="e">
        <f>VLOOKUP('Customer Info'!C826,'Customer Info'!C826:C1325,1)</f>
        <v>#N/A</v>
      </c>
      <c r="I834" s="6" t="e">
        <f>VLOOKUP('Customer Info'!E826,'Customer Info'!E826:E1325,1,0)</f>
        <v>#N/A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1292</v>
      </c>
      <c r="R834" s="2" t="s">
        <v>28</v>
      </c>
      <c r="S834" s="9">
        <f t="shared" si="64"/>
        <v>0.05</v>
      </c>
    </row>
    <row r="835" spans="1:19" x14ac:dyDescent="0.3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e">
        <f>VLOOKUP('Customer Info'!B827,'Customer Info'!B827:B1326,1,0)</f>
        <v>#N/A</v>
      </c>
      <c r="H835" s="6" t="e">
        <f>VLOOKUP('Customer Info'!C827,'Customer Info'!C827:C1326,1)</f>
        <v>#N/A</v>
      </c>
      <c r="I835" s="6" t="e">
        <f>VLOOKUP('Customer Info'!E827,'Customer Info'!E827:E1326,1,0)</f>
        <v>#N/A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91</v>
      </c>
      <c r="R835" s="2" t="s">
        <v>50</v>
      </c>
      <c r="S835" s="9">
        <f t="shared" si="64"/>
        <v>0.02</v>
      </c>
    </row>
    <row r="836" spans="1:19" x14ac:dyDescent="0.3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e">
        <f>VLOOKUP('Customer Info'!B828,'Customer Info'!B828:B1327,1,0)</f>
        <v>#N/A</v>
      </c>
      <c r="H836" s="6" t="e">
        <f>VLOOKUP('Customer Info'!C828,'Customer Info'!C828:C1327,1)</f>
        <v>#N/A</v>
      </c>
      <c r="I836" s="6" t="e">
        <f>VLOOKUP('Customer Info'!E828,'Customer Info'!E828:E1327,1,0)</f>
        <v>#N/A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30</v>
      </c>
      <c r="R836" s="2" t="s">
        <v>28</v>
      </c>
      <c r="S836" s="9">
        <f t="shared" si="64"/>
        <v>0.02</v>
      </c>
    </row>
    <row r="837" spans="1:19" x14ac:dyDescent="0.3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e">
        <f>VLOOKUP('Customer Info'!B829,'Customer Info'!B829:B1328,1,0)</f>
        <v>#N/A</v>
      </c>
      <c r="H837" s="6" t="e">
        <f>VLOOKUP('Customer Info'!C829,'Customer Info'!C829:C1328,1)</f>
        <v>#N/A</v>
      </c>
      <c r="I837" s="6" t="e">
        <f>VLOOKUP('Customer Info'!E829,'Customer Info'!E829:E1328,1,0)</f>
        <v>#N/A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474</v>
      </c>
      <c r="R837" s="2" t="s">
        <v>28</v>
      </c>
      <c r="S837" s="9">
        <f t="shared" si="64"/>
        <v>0.05</v>
      </c>
    </row>
    <row r="838" spans="1:19" x14ac:dyDescent="0.3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e">
        <f>VLOOKUP('Customer Info'!B830,'Customer Info'!B830:B1329,1,0)</f>
        <v>#N/A</v>
      </c>
      <c r="H838" s="6" t="e">
        <f>VLOOKUP('Customer Info'!C830,'Customer Info'!C830:C1329,1)</f>
        <v>#N/A</v>
      </c>
      <c r="I838" s="6" t="e">
        <f>VLOOKUP('Customer Info'!E830,'Customer Info'!E830:E1329,1,0)</f>
        <v>#N/A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448</v>
      </c>
      <c r="R838" s="2" t="s">
        <v>28</v>
      </c>
      <c r="S838" s="9">
        <f t="shared" si="64"/>
        <v>0.05</v>
      </c>
    </row>
    <row r="839" spans="1:19" x14ac:dyDescent="0.3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e">
        <f>VLOOKUP('Customer Info'!B831,'Customer Info'!B831:B1330,1,0)</f>
        <v>#N/A</v>
      </c>
      <c r="H839" s="6" t="e">
        <f>VLOOKUP('Customer Info'!C831,'Customer Info'!C831:C1330,1)</f>
        <v>#N/A</v>
      </c>
      <c r="I839" s="6" t="e">
        <f>VLOOKUP('Customer Info'!E831,'Customer Info'!E831:E1330,1,0)</f>
        <v>#N/A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418</v>
      </c>
      <c r="R839" s="2" t="s">
        <v>28</v>
      </c>
      <c r="S839" s="9">
        <f t="shared" si="64"/>
        <v>0.05</v>
      </c>
    </row>
    <row r="840" spans="1:19" x14ac:dyDescent="0.3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e">
        <f>VLOOKUP('Customer Info'!B832,'Customer Info'!B832:B1331,1,0)</f>
        <v>#N/A</v>
      </c>
      <c r="H840" s="6" t="e">
        <f>VLOOKUP('Customer Info'!C832,'Customer Info'!C832:C1331,1)</f>
        <v>#N/A</v>
      </c>
      <c r="I840" s="6" t="e">
        <f>VLOOKUP('Customer Info'!E832,'Customer Info'!E832:E1331,1,0)</f>
        <v>#N/A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408</v>
      </c>
      <c r="R840" s="2" t="s">
        <v>28</v>
      </c>
      <c r="S840" s="9">
        <f t="shared" si="64"/>
        <v>0.05</v>
      </c>
    </row>
    <row r="841" spans="1:19" x14ac:dyDescent="0.3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e">
        <f>VLOOKUP('Customer Info'!B833,'Customer Info'!B833:B1332,1,0)</f>
        <v>#N/A</v>
      </c>
      <c r="H841" s="6" t="e">
        <f>VLOOKUP('Customer Info'!C833,'Customer Info'!C833:C1332,1)</f>
        <v>#N/A</v>
      </c>
      <c r="I841" s="6" t="e">
        <f>VLOOKUP('Customer Info'!E833,'Customer Info'!E833:E1332,1,0)</f>
        <v>#N/A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1696</v>
      </c>
      <c r="R841" s="2" t="s">
        <v>56</v>
      </c>
      <c r="S841" s="9">
        <f t="shared" si="64"/>
        <v>7.0000000000000007E-2</v>
      </c>
    </row>
    <row r="842" spans="1:19" x14ac:dyDescent="0.3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e">
        <f>VLOOKUP('Customer Info'!B834,'Customer Info'!B834:B1333,1,0)</f>
        <v>#N/A</v>
      </c>
      <c r="H842" s="6" t="e">
        <f>VLOOKUP('Customer Info'!C834,'Customer Info'!C834:C1333,1)</f>
        <v>#N/A</v>
      </c>
      <c r="I842" s="6" t="e">
        <f>VLOOKUP('Customer Info'!E834,'Customer Info'!E834:E1333,1,0)</f>
        <v>#N/A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233</v>
      </c>
      <c r="R842" s="2" t="s">
        <v>50</v>
      </c>
      <c r="S842" s="9">
        <f t="shared" si="64"/>
        <v>0.02</v>
      </c>
    </row>
    <row r="843" spans="1:19" x14ac:dyDescent="0.3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e">
        <f>VLOOKUP('Customer Info'!B835,'Customer Info'!B835:B1334,1,0)</f>
        <v>#N/A</v>
      </c>
      <c r="H843" s="6" t="e">
        <f>VLOOKUP('Customer Info'!C835,'Customer Info'!C835:C1334,1)</f>
        <v>#N/A</v>
      </c>
      <c r="I843" s="6" t="e">
        <f>VLOOKUP('Customer Info'!E835,'Customer Info'!E835:E1334,1,0)</f>
        <v>#N/A</v>
      </c>
      <c r="J843" s="2">
        <v>288</v>
      </c>
      <c r="K843" s="2">
        <v>264</v>
      </c>
      <c r="L843" s="2">
        <v>3</v>
      </c>
      <c r="M843" s="7">
        <f t="shared" ref="M843:M906" si="65">(K843*L843)</f>
        <v>792</v>
      </c>
      <c r="N843" s="7">
        <f t="shared" ref="N843:N906" si="66">(J843*L843)</f>
        <v>864</v>
      </c>
      <c r="O843" s="2">
        <v>65</v>
      </c>
      <c r="P843" s="8">
        <f t="shared" ref="P843:P906" si="67">(N843+O843)</f>
        <v>929</v>
      </c>
      <c r="Q843" s="8">
        <f t="shared" ref="Q843:Q906" si="68">(N843-M843)</f>
        <v>72</v>
      </c>
      <c r="R843" s="2" t="s">
        <v>28</v>
      </c>
      <c r="S843" s="9">
        <f t="shared" ref="S843:S906" si="69">_xlfn.IFS(P843&gt;250000,0.15,P843&gt;100000,0.12,P843&gt;50000,0.09,P843&gt;25000,0.07,P843&gt;5000,0.05,
 TRUE,0.02)</f>
        <v>0.02</v>
      </c>
    </row>
    <row r="844" spans="1:19" x14ac:dyDescent="0.3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e">
        <f>VLOOKUP('Customer Info'!B836,'Customer Info'!B836:B1335,1,0)</f>
        <v>#N/A</v>
      </c>
      <c r="H844" s="6" t="e">
        <f>VLOOKUP('Customer Info'!C836,'Customer Info'!C836:C1335,1)</f>
        <v>#N/A</v>
      </c>
      <c r="I844" s="6" t="e">
        <f>VLOOKUP('Customer Info'!E836,'Customer Info'!E836:E1335,1,0)</f>
        <v>#N/A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990</v>
      </c>
      <c r="R844" s="2" t="s">
        <v>28</v>
      </c>
      <c r="S844" s="9">
        <f t="shared" si="69"/>
        <v>0.05</v>
      </c>
    </row>
    <row r="845" spans="1:19" x14ac:dyDescent="0.3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e">
        <f>VLOOKUP('Customer Info'!B837,'Customer Info'!B837:B1336,1,0)</f>
        <v>#N/A</v>
      </c>
      <c r="H845" s="6" t="e">
        <f>VLOOKUP('Customer Info'!C837,'Customer Info'!C837:C1336,1)</f>
        <v>#N/A</v>
      </c>
      <c r="I845" s="6" t="e">
        <f>VLOOKUP('Customer Info'!E837,'Customer Info'!E837:E1336,1,0)</f>
        <v>#N/A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234</v>
      </c>
      <c r="R845" s="2" t="s">
        <v>28</v>
      </c>
      <c r="S845" s="9">
        <f t="shared" si="69"/>
        <v>0.02</v>
      </c>
    </row>
    <row r="846" spans="1:19" x14ac:dyDescent="0.3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e">
        <f>VLOOKUP('Customer Info'!B838,'Customer Info'!B838:B1337,1,0)</f>
        <v>#N/A</v>
      </c>
      <c r="H846" s="6" t="e">
        <f>VLOOKUP('Customer Info'!C838,'Customer Info'!C838:C1337,1)</f>
        <v>#N/A</v>
      </c>
      <c r="I846" s="6" t="e">
        <f>VLOOKUP('Customer Info'!E838,'Customer Info'!E838:E1337,1,0)</f>
        <v>#N/A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552</v>
      </c>
      <c r="R846" s="2" t="s">
        <v>50</v>
      </c>
      <c r="S846" s="9">
        <f t="shared" si="69"/>
        <v>0.05</v>
      </c>
    </row>
    <row r="847" spans="1:19" x14ac:dyDescent="0.3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e">
        <f>VLOOKUP('Customer Info'!B839,'Customer Info'!B839:B1338,1,0)</f>
        <v>#N/A</v>
      </c>
      <c r="H847" s="6" t="e">
        <f>VLOOKUP('Customer Info'!C839,'Customer Info'!C839:C1338,1)</f>
        <v>#N/A</v>
      </c>
      <c r="I847" s="6" t="e">
        <f>VLOOKUP('Customer Info'!E839,'Customer Info'!E839:E1338,1,0)</f>
        <v>#N/A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522</v>
      </c>
      <c r="R847" s="2" t="s">
        <v>28</v>
      </c>
      <c r="S847" s="9">
        <f t="shared" si="69"/>
        <v>0.09</v>
      </c>
    </row>
    <row r="848" spans="1:19" x14ac:dyDescent="0.3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e">
        <f>VLOOKUP('Customer Info'!B840,'Customer Info'!B840:B1339,1,0)</f>
        <v>#N/A</v>
      </c>
      <c r="H848" s="6" t="e">
        <f>VLOOKUP('Customer Info'!C840,'Customer Info'!C840:C1339,1)</f>
        <v>#N/A</v>
      </c>
      <c r="I848" s="6" t="e">
        <f>VLOOKUP('Customer Info'!E840,'Customer Info'!E840:E1339,1,0)</f>
        <v>#N/A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73</v>
      </c>
      <c r="R848" s="2" t="s">
        <v>28</v>
      </c>
      <c r="S848" s="9">
        <f t="shared" si="69"/>
        <v>0.02</v>
      </c>
    </row>
    <row r="849" spans="1:19" x14ac:dyDescent="0.3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e">
        <f>VLOOKUP('Customer Info'!B841,'Customer Info'!B841:B1340,1,0)</f>
        <v>#N/A</v>
      </c>
      <c r="H849" s="6" t="e">
        <f>VLOOKUP('Customer Info'!C841,'Customer Info'!C841:C1340,1)</f>
        <v>#N/A</v>
      </c>
      <c r="I849" s="6" t="e">
        <f>VLOOKUP('Customer Info'!E841,'Customer Info'!E841:E1340,1,0)</f>
        <v>#N/A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1336</v>
      </c>
      <c r="R849" s="2" t="s">
        <v>50</v>
      </c>
      <c r="S849" s="9">
        <f t="shared" si="69"/>
        <v>0.05</v>
      </c>
    </row>
    <row r="850" spans="1:19" x14ac:dyDescent="0.3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e">
        <f>VLOOKUP('Customer Info'!B842,'Customer Info'!B842:B1341,1,0)</f>
        <v>#N/A</v>
      </c>
      <c r="H850" s="6" t="e">
        <f>VLOOKUP('Customer Info'!C842,'Customer Info'!C842:C1341,1)</f>
        <v>#N/A</v>
      </c>
      <c r="I850" s="6" t="e">
        <f>VLOOKUP('Customer Info'!E842,'Customer Info'!E842:E1341,1,0)</f>
        <v>#N/A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486</v>
      </c>
      <c r="R850" s="2" t="s">
        <v>28</v>
      </c>
      <c r="S850" s="9">
        <f t="shared" si="69"/>
        <v>0.02</v>
      </c>
    </row>
    <row r="851" spans="1:19" x14ac:dyDescent="0.3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e">
        <f>VLOOKUP('Customer Info'!B843,'Customer Info'!B843:B1342,1,0)</f>
        <v>#N/A</v>
      </c>
      <c r="H851" s="6" t="e">
        <f>VLOOKUP('Customer Info'!C843,'Customer Info'!C843:C1342,1)</f>
        <v>#N/A</v>
      </c>
      <c r="I851" s="6" t="e">
        <f>VLOOKUP('Customer Info'!E843,'Customer Info'!E843:E1342,1,0)</f>
        <v>#N/A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326</v>
      </c>
      <c r="R851" s="2" t="s">
        <v>28</v>
      </c>
      <c r="S851" s="9">
        <f t="shared" si="69"/>
        <v>0.02</v>
      </c>
    </row>
    <row r="852" spans="1:19" x14ac:dyDescent="0.3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e">
        <f>VLOOKUP('Customer Info'!B844,'Customer Info'!B844:B1343,1,0)</f>
        <v>#N/A</v>
      </c>
      <c r="H852" s="6" t="e">
        <f>VLOOKUP('Customer Info'!C844,'Customer Info'!C844:C1343,1)</f>
        <v>#N/A</v>
      </c>
      <c r="I852" s="6" t="e">
        <f>VLOOKUP('Customer Info'!E844,'Customer Info'!E844:E1343,1,0)</f>
        <v>#N/A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18</v>
      </c>
      <c r="R852" s="2" t="s">
        <v>28</v>
      </c>
      <c r="S852" s="9">
        <f t="shared" si="69"/>
        <v>0.02</v>
      </c>
    </row>
    <row r="853" spans="1:19" x14ac:dyDescent="0.3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e">
        <f>VLOOKUP('Customer Info'!B845,'Customer Info'!B845:B1344,1,0)</f>
        <v>#N/A</v>
      </c>
      <c r="H853" s="6" t="e">
        <f>VLOOKUP('Customer Info'!C845,'Customer Info'!C845:C1344,1)</f>
        <v>#N/A</v>
      </c>
      <c r="I853" s="6" t="e">
        <f>VLOOKUP('Customer Info'!E845,'Customer Info'!E845:E1344,1,0)</f>
        <v>#N/A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51</v>
      </c>
      <c r="R853" s="2" t="s">
        <v>28</v>
      </c>
      <c r="S853" s="9">
        <f t="shared" si="69"/>
        <v>0.02</v>
      </c>
    </row>
    <row r="854" spans="1:19" x14ac:dyDescent="0.3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e">
        <f>VLOOKUP('Customer Info'!B846,'Customer Info'!B846:B1345,1,0)</f>
        <v>#N/A</v>
      </c>
      <c r="H854" s="6" t="e">
        <f>VLOOKUP('Customer Info'!C846,'Customer Info'!C846:C1345,1)</f>
        <v>#N/A</v>
      </c>
      <c r="I854" s="6" t="e">
        <f>VLOOKUP('Customer Info'!E846,'Customer Info'!E846:E1345,1,0)</f>
        <v>#N/A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288</v>
      </c>
      <c r="R854" s="2" t="s">
        <v>28</v>
      </c>
      <c r="S854" s="9">
        <f t="shared" si="69"/>
        <v>0.02</v>
      </c>
    </row>
    <row r="855" spans="1:19" x14ac:dyDescent="0.3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e">
        <f>VLOOKUP('Customer Info'!B847,'Customer Info'!B847:B1346,1,0)</f>
        <v>#N/A</v>
      </c>
      <c r="H855" s="6" t="e">
        <f>VLOOKUP('Customer Info'!C847,'Customer Info'!C847:C1346,1)</f>
        <v>#N/A</v>
      </c>
      <c r="I855" s="6" t="e">
        <f>VLOOKUP('Customer Info'!E847,'Customer Info'!E847:E1346,1,0)</f>
        <v>#N/A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951</v>
      </c>
      <c r="R855" s="2" t="s">
        <v>50</v>
      </c>
      <c r="S855" s="9">
        <f t="shared" si="69"/>
        <v>0.05</v>
      </c>
    </row>
    <row r="856" spans="1:19" x14ac:dyDescent="0.3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e">
        <f>VLOOKUP('Customer Info'!B848,'Customer Info'!B848:B1347,1,0)</f>
        <v>#N/A</v>
      </c>
      <c r="H856" s="6" t="e">
        <f>VLOOKUP('Customer Info'!C848,'Customer Info'!C848:C1347,1)</f>
        <v>#N/A</v>
      </c>
      <c r="I856" s="6" t="e">
        <f>VLOOKUP('Customer Info'!E848,'Customer Info'!E848:E1347,1,0)</f>
        <v>#N/A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19</v>
      </c>
      <c r="R856" s="2" t="s">
        <v>28</v>
      </c>
      <c r="S856" s="9">
        <f t="shared" si="69"/>
        <v>0.02</v>
      </c>
    </row>
    <row r="857" spans="1:19" x14ac:dyDescent="0.3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e">
        <f>VLOOKUP('Customer Info'!B849,'Customer Info'!B849:B1348,1,0)</f>
        <v>#N/A</v>
      </c>
      <c r="H857" s="6" t="e">
        <f>VLOOKUP('Customer Info'!C849,'Customer Info'!C849:C1348,1)</f>
        <v>#N/A</v>
      </c>
      <c r="I857" s="6" t="e">
        <f>VLOOKUP('Customer Info'!E849,'Customer Info'!E849:E1348,1,0)</f>
        <v>#N/A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1215</v>
      </c>
      <c r="R857" s="2" t="s">
        <v>28</v>
      </c>
      <c r="S857" s="9">
        <f t="shared" si="69"/>
        <v>0.05</v>
      </c>
    </row>
    <row r="858" spans="1:19" x14ac:dyDescent="0.3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e">
        <f>VLOOKUP('Customer Info'!B850,'Customer Info'!B850:B1349,1,0)</f>
        <v>#N/A</v>
      </c>
      <c r="H858" s="6" t="e">
        <f>VLOOKUP('Customer Info'!C850,'Customer Info'!C850:C1349,1)</f>
        <v>#N/A</v>
      </c>
      <c r="I858" s="6" t="e">
        <f>VLOOKUP('Customer Info'!E850,'Customer Info'!E850:E1349,1,0)</f>
        <v>#N/A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28</v>
      </c>
      <c r="R858" s="2" t="s">
        <v>28</v>
      </c>
      <c r="S858" s="9">
        <f t="shared" si="69"/>
        <v>0.02</v>
      </c>
    </row>
    <row r="859" spans="1:19" x14ac:dyDescent="0.3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e">
        <f>VLOOKUP('Customer Info'!B851,'Customer Info'!B851:B1350,1,0)</f>
        <v>#N/A</v>
      </c>
      <c r="H859" s="6" t="e">
        <f>VLOOKUP('Customer Info'!C851,'Customer Info'!C851:C1350,1)</f>
        <v>#N/A</v>
      </c>
      <c r="I859" s="6" t="e">
        <f>VLOOKUP('Customer Info'!E851,'Customer Info'!E851:E1350,1,0)</f>
        <v>#N/A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12</v>
      </c>
      <c r="R859" s="2" t="s">
        <v>28</v>
      </c>
      <c r="S859" s="9">
        <f t="shared" si="69"/>
        <v>0.02</v>
      </c>
    </row>
    <row r="860" spans="1:19" x14ac:dyDescent="0.3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e">
        <f>VLOOKUP('Customer Info'!B852,'Customer Info'!B852:B1351,1,0)</f>
        <v>#N/A</v>
      </c>
      <c r="H860" s="6" t="e">
        <f>VLOOKUP('Customer Info'!C852,'Customer Info'!C852:C1351,1)</f>
        <v>#N/A</v>
      </c>
      <c r="I860" s="6" t="e">
        <f>VLOOKUP('Customer Info'!E852,'Customer Info'!E852:E1351,1,0)</f>
        <v>#N/A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336</v>
      </c>
      <c r="R860" s="2" t="s">
        <v>28</v>
      </c>
      <c r="S860" s="9">
        <f t="shared" si="69"/>
        <v>0.05</v>
      </c>
    </row>
    <row r="861" spans="1:19" x14ac:dyDescent="0.3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e">
        <f>VLOOKUP('Customer Info'!B853,'Customer Info'!B853:B1352,1,0)</f>
        <v>#N/A</v>
      </c>
      <c r="H861" s="6" t="e">
        <f>VLOOKUP('Customer Info'!C853,'Customer Info'!C853:C1352,1)</f>
        <v>#N/A</v>
      </c>
      <c r="I861" s="6" t="e">
        <f>VLOOKUP('Customer Info'!E853,'Customer Info'!E853:E1352,1,0)</f>
        <v>#N/A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80</v>
      </c>
      <c r="R861" s="2" t="s">
        <v>50</v>
      </c>
      <c r="S861" s="9">
        <f t="shared" si="69"/>
        <v>0.02</v>
      </c>
    </row>
    <row r="862" spans="1:19" x14ac:dyDescent="0.3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e">
        <f>VLOOKUP('Customer Info'!B854,'Customer Info'!B854:B1353,1,0)</f>
        <v>#N/A</v>
      </c>
      <c r="H862" s="6" t="e">
        <f>VLOOKUP('Customer Info'!C854,'Customer Info'!C854:C1353,1)</f>
        <v>#N/A</v>
      </c>
      <c r="I862" s="6" t="e">
        <f>VLOOKUP('Customer Info'!E854,'Customer Info'!E854:E1353,1,0)</f>
        <v>#N/A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216</v>
      </c>
      <c r="R862" s="2" t="s">
        <v>28</v>
      </c>
      <c r="S862" s="9">
        <f t="shared" si="69"/>
        <v>0.05</v>
      </c>
    </row>
    <row r="863" spans="1:19" x14ac:dyDescent="0.3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e">
        <f>VLOOKUP('Customer Info'!B855,'Customer Info'!B855:B1354,1,0)</f>
        <v>#N/A</v>
      </c>
      <c r="H863" s="6" t="e">
        <f>VLOOKUP('Customer Info'!C855,'Customer Info'!C855:C1354,1)</f>
        <v>#N/A</v>
      </c>
      <c r="I863" s="6" t="e">
        <f>VLOOKUP('Customer Info'!E855,'Customer Info'!E855:E1354,1,0)</f>
        <v>#N/A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8</v>
      </c>
      <c r="R863" s="2" t="s">
        <v>26</v>
      </c>
      <c r="S863" s="9">
        <f t="shared" si="69"/>
        <v>0.02</v>
      </c>
    </row>
    <row r="864" spans="1:19" x14ac:dyDescent="0.3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e">
        <f>VLOOKUP('Customer Info'!B856,'Customer Info'!B856:B1355,1,0)</f>
        <v>#N/A</v>
      </c>
      <c r="H864" s="6" t="e">
        <f>VLOOKUP('Customer Info'!C856,'Customer Info'!C856:C1355,1)</f>
        <v>#N/A</v>
      </c>
      <c r="I864" s="6" t="e">
        <f>VLOOKUP('Customer Info'!E856,'Customer Info'!E856:E1355,1,0)</f>
        <v>#N/A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778</v>
      </c>
      <c r="R864" s="2" t="s">
        <v>50</v>
      </c>
      <c r="S864" s="9">
        <f t="shared" si="69"/>
        <v>0.05</v>
      </c>
    </row>
    <row r="865" spans="1:19" x14ac:dyDescent="0.3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e">
        <f>VLOOKUP('Customer Info'!B857,'Customer Info'!B857:B1356,1,0)</f>
        <v>#N/A</v>
      </c>
      <c r="H865" s="6" t="e">
        <f>VLOOKUP('Customer Info'!C857,'Customer Info'!C857:C1356,1)</f>
        <v>#N/A</v>
      </c>
      <c r="I865" s="6" t="e">
        <f>VLOOKUP('Customer Info'!E857,'Customer Info'!E857:E1356,1,0)</f>
        <v>#N/A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49</v>
      </c>
      <c r="R865" s="2" t="s">
        <v>28</v>
      </c>
      <c r="S865" s="9">
        <f t="shared" si="69"/>
        <v>0.02</v>
      </c>
    </row>
    <row r="866" spans="1:19" x14ac:dyDescent="0.3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e">
        <f>VLOOKUP('Customer Info'!B858,'Customer Info'!B858:B1357,1,0)</f>
        <v>#N/A</v>
      </c>
      <c r="H866" s="6" t="e">
        <f>VLOOKUP('Customer Info'!C858,'Customer Info'!C858:C1357,1)</f>
        <v>#N/A</v>
      </c>
      <c r="I866" s="6" t="e">
        <f>VLOOKUP('Customer Info'!E858,'Customer Info'!E858:E1357,1,0)</f>
        <v>#N/A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414</v>
      </c>
      <c r="R866" s="2" t="s">
        <v>50</v>
      </c>
      <c r="S866" s="9">
        <f t="shared" si="69"/>
        <v>0.02</v>
      </c>
    </row>
    <row r="867" spans="1:19" x14ac:dyDescent="0.3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e">
        <f>VLOOKUP('Customer Info'!B859,'Customer Info'!B859:B1358,1,0)</f>
        <v>#N/A</v>
      </c>
      <c r="H867" s="6" t="e">
        <f>VLOOKUP('Customer Info'!C859,'Customer Info'!C859:C1358,1)</f>
        <v>#N/A</v>
      </c>
      <c r="I867" s="6" t="e">
        <f>VLOOKUP('Customer Info'!E859,'Customer Info'!E859:E1358,1,0)</f>
        <v>#N/A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158</v>
      </c>
      <c r="R867" s="2" t="s">
        <v>28</v>
      </c>
      <c r="S867" s="9">
        <f t="shared" si="69"/>
        <v>0.02</v>
      </c>
    </row>
    <row r="868" spans="1:19" x14ac:dyDescent="0.3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e">
        <f>VLOOKUP('Customer Info'!B860,'Customer Info'!B860:B1359,1,0)</f>
        <v>#N/A</v>
      </c>
      <c r="H868" s="6" t="e">
        <f>VLOOKUP('Customer Info'!C860,'Customer Info'!C860:C1359,1)</f>
        <v>#N/A</v>
      </c>
      <c r="I868" s="6" t="e">
        <f>VLOOKUP('Customer Info'!E860,'Customer Info'!E860:E1359,1,0)</f>
        <v>#N/A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331</v>
      </c>
      <c r="R868" s="2" t="s">
        <v>28</v>
      </c>
      <c r="S868" s="9">
        <f t="shared" si="69"/>
        <v>0.05</v>
      </c>
    </row>
    <row r="869" spans="1:19" x14ac:dyDescent="0.3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e">
        <f>VLOOKUP('Customer Info'!B861,'Customer Info'!B861:B1360,1,0)</f>
        <v>#N/A</v>
      </c>
      <c r="H869" s="6" t="e">
        <f>VLOOKUP('Customer Info'!C861,'Customer Info'!C861:C1360,1)</f>
        <v>#N/A</v>
      </c>
      <c r="I869" s="6" t="e">
        <f>VLOOKUP('Customer Info'!E861,'Customer Info'!E861:E1360,1,0)</f>
        <v>#N/A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90</v>
      </c>
      <c r="R869" s="2" t="s">
        <v>50</v>
      </c>
      <c r="S869" s="9">
        <f t="shared" si="69"/>
        <v>0.02</v>
      </c>
    </row>
    <row r="870" spans="1:19" x14ac:dyDescent="0.3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e">
        <f>VLOOKUP('Customer Info'!B862,'Customer Info'!B862:B1361,1,0)</f>
        <v>#N/A</v>
      </c>
      <c r="H870" s="6" t="e">
        <f>VLOOKUP('Customer Info'!C862,'Customer Info'!C862:C1361,1)</f>
        <v>#N/A</v>
      </c>
      <c r="I870" s="6" t="e">
        <f>VLOOKUP('Customer Info'!E862,'Customer Info'!E862:E1361,1,0)</f>
        <v>#N/A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28</v>
      </c>
      <c r="R870" s="2" t="s">
        <v>50</v>
      </c>
      <c r="S870" s="9">
        <f t="shared" si="69"/>
        <v>0.02</v>
      </c>
    </row>
    <row r="871" spans="1:19" x14ac:dyDescent="0.3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e">
        <f>VLOOKUP('Customer Info'!B863,'Customer Info'!B863:B1362,1,0)</f>
        <v>#N/A</v>
      </c>
      <c r="H871" s="6" t="e">
        <f>VLOOKUP('Customer Info'!C863,'Customer Info'!C863:C1362,1)</f>
        <v>#N/A</v>
      </c>
      <c r="I871" s="6" t="e">
        <f>VLOOKUP('Customer Info'!E863,'Customer Info'!E863:E1362,1,0)</f>
        <v>#N/A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5960</v>
      </c>
      <c r="R871" s="2" t="s">
        <v>28</v>
      </c>
      <c r="S871" s="9">
        <f t="shared" si="69"/>
        <v>0.12</v>
      </c>
    </row>
    <row r="872" spans="1:19" x14ac:dyDescent="0.3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e">
        <f>VLOOKUP('Customer Info'!B864,'Customer Info'!B864:B1363,1,0)</f>
        <v>#N/A</v>
      </c>
      <c r="H872" s="6" t="e">
        <f>VLOOKUP('Customer Info'!C864,'Customer Info'!C864:C1363,1)</f>
        <v>#N/A</v>
      </c>
      <c r="I872" s="6" t="e">
        <f>VLOOKUP('Customer Info'!E864,'Customer Info'!E864:E1363,1,0)</f>
        <v>#N/A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240</v>
      </c>
      <c r="R872" s="2" t="s">
        <v>26</v>
      </c>
      <c r="S872" s="9">
        <f t="shared" si="69"/>
        <v>0.02</v>
      </c>
    </row>
    <row r="873" spans="1:19" x14ac:dyDescent="0.3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e">
        <f>VLOOKUP('Customer Info'!B865,'Customer Info'!B865:B1364,1,0)</f>
        <v>#N/A</v>
      </c>
      <c r="H873" s="6" t="e">
        <f>VLOOKUP('Customer Info'!C865,'Customer Info'!C865:C1364,1)</f>
        <v>#N/A</v>
      </c>
      <c r="I873" s="6" t="e">
        <f>VLOOKUP('Customer Info'!E865,'Customer Info'!E865:E1364,1,0)</f>
        <v>#N/A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684</v>
      </c>
      <c r="R873" s="2" t="s">
        <v>26</v>
      </c>
      <c r="S873" s="9">
        <f t="shared" si="69"/>
        <v>0.05</v>
      </c>
    </row>
    <row r="874" spans="1:19" x14ac:dyDescent="0.3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e">
        <f>VLOOKUP('Customer Info'!B866,'Customer Info'!B866:B1365,1,0)</f>
        <v>#N/A</v>
      </c>
      <c r="H874" s="6" t="e">
        <f>VLOOKUP('Customer Info'!C866,'Customer Info'!C866:C1365,1)</f>
        <v>#N/A</v>
      </c>
      <c r="I874" s="6" t="e">
        <f>VLOOKUP('Customer Info'!E866,'Customer Info'!E866:E1365,1,0)</f>
        <v>#N/A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258</v>
      </c>
      <c r="R874" s="2" t="s">
        <v>28</v>
      </c>
      <c r="S874" s="9">
        <f t="shared" si="69"/>
        <v>0.02</v>
      </c>
    </row>
    <row r="875" spans="1:19" x14ac:dyDescent="0.3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e">
        <f>VLOOKUP('Customer Info'!B867,'Customer Info'!B867:B1366,1,0)</f>
        <v>#N/A</v>
      </c>
      <c r="H875" s="6" t="e">
        <f>VLOOKUP('Customer Info'!C867,'Customer Info'!C867:C1366,1)</f>
        <v>#N/A</v>
      </c>
      <c r="I875" s="6" t="e">
        <f>VLOOKUP('Customer Info'!E867,'Customer Info'!E867:E1366,1,0)</f>
        <v>#N/A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22</v>
      </c>
      <c r="R875" s="2" t="s">
        <v>28</v>
      </c>
      <c r="S875" s="9">
        <f t="shared" si="69"/>
        <v>0.02</v>
      </c>
    </row>
    <row r="876" spans="1:19" x14ac:dyDescent="0.3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e">
        <f>VLOOKUP('Customer Info'!B868,'Customer Info'!B868:B1367,1,0)</f>
        <v>#N/A</v>
      </c>
      <c r="H876" s="6" t="e">
        <f>VLOOKUP('Customer Info'!C868,'Customer Info'!C868:C1367,1)</f>
        <v>#N/A</v>
      </c>
      <c r="I876" s="6" t="e">
        <f>VLOOKUP('Customer Info'!E868,'Customer Info'!E868:E1367,1,0)</f>
        <v>#N/A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6328</v>
      </c>
      <c r="R876" s="2" t="s">
        <v>28</v>
      </c>
      <c r="S876" s="9">
        <f t="shared" si="69"/>
        <v>0.09</v>
      </c>
    </row>
    <row r="877" spans="1:19" x14ac:dyDescent="0.3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e">
        <f>VLOOKUP('Customer Info'!B869,'Customer Info'!B869:B1368,1,0)</f>
        <v>#N/A</v>
      </c>
      <c r="H877" s="6" t="e">
        <f>VLOOKUP('Customer Info'!C869,'Customer Info'!C869:C1368,1)</f>
        <v>#N/A</v>
      </c>
      <c r="I877" s="6" t="e">
        <f>VLOOKUP('Customer Info'!E869,'Customer Info'!E869:E1368,1,0)</f>
        <v>#N/A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30</v>
      </c>
      <c r="R877" s="2" t="s">
        <v>50</v>
      </c>
      <c r="S877" s="9">
        <f t="shared" si="69"/>
        <v>0.02</v>
      </c>
    </row>
    <row r="878" spans="1:19" x14ac:dyDescent="0.3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e">
        <f>VLOOKUP('Customer Info'!B870,'Customer Info'!B870:B1369,1,0)</f>
        <v>#N/A</v>
      </c>
      <c r="H878" s="6" t="e">
        <f>VLOOKUP('Customer Info'!C870,'Customer Info'!C870:C1369,1)</f>
        <v>#N/A</v>
      </c>
      <c r="I878" s="6" t="e">
        <f>VLOOKUP('Customer Info'!E870,'Customer Info'!E870:E1369,1,0)</f>
        <v>#N/A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90</v>
      </c>
      <c r="R878" s="2" t="s">
        <v>50</v>
      </c>
      <c r="S878" s="9">
        <f t="shared" si="69"/>
        <v>0.02</v>
      </c>
    </row>
    <row r="879" spans="1:19" x14ac:dyDescent="0.3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e">
        <f>VLOOKUP('Customer Info'!B871,'Customer Info'!B871:B1370,1,0)</f>
        <v>#N/A</v>
      </c>
      <c r="H879" s="6" t="e">
        <f>VLOOKUP('Customer Info'!C871,'Customer Info'!C871:C1370,1)</f>
        <v>#N/A</v>
      </c>
      <c r="I879" s="6" t="e">
        <f>VLOOKUP('Customer Info'!E871,'Customer Info'!E871:E1370,1,0)</f>
        <v>#N/A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154</v>
      </c>
      <c r="R879" s="2" t="s">
        <v>26</v>
      </c>
      <c r="S879" s="9">
        <f t="shared" si="69"/>
        <v>0.02</v>
      </c>
    </row>
    <row r="880" spans="1:19" x14ac:dyDescent="0.3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e">
        <f>VLOOKUP('Customer Info'!B872,'Customer Info'!B872:B1371,1,0)</f>
        <v>#N/A</v>
      </c>
      <c r="H880" s="6" t="e">
        <f>VLOOKUP('Customer Info'!C872,'Customer Info'!C872:C1371,1)</f>
        <v>#N/A</v>
      </c>
      <c r="I880" s="6" t="e">
        <f>VLOOKUP('Customer Info'!E872,'Customer Info'!E872:E1371,1,0)</f>
        <v>#N/A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20</v>
      </c>
      <c r="R880" s="2" t="s">
        <v>28</v>
      </c>
      <c r="S880" s="9">
        <f t="shared" si="69"/>
        <v>0.02</v>
      </c>
    </row>
    <row r="881" spans="1:19" x14ac:dyDescent="0.3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e">
        <f>VLOOKUP('Customer Info'!B873,'Customer Info'!B873:B1372,1,0)</f>
        <v>#N/A</v>
      </c>
      <c r="H881" s="6" t="e">
        <f>VLOOKUP('Customer Info'!C873,'Customer Info'!C873:C1372,1)</f>
        <v>#N/A</v>
      </c>
      <c r="I881" s="6" t="e">
        <f>VLOOKUP('Customer Info'!E873,'Customer Info'!E873:E1372,1,0)</f>
        <v>#N/A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1410</v>
      </c>
      <c r="R881" s="2" t="s">
        <v>28</v>
      </c>
      <c r="S881" s="9">
        <f t="shared" si="69"/>
        <v>0.05</v>
      </c>
    </row>
    <row r="882" spans="1:19" x14ac:dyDescent="0.3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e">
        <f>VLOOKUP('Customer Info'!B874,'Customer Info'!B874:B1373,1,0)</f>
        <v>#N/A</v>
      </c>
      <c r="H882" s="6" t="e">
        <f>VLOOKUP('Customer Info'!C874,'Customer Info'!C874:C1373,1)</f>
        <v>#N/A</v>
      </c>
      <c r="I882" s="6" t="e">
        <f>VLOOKUP('Customer Info'!E874,'Customer Info'!E874:E1373,1,0)</f>
        <v>#N/A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11</v>
      </c>
      <c r="R882" s="2" t="s">
        <v>50</v>
      </c>
      <c r="S882" s="9">
        <f t="shared" si="69"/>
        <v>0.02</v>
      </c>
    </row>
    <row r="883" spans="1:19" x14ac:dyDescent="0.3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e">
        <f>VLOOKUP('Customer Info'!B875,'Customer Info'!B875:B1374,1,0)</f>
        <v>#N/A</v>
      </c>
      <c r="H883" s="6" t="e">
        <f>VLOOKUP('Customer Info'!C875,'Customer Info'!C875:C1374,1)</f>
        <v>#N/A</v>
      </c>
      <c r="I883" s="6" t="e">
        <f>VLOOKUP('Customer Info'!E875,'Customer Info'!E875:E1374,1,0)</f>
        <v>#N/A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75</v>
      </c>
      <c r="R883" s="2" t="s">
        <v>26</v>
      </c>
      <c r="S883" s="9">
        <f t="shared" si="69"/>
        <v>0.02</v>
      </c>
    </row>
    <row r="884" spans="1:19" x14ac:dyDescent="0.3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e">
        <f>VLOOKUP('Customer Info'!B876,'Customer Info'!B876:B1375,1,0)</f>
        <v>#N/A</v>
      </c>
      <c r="H884" s="6" t="e">
        <f>VLOOKUP('Customer Info'!C876,'Customer Info'!C876:C1375,1)</f>
        <v>#N/A</v>
      </c>
      <c r="I884" s="6" t="e">
        <f>VLOOKUP('Customer Info'!E876,'Customer Info'!E876:E1375,1,0)</f>
        <v>#N/A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10</v>
      </c>
      <c r="R884" s="2" t="s">
        <v>28</v>
      </c>
      <c r="S884" s="9">
        <f t="shared" si="69"/>
        <v>0.02</v>
      </c>
    </row>
    <row r="885" spans="1:19" x14ac:dyDescent="0.3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e">
        <f>VLOOKUP('Customer Info'!B877,'Customer Info'!B877:B1376,1,0)</f>
        <v>#N/A</v>
      </c>
      <c r="H885" s="6" t="e">
        <f>VLOOKUP('Customer Info'!C877,'Customer Info'!C877:C1376,1)</f>
        <v>#N/A</v>
      </c>
      <c r="I885" s="6" t="e">
        <f>VLOOKUP('Customer Info'!E877,'Customer Info'!E877:E1376,1,0)</f>
        <v>#N/A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365</v>
      </c>
      <c r="R885" s="2" t="s">
        <v>28</v>
      </c>
      <c r="S885" s="9">
        <f t="shared" si="69"/>
        <v>0.02</v>
      </c>
    </row>
    <row r="886" spans="1:19" x14ac:dyDescent="0.3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e">
        <f>VLOOKUP('Customer Info'!B878,'Customer Info'!B878:B1377,1,0)</f>
        <v>#N/A</v>
      </c>
      <c r="H886" s="6" t="e">
        <f>VLOOKUP('Customer Info'!C878,'Customer Info'!C878:C1377,1)</f>
        <v>#N/A</v>
      </c>
      <c r="I886" s="6" t="e">
        <f>VLOOKUP('Customer Info'!E878,'Customer Info'!E878:E1377,1,0)</f>
        <v>#N/A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338</v>
      </c>
      <c r="R886" s="2" t="s">
        <v>28</v>
      </c>
      <c r="S886" s="9">
        <f t="shared" si="69"/>
        <v>0.05</v>
      </c>
    </row>
    <row r="887" spans="1:19" x14ac:dyDescent="0.3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e">
        <f>VLOOKUP('Customer Info'!B879,'Customer Info'!B879:B1378,1,0)</f>
        <v>#N/A</v>
      </c>
      <c r="H887" s="6" t="e">
        <f>VLOOKUP('Customer Info'!C879,'Customer Info'!C879:C1378,1)</f>
        <v>#N/A</v>
      </c>
      <c r="I887" s="6" t="e">
        <f>VLOOKUP('Customer Info'!E879,'Customer Info'!E879:E1378,1,0)</f>
        <v>#N/A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207</v>
      </c>
      <c r="R887" s="2" t="s">
        <v>28</v>
      </c>
      <c r="S887" s="9">
        <f t="shared" si="69"/>
        <v>0.02</v>
      </c>
    </row>
    <row r="888" spans="1:19" x14ac:dyDescent="0.3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e">
        <f>VLOOKUP('Customer Info'!B880,'Customer Info'!B880:B1379,1,0)</f>
        <v>#N/A</v>
      </c>
      <c r="H888" s="6" t="e">
        <f>VLOOKUP('Customer Info'!C880,'Customer Info'!C880:C1379,1)</f>
        <v>#N/A</v>
      </c>
      <c r="I888" s="6" t="e">
        <f>VLOOKUP('Customer Info'!E880,'Customer Info'!E880:E1379,1,0)</f>
        <v>#N/A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810</v>
      </c>
      <c r="R888" s="2" t="s">
        <v>28</v>
      </c>
      <c r="S888" s="9">
        <f t="shared" si="69"/>
        <v>0.05</v>
      </c>
    </row>
    <row r="889" spans="1:19" x14ac:dyDescent="0.3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e">
        <f>VLOOKUP('Customer Info'!B881,'Customer Info'!B881:B1380,1,0)</f>
        <v>#N/A</v>
      </c>
      <c r="H889" s="6" t="e">
        <f>VLOOKUP('Customer Info'!C881,'Customer Info'!C881:C1380,1)</f>
        <v>#N/A</v>
      </c>
      <c r="I889" s="6" t="e">
        <f>VLOOKUP('Customer Info'!E881,'Customer Info'!E881:E1380,1,0)</f>
        <v>#N/A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1143</v>
      </c>
      <c r="R889" s="2" t="s">
        <v>28</v>
      </c>
      <c r="S889" s="9">
        <f t="shared" si="69"/>
        <v>0.05</v>
      </c>
    </row>
    <row r="890" spans="1:19" x14ac:dyDescent="0.3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e">
        <f>VLOOKUP('Customer Info'!B882,'Customer Info'!B882:B1381,1,0)</f>
        <v>#N/A</v>
      </c>
      <c r="H890" s="6" t="e">
        <f>VLOOKUP('Customer Info'!C882,'Customer Info'!C882:C1381,1)</f>
        <v>#N/A</v>
      </c>
      <c r="I890" s="6" t="e">
        <f>VLOOKUP('Customer Info'!E882,'Customer Info'!E882:E1381,1,0)</f>
        <v>#N/A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120</v>
      </c>
      <c r="R890" s="2" t="s">
        <v>50</v>
      </c>
      <c r="S890" s="9">
        <f t="shared" si="69"/>
        <v>0.02</v>
      </c>
    </row>
    <row r="891" spans="1:19" x14ac:dyDescent="0.3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e">
        <f>VLOOKUP('Customer Info'!B883,'Customer Info'!B883:B1382,1,0)</f>
        <v>#N/A</v>
      </c>
      <c r="H891" s="6" t="e">
        <f>VLOOKUP('Customer Info'!C883,'Customer Info'!C883:C1382,1)</f>
        <v>#N/A</v>
      </c>
      <c r="I891" s="6" t="e">
        <f>VLOOKUP('Customer Info'!E883,'Customer Info'!E883:E1382,1,0)</f>
        <v>#N/A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38</v>
      </c>
      <c r="R891" s="2" t="s">
        <v>50</v>
      </c>
      <c r="S891" s="9">
        <f t="shared" si="69"/>
        <v>0.02</v>
      </c>
    </row>
    <row r="892" spans="1:19" x14ac:dyDescent="0.3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e">
        <f>VLOOKUP('Customer Info'!B884,'Customer Info'!B884:B1383,1,0)</f>
        <v>#N/A</v>
      </c>
      <c r="H892" s="6" t="e">
        <f>VLOOKUP('Customer Info'!C884,'Customer Info'!C884:C1383,1)</f>
        <v>#N/A</v>
      </c>
      <c r="I892" s="6" t="e">
        <f>VLOOKUP('Customer Info'!E884,'Customer Info'!E884:E1383,1,0)</f>
        <v>#N/A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1838</v>
      </c>
      <c r="R892" s="2" t="s">
        <v>28</v>
      </c>
      <c r="S892" s="9">
        <f t="shared" si="69"/>
        <v>0.05</v>
      </c>
    </row>
    <row r="893" spans="1:19" x14ac:dyDescent="0.3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e">
        <f>VLOOKUP('Customer Info'!B885,'Customer Info'!B885:B1384,1,0)</f>
        <v>#N/A</v>
      </c>
      <c r="H893" s="6" t="e">
        <f>VLOOKUP('Customer Info'!C885,'Customer Info'!C885:C1384,1)</f>
        <v>#N/A</v>
      </c>
      <c r="I893" s="6" t="e">
        <f>VLOOKUP('Customer Info'!E885,'Customer Info'!E885:E1384,1,0)</f>
        <v>#N/A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40</v>
      </c>
      <c r="R893" s="2" t="s">
        <v>50</v>
      </c>
      <c r="S893" s="9">
        <f t="shared" si="69"/>
        <v>0.02</v>
      </c>
    </row>
    <row r="894" spans="1:19" x14ac:dyDescent="0.3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e">
        <f>VLOOKUP('Customer Info'!B886,'Customer Info'!B886:B1385,1,0)</f>
        <v>#N/A</v>
      </c>
      <c r="H894" s="6" t="e">
        <f>VLOOKUP('Customer Info'!C886,'Customer Info'!C886:C1385,1)</f>
        <v>#N/A</v>
      </c>
      <c r="I894" s="6" t="e">
        <f>VLOOKUP('Customer Info'!E886,'Customer Info'!E886:E1385,1,0)</f>
        <v>#N/A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576</v>
      </c>
      <c r="R894" s="2" t="s">
        <v>28</v>
      </c>
      <c r="S894" s="9">
        <f t="shared" si="69"/>
        <v>0.05</v>
      </c>
    </row>
    <row r="895" spans="1:19" x14ac:dyDescent="0.3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e">
        <f>VLOOKUP('Customer Info'!B887,'Customer Info'!B887:B1386,1,0)</f>
        <v>#N/A</v>
      </c>
      <c r="H895" s="6" t="e">
        <f>VLOOKUP('Customer Info'!C887,'Customer Info'!C887:C1386,1)</f>
        <v>#N/A</v>
      </c>
      <c r="I895" s="6" t="e">
        <f>VLOOKUP('Customer Info'!E887,'Customer Info'!E887:E1386,1,0)</f>
        <v>#N/A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160</v>
      </c>
      <c r="R895" s="2" t="s">
        <v>50</v>
      </c>
      <c r="S895" s="9">
        <f t="shared" si="69"/>
        <v>0.02</v>
      </c>
    </row>
    <row r="896" spans="1:19" x14ac:dyDescent="0.3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e">
        <f>VLOOKUP('Customer Info'!B888,'Customer Info'!B888:B1387,1,0)</f>
        <v>#N/A</v>
      </c>
      <c r="H896" s="6" t="e">
        <f>VLOOKUP('Customer Info'!C888,'Customer Info'!C888:C1387,1)</f>
        <v>#N/A</v>
      </c>
      <c r="I896" s="6" t="e">
        <f>VLOOKUP('Customer Info'!E888,'Customer Info'!E888:E1387,1,0)</f>
        <v>#N/A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6</v>
      </c>
      <c r="R896" s="2" t="s">
        <v>28</v>
      </c>
      <c r="S896" s="9">
        <f t="shared" si="69"/>
        <v>0.02</v>
      </c>
    </row>
    <row r="897" spans="1:19" x14ac:dyDescent="0.3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e">
        <f>VLOOKUP('Customer Info'!B889,'Customer Info'!B889:B1388,1,0)</f>
        <v>#N/A</v>
      </c>
      <c r="H897" s="6" t="e">
        <f>VLOOKUP('Customer Info'!C889,'Customer Info'!C889:C1388,1)</f>
        <v>#N/A</v>
      </c>
      <c r="I897" s="6" t="e">
        <f>VLOOKUP('Customer Info'!E889,'Customer Info'!E889:E1388,1,0)</f>
        <v>#N/A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50</v>
      </c>
      <c r="R897" s="2" t="s">
        <v>28</v>
      </c>
      <c r="S897" s="9">
        <f t="shared" si="69"/>
        <v>0.02</v>
      </c>
    </row>
    <row r="898" spans="1:19" x14ac:dyDescent="0.3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e">
        <f>VLOOKUP('Customer Info'!B890,'Customer Info'!B890:B1389,1,0)</f>
        <v>#N/A</v>
      </c>
      <c r="H898" s="6" t="e">
        <f>VLOOKUP('Customer Info'!C890,'Customer Info'!C890:C1389,1)</f>
        <v>#N/A</v>
      </c>
      <c r="I898" s="6" t="e">
        <f>VLOOKUP('Customer Info'!E890,'Customer Info'!E890:E1389,1,0)</f>
        <v>#N/A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345</v>
      </c>
      <c r="R898" s="2" t="s">
        <v>28</v>
      </c>
      <c r="S898" s="9">
        <f t="shared" si="69"/>
        <v>0.05</v>
      </c>
    </row>
    <row r="899" spans="1:19" x14ac:dyDescent="0.3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e">
        <f>VLOOKUP('Customer Info'!B891,'Customer Info'!B891:B1390,1,0)</f>
        <v>#N/A</v>
      </c>
      <c r="H899" s="6" t="e">
        <f>VLOOKUP('Customer Info'!C891,'Customer Info'!C891:C1390,1)</f>
        <v>#N/A</v>
      </c>
      <c r="I899" s="6" t="e">
        <f>VLOOKUP('Customer Info'!E891,'Customer Info'!E891:E1390,1,0)</f>
        <v>#N/A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2208</v>
      </c>
      <c r="R899" s="2" t="s">
        <v>28</v>
      </c>
      <c r="S899" s="9">
        <f t="shared" si="69"/>
        <v>7.0000000000000007E-2</v>
      </c>
    </row>
    <row r="900" spans="1:19" x14ac:dyDescent="0.3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e">
        <f>VLOOKUP('Customer Info'!B892,'Customer Info'!B892:B1391,1,0)</f>
        <v>#N/A</v>
      </c>
      <c r="H900" s="6" t="e">
        <f>VLOOKUP('Customer Info'!C892,'Customer Info'!C892:C1391,1)</f>
        <v>#N/A</v>
      </c>
      <c r="I900" s="6" t="e">
        <f>VLOOKUP('Customer Info'!E892,'Customer Info'!E892:E1391,1,0)</f>
        <v>#N/A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531</v>
      </c>
      <c r="R900" s="2" t="s">
        <v>28</v>
      </c>
      <c r="S900" s="9">
        <f t="shared" si="69"/>
        <v>0.05</v>
      </c>
    </row>
    <row r="901" spans="1:19" x14ac:dyDescent="0.3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e">
        <f>VLOOKUP('Customer Info'!B893,'Customer Info'!B893:B1392,1,0)</f>
        <v>#N/A</v>
      </c>
      <c r="H901" s="6" t="e">
        <f>VLOOKUP('Customer Info'!C893,'Customer Info'!C893:C1392,1)</f>
        <v>#N/A</v>
      </c>
      <c r="I901" s="6" t="e">
        <f>VLOOKUP('Customer Info'!E893,'Customer Info'!E893:E1392,1,0)</f>
        <v>#N/A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24</v>
      </c>
      <c r="R901" s="2" t="s">
        <v>50</v>
      </c>
      <c r="S901" s="9">
        <f t="shared" si="69"/>
        <v>0.02</v>
      </c>
    </row>
    <row r="902" spans="1:19" x14ac:dyDescent="0.3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e">
        <f>VLOOKUP('Customer Info'!B894,'Customer Info'!B894:B1393,1,0)</f>
        <v>#N/A</v>
      </c>
      <c r="H902" s="6" t="e">
        <f>VLOOKUP('Customer Info'!C894,'Customer Info'!C894:C1393,1)</f>
        <v>#N/A</v>
      </c>
      <c r="I902" s="6" t="e">
        <f>VLOOKUP('Customer Info'!E894,'Customer Info'!E894:E1393,1,0)</f>
        <v>#N/A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572</v>
      </c>
      <c r="R902" s="2" t="s">
        <v>28</v>
      </c>
      <c r="S902" s="9">
        <f t="shared" si="69"/>
        <v>0.05</v>
      </c>
    </row>
    <row r="903" spans="1:19" x14ac:dyDescent="0.3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e">
        <f>VLOOKUP('Customer Info'!B895,'Customer Info'!B895:B1394,1,0)</f>
        <v>#N/A</v>
      </c>
      <c r="H903" s="6" t="e">
        <f>VLOOKUP('Customer Info'!C895,'Customer Info'!C895:C1394,1)</f>
        <v>#N/A</v>
      </c>
      <c r="I903" s="6" t="e">
        <f>VLOOKUP('Customer Info'!E895,'Customer Info'!E895:E1394,1,0)</f>
        <v>#N/A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54</v>
      </c>
      <c r="R903" s="2" t="s">
        <v>28</v>
      </c>
      <c r="S903" s="9">
        <f t="shared" si="69"/>
        <v>0.02</v>
      </c>
    </row>
    <row r="904" spans="1:19" x14ac:dyDescent="0.3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e">
        <f>VLOOKUP('Customer Info'!B896,'Customer Info'!B896:B1395,1,0)</f>
        <v>#N/A</v>
      </c>
      <c r="H904" s="6" t="e">
        <f>VLOOKUP('Customer Info'!C896,'Customer Info'!C896:C1395,1)</f>
        <v>#N/A</v>
      </c>
      <c r="I904" s="6" t="e">
        <f>VLOOKUP('Customer Info'!E896,'Customer Info'!E896:E1395,1,0)</f>
        <v>#N/A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34</v>
      </c>
      <c r="R904" s="2" t="s">
        <v>50</v>
      </c>
      <c r="S904" s="9">
        <f t="shared" si="69"/>
        <v>0.02</v>
      </c>
    </row>
    <row r="905" spans="1:19" x14ac:dyDescent="0.3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e">
        <f>VLOOKUP('Customer Info'!B897,'Customer Info'!B897:B1396,1,0)</f>
        <v>#N/A</v>
      </c>
      <c r="H905" s="6" t="e">
        <f>VLOOKUP('Customer Info'!C897,'Customer Info'!C897:C1396,1)</f>
        <v>#N/A</v>
      </c>
      <c r="I905" s="6" t="e">
        <f>VLOOKUP('Customer Info'!E897,'Customer Info'!E897:E1396,1,0)</f>
        <v>#N/A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106</v>
      </c>
      <c r="R905" s="2" t="s">
        <v>28</v>
      </c>
      <c r="S905" s="9">
        <f t="shared" si="69"/>
        <v>0.02</v>
      </c>
    </row>
    <row r="906" spans="1:19" x14ac:dyDescent="0.3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e">
        <f>VLOOKUP('Customer Info'!B898,'Customer Info'!B898:B1397,1,0)</f>
        <v>#N/A</v>
      </c>
      <c r="H906" s="6" t="e">
        <f>VLOOKUP('Customer Info'!C898,'Customer Info'!C898:C1397,1)</f>
        <v>#N/A</v>
      </c>
      <c r="I906" s="6" t="e">
        <f>VLOOKUP('Customer Info'!E898,'Customer Info'!E898:E1397,1,0)</f>
        <v>#N/A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539</v>
      </c>
      <c r="R906" s="2" t="s">
        <v>28</v>
      </c>
      <c r="S906" s="9">
        <f t="shared" si="69"/>
        <v>0.05</v>
      </c>
    </row>
    <row r="907" spans="1:19" x14ac:dyDescent="0.3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e">
        <f>VLOOKUP('Customer Info'!B899,'Customer Info'!B899:B1398,1,0)</f>
        <v>#N/A</v>
      </c>
      <c r="H907" s="6" t="e">
        <f>VLOOKUP('Customer Info'!C899,'Customer Info'!C899:C1398,1)</f>
        <v>#N/A</v>
      </c>
      <c r="I907" s="6" t="e">
        <f>VLOOKUP('Customer Info'!E899,'Customer Info'!E899:E1398,1,0)</f>
        <v>#N/A</v>
      </c>
      <c r="J907" s="2">
        <v>7691</v>
      </c>
      <c r="K907" s="2">
        <v>7255</v>
      </c>
      <c r="L907" s="2">
        <v>3</v>
      </c>
      <c r="M907" s="7">
        <f t="shared" ref="M907:M970" si="70">(K907*L907)</f>
        <v>21765</v>
      </c>
      <c r="N907" s="7">
        <f t="shared" ref="N907:N970" si="71">(J907*L907)</f>
        <v>23073</v>
      </c>
      <c r="O907" s="2">
        <v>84</v>
      </c>
      <c r="P907" s="8">
        <f t="shared" ref="P907:P970" si="72">(N907+O907)</f>
        <v>23157</v>
      </c>
      <c r="Q907" s="8">
        <f t="shared" ref="Q907:Q970" si="73">(N907-M907)</f>
        <v>1308</v>
      </c>
      <c r="R907" s="2" t="s">
        <v>56</v>
      </c>
      <c r="S907" s="9">
        <f t="shared" ref="S907:S970" si="74">_xlfn.IFS(P907&gt;250000,0.15,P907&gt;100000,0.12,P907&gt;50000,0.09,P907&gt;25000,0.07,P907&gt;5000,0.05,
 TRUE,0.02)</f>
        <v>0.05</v>
      </c>
    </row>
    <row r="908" spans="1:19" x14ac:dyDescent="0.3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e">
        <f>VLOOKUP('Customer Info'!B900,'Customer Info'!B900:B1399,1,0)</f>
        <v>#N/A</v>
      </c>
      <c r="H908" s="6" t="e">
        <f>VLOOKUP('Customer Info'!C900,'Customer Info'!C900:C1399,1)</f>
        <v>#N/A</v>
      </c>
      <c r="I908" s="6" t="e">
        <f>VLOOKUP('Customer Info'!E900,'Customer Info'!E900:E1399,1,0)</f>
        <v>#N/A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3003</v>
      </c>
      <c r="R908" s="2" t="s">
        <v>50</v>
      </c>
      <c r="S908" s="9">
        <f t="shared" si="74"/>
        <v>7.0000000000000007E-2</v>
      </c>
    </row>
    <row r="909" spans="1:19" x14ac:dyDescent="0.3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e">
        <f>VLOOKUP('Customer Info'!B901,'Customer Info'!B901:B1400,1,0)</f>
        <v>#N/A</v>
      </c>
      <c r="H909" s="6" t="e">
        <f>VLOOKUP('Customer Info'!C901,'Customer Info'!C901:C1400,1)</f>
        <v>#N/A</v>
      </c>
      <c r="I909" s="6" t="e">
        <f>VLOOKUP('Customer Info'!E901,'Customer Info'!E901:E1400,1,0)</f>
        <v>#N/A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49</v>
      </c>
      <c r="R909" s="2" t="s">
        <v>26</v>
      </c>
      <c r="S909" s="9">
        <f t="shared" si="74"/>
        <v>0.02</v>
      </c>
    </row>
    <row r="910" spans="1:19" x14ac:dyDescent="0.3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e">
        <f>VLOOKUP('Customer Info'!B902,'Customer Info'!B902:B1401,1,0)</f>
        <v>#N/A</v>
      </c>
      <c r="H910" s="6" t="e">
        <f>VLOOKUP('Customer Info'!C902,'Customer Info'!C902:C1401,1)</f>
        <v>#N/A</v>
      </c>
      <c r="I910" s="6" t="e">
        <f>VLOOKUP('Customer Info'!E902,'Customer Info'!E902:E1401,1,0)</f>
        <v>#N/A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5</v>
      </c>
      <c r="R910" s="2" t="s">
        <v>28</v>
      </c>
      <c r="S910" s="9">
        <f t="shared" si="74"/>
        <v>0.02</v>
      </c>
    </row>
    <row r="911" spans="1:19" x14ac:dyDescent="0.3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e">
        <f>VLOOKUP('Customer Info'!B903,'Customer Info'!B903:B1402,1,0)</f>
        <v>#N/A</v>
      </c>
      <c r="H911" s="6" t="e">
        <f>VLOOKUP('Customer Info'!C903,'Customer Info'!C903:C1402,1)</f>
        <v>#N/A</v>
      </c>
      <c r="I911" s="6" t="e">
        <f>VLOOKUP('Customer Info'!E903,'Customer Info'!E903:E1402,1,0)</f>
        <v>#N/A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16</v>
      </c>
      <c r="R911" s="2" t="s">
        <v>50</v>
      </c>
      <c r="S911" s="9">
        <f t="shared" si="74"/>
        <v>0.02</v>
      </c>
    </row>
    <row r="912" spans="1:19" x14ac:dyDescent="0.3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e">
        <f>VLOOKUP('Customer Info'!B904,'Customer Info'!B904:B1403,1,0)</f>
        <v>#N/A</v>
      </c>
      <c r="H912" s="6" t="e">
        <f>VLOOKUP('Customer Info'!C904,'Customer Info'!C904:C1403,1)</f>
        <v>#N/A</v>
      </c>
      <c r="I912" s="6" t="e">
        <f>VLOOKUP('Customer Info'!E904,'Customer Info'!E904:E1403,1,0)</f>
        <v>#N/A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6266</v>
      </c>
      <c r="R912" s="2" t="s">
        <v>28</v>
      </c>
      <c r="S912" s="9">
        <f t="shared" si="74"/>
        <v>0.09</v>
      </c>
    </row>
    <row r="913" spans="1:19" x14ac:dyDescent="0.3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e">
        <f>VLOOKUP('Customer Info'!B905,'Customer Info'!B905:B1404,1,0)</f>
        <v>#N/A</v>
      </c>
      <c r="H913" s="6" t="e">
        <f>VLOOKUP('Customer Info'!C905,'Customer Info'!C905:C1404,1)</f>
        <v>#N/A</v>
      </c>
      <c r="I913" s="6" t="e">
        <f>VLOOKUP('Customer Info'!E905,'Customer Info'!E905:E1404,1,0)</f>
        <v>#N/A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6</v>
      </c>
      <c r="R913" s="2" t="s">
        <v>50</v>
      </c>
      <c r="S913" s="9">
        <f t="shared" si="74"/>
        <v>0.02</v>
      </c>
    </row>
    <row r="914" spans="1:19" x14ac:dyDescent="0.3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e">
        <f>VLOOKUP('Customer Info'!B906,'Customer Info'!B906:B1405,1,0)</f>
        <v>#N/A</v>
      </c>
      <c r="H914" s="6" t="e">
        <f>VLOOKUP('Customer Info'!C906,'Customer Info'!C906:C1405,1)</f>
        <v>#N/A</v>
      </c>
      <c r="I914" s="6" t="e">
        <f>VLOOKUP('Customer Info'!E906,'Customer Info'!E906:E1405,1,0)</f>
        <v>#N/A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21931</v>
      </c>
      <c r="R914" s="2" t="s">
        <v>50</v>
      </c>
      <c r="S914" s="9">
        <f t="shared" si="74"/>
        <v>0.15</v>
      </c>
    </row>
    <row r="915" spans="1:19" x14ac:dyDescent="0.3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e">
        <f>VLOOKUP('Customer Info'!B907,'Customer Info'!B907:B1406,1,0)</f>
        <v>#N/A</v>
      </c>
      <c r="H915" s="6" t="e">
        <f>VLOOKUP('Customer Info'!C907,'Customer Info'!C907:C1406,1)</f>
        <v>#N/A</v>
      </c>
      <c r="I915" s="6" t="e">
        <f>VLOOKUP('Customer Info'!E907,'Customer Info'!E907:E1406,1,0)</f>
        <v>#N/A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4</v>
      </c>
      <c r="R915" s="2" t="s">
        <v>56</v>
      </c>
      <c r="S915" s="9">
        <f t="shared" si="74"/>
        <v>0.02</v>
      </c>
    </row>
    <row r="916" spans="1:19" x14ac:dyDescent="0.3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e">
        <f>VLOOKUP('Customer Info'!B908,'Customer Info'!B908:B1407,1,0)</f>
        <v>#N/A</v>
      </c>
      <c r="H916" s="6" t="e">
        <f>VLOOKUP('Customer Info'!C908,'Customer Info'!C908:C1407,1)</f>
        <v>#N/A</v>
      </c>
      <c r="I916" s="6" t="e">
        <f>VLOOKUP('Customer Info'!E908,'Customer Info'!E908:E1407,1,0)</f>
        <v>#N/A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184</v>
      </c>
      <c r="R916" s="2" t="s">
        <v>28</v>
      </c>
      <c r="S916" s="9">
        <f t="shared" si="74"/>
        <v>0.02</v>
      </c>
    </row>
    <row r="917" spans="1:19" x14ac:dyDescent="0.3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e">
        <f>VLOOKUP('Customer Info'!B909,'Customer Info'!B909:B1408,1,0)</f>
        <v>#N/A</v>
      </c>
      <c r="H917" s="6" t="e">
        <f>VLOOKUP('Customer Info'!C909,'Customer Info'!C909:C1408,1)</f>
        <v>#N/A</v>
      </c>
      <c r="I917" s="6" t="e">
        <f>VLOOKUP('Customer Info'!E909,'Customer Info'!E909:E1408,1,0)</f>
        <v>#N/A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1605</v>
      </c>
      <c r="R917" s="2" t="s">
        <v>28</v>
      </c>
      <c r="S917" s="9">
        <f t="shared" si="74"/>
        <v>0.05</v>
      </c>
    </row>
    <row r="918" spans="1:19" x14ac:dyDescent="0.3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e">
        <f>VLOOKUP('Customer Info'!B910,'Customer Info'!B910:B1409,1,0)</f>
        <v>#N/A</v>
      </c>
      <c r="H918" s="6" t="e">
        <f>VLOOKUP('Customer Info'!C910,'Customer Info'!C910:C1409,1)</f>
        <v>#N/A</v>
      </c>
      <c r="I918" s="6" t="e">
        <f>VLOOKUP('Customer Info'!E910,'Customer Info'!E910:E1409,1,0)</f>
        <v>#N/A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504</v>
      </c>
      <c r="R918" s="2" t="s">
        <v>50</v>
      </c>
      <c r="S918" s="9">
        <f t="shared" si="74"/>
        <v>0.05</v>
      </c>
    </row>
    <row r="919" spans="1:19" x14ac:dyDescent="0.3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e">
        <f>VLOOKUP('Customer Info'!B911,'Customer Info'!B911:B1410,1,0)</f>
        <v>#N/A</v>
      </c>
      <c r="H919" s="6" t="e">
        <f>VLOOKUP('Customer Info'!C911,'Customer Info'!C911:C1410,1)</f>
        <v>#N/A</v>
      </c>
      <c r="I919" s="6" t="e">
        <f>VLOOKUP('Customer Info'!E911,'Customer Info'!E911:E1410,1,0)</f>
        <v>#N/A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286</v>
      </c>
      <c r="R919" s="2" t="s">
        <v>28</v>
      </c>
      <c r="S919" s="9">
        <f t="shared" si="74"/>
        <v>0.05</v>
      </c>
    </row>
    <row r="920" spans="1:19" x14ac:dyDescent="0.3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e">
        <f>VLOOKUP('Customer Info'!B912,'Customer Info'!B912:B1411,1,0)</f>
        <v>#N/A</v>
      </c>
      <c r="H920" s="6" t="e">
        <f>VLOOKUP('Customer Info'!C912,'Customer Info'!C912:C1411,1)</f>
        <v>#N/A</v>
      </c>
      <c r="I920" s="6" t="e">
        <f>VLOOKUP('Customer Info'!E912,'Customer Info'!E912:E1411,1,0)</f>
        <v>#N/A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284</v>
      </c>
      <c r="R920" s="2" t="s">
        <v>28</v>
      </c>
      <c r="S920" s="9">
        <f t="shared" si="74"/>
        <v>0.02</v>
      </c>
    </row>
    <row r="921" spans="1:19" x14ac:dyDescent="0.3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e">
        <f>VLOOKUP('Customer Info'!B913,'Customer Info'!B913:B1412,1,0)</f>
        <v>#N/A</v>
      </c>
      <c r="H921" s="6" t="e">
        <f>VLOOKUP('Customer Info'!C913,'Customer Info'!C913:C1412,1)</f>
        <v>#N/A</v>
      </c>
      <c r="I921" s="6" t="e">
        <f>VLOOKUP('Customer Info'!E913,'Customer Info'!E913:E1412,1,0)</f>
        <v>#N/A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68</v>
      </c>
      <c r="R921" s="2" t="s">
        <v>26</v>
      </c>
      <c r="S921" s="9">
        <f t="shared" si="74"/>
        <v>0.02</v>
      </c>
    </row>
    <row r="922" spans="1:19" x14ac:dyDescent="0.3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e">
        <f>VLOOKUP('Customer Info'!B914,'Customer Info'!B914:B1413,1,0)</f>
        <v>#N/A</v>
      </c>
      <c r="H922" s="6" t="e">
        <f>VLOOKUP('Customer Info'!C914,'Customer Info'!C914:C1413,1)</f>
        <v>#N/A</v>
      </c>
      <c r="I922" s="6" t="e">
        <f>VLOOKUP('Customer Info'!E914,'Customer Info'!E914:E1413,1,0)</f>
        <v>#N/A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756</v>
      </c>
      <c r="R922" s="2" t="s">
        <v>50</v>
      </c>
      <c r="S922" s="9">
        <f t="shared" si="74"/>
        <v>0.05</v>
      </c>
    </row>
    <row r="923" spans="1:19" x14ac:dyDescent="0.3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e">
        <f>VLOOKUP('Customer Info'!B915,'Customer Info'!B915:B1414,1,0)</f>
        <v>#N/A</v>
      </c>
      <c r="H923" s="6" t="e">
        <f>VLOOKUP('Customer Info'!C915,'Customer Info'!C915:C1414,1)</f>
        <v>#N/A</v>
      </c>
      <c r="I923" s="6" t="e">
        <f>VLOOKUP('Customer Info'!E915,'Customer Info'!E915:E1414,1,0)</f>
        <v>#N/A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118</v>
      </c>
      <c r="R923" s="2" t="s">
        <v>28</v>
      </c>
      <c r="S923" s="9">
        <f t="shared" si="74"/>
        <v>0.02</v>
      </c>
    </row>
    <row r="924" spans="1:19" x14ac:dyDescent="0.3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e">
        <f>VLOOKUP('Customer Info'!B916,'Customer Info'!B916:B1415,1,0)</f>
        <v>#N/A</v>
      </c>
      <c r="H924" s="6" t="e">
        <f>VLOOKUP('Customer Info'!C916,'Customer Info'!C916:C1415,1)</f>
        <v>#N/A</v>
      </c>
      <c r="I924" s="6" t="e">
        <f>VLOOKUP('Customer Info'!E916,'Customer Info'!E916:E1415,1,0)</f>
        <v>#N/A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8</v>
      </c>
      <c r="R924" s="2" t="s">
        <v>50</v>
      </c>
      <c r="S924" s="9">
        <f t="shared" si="74"/>
        <v>0.02</v>
      </c>
    </row>
    <row r="925" spans="1:19" x14ac:dyDescent="0.3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e">
        <f>VLOOKUP('Customer Info'!B917,'Customer Info'!B917:B1416,1,0)</f>
        <v>#N/A</v>
      </c>
      <c r="H925" s="6" t="e">
        <f>VLOOKUP('Customer Info'!C917,'Customer Info'!C917:C1416,1)</f>
        <v>#N/A</v>
      </c>
      <c r="I925" s="6" t="e">
        <f>VLOOKUP('Customer Info'!E917,'Customer Info'!E917:E1416,1,0)</f>
        <v>#N/A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64</v>
      </c>
      <c r="R925" s="2" t="s">
        <v>28</v>
      </c>
      <c r="S925" s="9">
        <f t="shared" si="74"/>
        <v>0.02</v>
      </c>
    </row>
    <row r="926" spans="1:19" x14ac:dyDescent="0.3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e">
        <f>VLOOKUP('Customer Info'!B918,'Customer Info'!B918:B1417,1,0)</f>
        <v>#N/A</v>
      </c>
      <c r="H926" s="6" t="e">
        <f>VLOOKUP('Customer Info'!C918,'Customer Info'!C918:C1417,1)</f>
        <v>#N/A</v>
      </c>
      <c r="I926" s="6" t="e">
        <f>VLOOKUP('Customer Info'!E918,'Customer Info'!E918:E1417,1,0)</f>
        <v>#N/A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384</v>
      </c>
      <c r="R926" s="2" t="s">
        <v>28</v>
      </c>
      <c r="S926" s="9">
        <f t="shared" si="74"/>
        <v>0.05</v>
      </c>
    </row>
    <row r="927" spans="1:19" x14ac:dyDescent="0.3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e">
        <f>VLOOKUP('Customer Info'!B919,'Customer Info'!B919:B1418,1,0)</f>
        <v>#N/A</v>
      </c>
      <c r="H927" s="6" t="e">
        <f>VLOOKUP('Customer Info'!C919,'Customer Info'!C919:C1418,1)</f>
        <v>#N/A</v>
      </c>
      <c r="I927" s="6" t="e">
        <f>VLOOKUP('Customer Info'!E919,'Customer Info'!E919:E1418,1,0)</f>
        <v>#N/A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32</v>
      </c>
      <c r="R927" s="2" t="s">
        <v>50</v>
      </c>
      <c r="S927" s="9">
        <f t="shared" si="74"/>
        <v>0.02</v>
      </c>
    </row>
    <row r="928" spans="1:19" x14ac:dyDescent="0.3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e">
        <f>VLOOKUP('Customer Info'!B920,'Customer Info'!B920:B1419,1,0)</f>
        <v>#N/A</v>
      </c>
      <c r="H928" s="6" t="e">
        <f>VLOOKUP('Customer Info'!C920,'Customer Info'!C920:C1419,1)</f>
        <v>#N/A</v>
      </c>
      <c r="I928" s="6" t="e">
        <f>VLOOKUP('Customer Info'!E920,'Customer Info'!E920:E1419,1,0)</f>
        <v>#N/A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44</v>
      </c>
      <c r="R928" s="2" t="s">
        <v>28</v>
      </c>
      <c r="S928" s="9">
        <f t="shared" si="74"/>
        <v>0.02</v>
      </c>
    </row>
    <row r="929" spans="1:19" x14ac:dyDescent="0.3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e">
        <f>VLOOKUP('Customer Info'!B921,'Customer Info'!B921:B1420,1,0)</f>
        <v>#N/A</v>
      </c>
      <c r="H929" s="6" t="e">
        <f>VLOOKUP('Customer Info'!C921,'Customer Info'!C921:C1420,1)</f>
        <v>#N/A</v>
      </c>
      <c r="I929" s="6" t="e">
        <f>VLOOKUP('Customer Info'!E921,'Customer Info'!E921:E1420,1,0)</f>
        <v>#N/A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316</v>
      </c>
      <c r="R929" s="2" t="s">
        <v>28</v>
      </c>
      <c r="S929" s="9">
        <f t="shared" si="74"/>
        <v>0.05</v>
      </c>
    </row>
    <row r="930" spans="1:19" x14ac:dyDescent="0.3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e">
        <f>VLOOKUP('Customer Info'!B922,'Customer Info'!B922:B1421,1,0)</f>
        <v>#N/A</v>
      </c>
      <c r="H930" s="6" t="e">
        <f>VLOOKUP('Customer Info'!C922,'Customer Info'!C922:C1421,1)</f>
        <v>#N/A</v>
      </c>
      <c r="I930" s="6" t="e">
        <f>VLOOKUP('Customer Info'!E922,'Customer Info'!E922:E1421,1,0)</f>
        <v>#N/A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16</v>
      </c>
      <c r="R930" s="2" t="s">
        <v>50</v>
      </c>
      <c r="S930" s="9">
        <f t="shared" si="74"/>
        <v>0.02</v>
      </c>
    </row>
    <row r="931" spans="1:19" x14ac:dyDescent="0.3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e">
        <f>VLOOKUP('Customer Info'!B923,'Customer Info'!B923:B1422,1,0)</f>
        <v>#N/A</v>
      </c>
      <c r="H931" s="6" t="e">
        <f>VLOOKUP('Customer Info'!C923,'Customer Info'!C923:C1422,1)</f>
        <v>#N/A</v>
      </c>
      <c r="I931" s="6" t="e">
        <f>VLOOKUP('Customer Info'!E923,'Customer Info'!E923:E1422,1,0)</f>
        <v>#N/A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270</v>
      </c>
      <c r="R931" s="2" t="s">
        <v>28</v>
      </c>
      <c r="S931" s="9">
        <f t="shared" si="74"/>
        <v>0.02</v>
      </c>
    </row>
    <row r="932" spans="1:19" x14ac:dyDescent="0.3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e">
        <f>VLOOKUP('Customer Info'!B924,'Customer Info'!B924:B1423,1,0)</f>
        <v>#N/A</v>
      </c>
      <c r="H932" s="6" t="e">
        <f>VLOOKUP('Customer Info'!C924,'Customer Info'!C924:C1423,1)</f>
        <v>#N/A</v>
      </c>
      <c r="I932" s="6" t="e">
        <f>VLOOKUP('Customer Info'!E924,'Customer Info'!E924:E1423,1,0)</f>
        <v>#N/A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236</v>
      </c>
      <c r="R932" s="2" t="s">
        <v>26</v>
      </c>
      <c r="S932" s="9">
        <f t="shared" si="74"/>
        <v>0.02</v>
      </c>
    </row>
    <row r="933" spans="1:19" x14ac:dyDescent="0.3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e">
        <f>VLOOKUP('Customer Info'!B925,'Customer Info'!B925:B1424,1,0)</f>
        <v>#N/A</v>
      </c>
      <c r="H933" s="6" t="e">
        <f>VLOOKUP('Customer Info'!C925,'Customer Info'!C925:C1424,1)</f>
        <v>#N/A</v>
      </c>
      <c r="I933" s="6" t="e">
        <f>VLOOKUP('Customer Info'!E925,'Customer Info'!E925:E1424,1,0)</f>
        <v>#N/A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808</v>
      </c>
      <c r="R933" s="2" t="s">
        <v>56</v>
      </c>
      <c r="S933" s="9">
        <f t="shared" si="74"/>
        <v>0.05</v>
      </c>
    </row>
    <row r="934" spans="1:19" x14ac:dyDescent="0.3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e">
        <f>VLOOKUP('Customer Info'!B926,'Customer Info'!B926:B1425,1,0)</f>
        <v>#N/A</v>
      </c>
      <c r="H934" s="6" t="e">
        <f>VLOOKUP('Customer Info'!C926,'Customer Info'!C926:C1425,1)</f>
        <v>#N/A</v>
      </c>
      <c r="I934" s="6" t="e">
        <f>VLOOKUP('Customer Info'!E926,'Customer Info'!E926:E1425,1,0)</f>
        <v>#N/A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192</v>
      </c>
      <c r="R934" s="2" t="s">
        <v>28</v>
      </c>
      <c r="S934" s="9">
        <f t="shared" si="74"/>
        <v>0.02</v>
      </c>
    </row>
    <row r="935" spans="1:19" x14ac:dyDescent="0.3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e">
        <f>VLOOKUP('Customer Info'!B927,'Customer Info'!B927:B1426,1,0)</f>
        <v>#N/A</v>
      </c>
      <c r="H935" s="6" t="e">
        <f>VLOOKUP('Customer Info'!C927,'Customer Info'!C927:C1426,1)</f>
        <v>#N/A</v>
      </c>
      <c r="I935" s="6" t="e">
        <f>VLOOKUP('Customer Info'!E927,'Customer Info'!E927:E1426,1,0)</f>
        <v>#N/A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32</v>
      </c>
      <c r="R935" s="2" t="s">
        <v>50</v>
      </c>
      <c r="S935" s="9">
        <f t="shared" si="74"/>
        <v>0.02</v>
      </c>
    </row>
    <row r="936" spans="1:19" x14ac:dyDescent="0.3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e">
        <f>VLOOKUP('Customer Info'!B928,'Customer Info'!B928:B1427,1,0)</f>
        <v>#N/A</v>
      </c>
      <c r="H936" s="6" t="e">
        <f>VLOOKUP('Customer Info'!C928,'Customer Info'!C928:C1427,1)</f>
        <v>#N/A</v>
      </c>
      <c r="I936" s="6" t="e">
        <f>VLOOKUP('Customer Info'!E928,'Customer Info'!E928:E1427,1,0)</f>
        <v>#N/A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118</v>
      </c>
      <c r="R936" s="2" t="s">
        <v>28</v>
      </c>
      <c r="S936" s="9">
        <f t="shared" si="74"/>
        <v>0.02</v>
      </c>
    </row>
    <row r="937" spans="1:19" x14ac:dyDescent="0.3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e">
        <f>VLOOKUP('Customer Info'!B929,'Customer Info'!B929:B1428,1,0)</f>
        <v>#N/A</v>
      </c>
      <c r="H937" s="6" t="e">
        <f>VLOOKUP('Customer Info'!C929,'Customer Info'!C929:C1428,1)</f>
        <v>#N/A</v>
      </c>
      <c r="I937" s="6" t="e">
        <f>VLOOKUP('Customer Info'!E929,'Customer Info'!E929:E1428,1,0)</f>
        <v>#N/A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56</v>
      </c>
      <c r="R937" s="2" t="s">
        <v>28</v>
      </c>
      <c r="S937" s="9">
        <f t="shared" si="74"/>
        <v>0.02</v>
      </c>
    </row>
    <row r="938" spans="1:19" x14ac:dyDescent="0.3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e">
        <f>VLOOKUP('Customer Info'!B930,'Customer Info'!B930:B1429,1,0)</f>
        <v>#N/A</v>
      </c>
      <c r="H938" s="6" t="e">
        <f>VLOOKUP('Customer Info'!C930,'Customer Info'!C930:C1429,1)</f>
        <v>#N/A</v>
      </c>
      <c r="I938" s="6" t="e">
        <f>VLOOKUP('Customer Info'!E930,'Customer Info'!E930:E1429,1,0)</f>
        <v>#N/A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110</v>
      </c>
      <c r="R938" s="2" t="s">
        <v>28</v>
      </c>
      <c r="S938" s="9">
        <f t="shared" si="74"/>
        <v>0.02</v>
      </c>
    </row>
    <row r="939" spans="1:19" x14ac:dyDescent="0.3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e">
        <f>VLOOKUP('Customer Info'!B931,'Customer Info'!B931:B1430,1,0)</f>
        <v>#N/A</v>
      </c>
      <c r="H939" s="6" t="e">
        <f>VLOOKUP('Customer Info'!C931,'Customer Info'!C931:C1430,1)</f>
        <v>#N/A</v>
      </c>
      <c r="I939" s="6" t="e">
        <f>VLOOKUP('Customer Info'!E931,'Customer Info'!E931:E1430,1,0)</f>
        <v>#N/A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252</v>
      </c>
      <c r="R939" s="2" t="s">
        <v>28</v>
      </c>
      <c r="S939" s="9">
        <f t="shared" si="74"/>
        <v>0.02</v>
      </c>
    </row>
    <row r="940" spans="1:19" x14ac:dyDescent="0.3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e">
        <f>VLOOKUP('Customer Info'!B932,'Customer Info'!B932:B1431,1,0)</f>
        <v>#N/A</v>
      </c>
      <c r="H940" s="6" t="e">
        <f>VLOOKUP('Customer Info'!C932,'Customer Info'!C932:C1431,1)</f>
        <v>#N/A</v>
      </c>
      <c r="I940" s="6" t="e">
        <f>VLOOKUP('Customer Info'!E932,'Customer Info'!E932:E1431,1,0)</f>
        <v>#N/A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356</v>
      </c>
      <c r="R940" s="2" t="s">
        <v>28</v>
      </c>
      <c r="S940" s="9">
        <f t="shared" si="74"/>
        <v>0.02</v>
      </c>
    </row>
    <row r="941" spans="1:19" x14ac:dyDescent="0.3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e">
        <f>VLOOKUP('Customer Info'!B933,'Customer Info'!B933:B1432,1,0)</f>
        <v>#N/A</v>
      </c>
      <c r="H941" s="6" t="e">
        <f>VLOOKUP('Customer Info'!C933,'Customer Info'!C933:C1432,1)</f>
        <v>#N/A</v>
      </c>
      <c r="I941" s="6" t="e">
        <f>VLOOKUP('Customer Info'!E933,'Customer Info'!E933:E1432,1,0)</f>
        <v>#N/A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320</v>
      </c>
      <c r="R941" s="2" t="s">
        <v>50</v>
      </c>
      <c r="S941" s="9">
        <f t="shared" si="74"/>
        <v>0.02</v>
      </c>
    </row>
    <row r="942" spans="1:19" x14ac:dyDescent="0.3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e">
        <f>VLOOKUP('Customer Info'!B934,'Customer Info'!B934:B1433,1,0)</f>
        <v>#N/A</v>
      </c>
      <c r="H942" s="6" t="e">
        <f>VLOOKUP('Customer Info'!C934,'Customer Info'!C934:C1433,1)</f>
        <v>#N/A</v>
      </c>
      <c r="I942" s="6" t="e">
        <f>VLOOKUP('Customer Info'!E934,'Customer Info'!E934:E1433,1,0)</f>
        <v>#N/A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768</v>
      </c>
      <c r="R942" s="2" t="s">
        <v>28</v>
      </c>
      <c r="S942" s="9">
        <f t="shared" si="74"/>
        <v>0.05</v>
      </c>
    </row>
    <row r="943" spans="1:19" x14ac:dyDescent="0.3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e">
        <f>VLOOKUP('Customer Info'!B935,'Customer Info'!B935:B1434,1,0)</f>
        <v>#N/A</v>
      </c>
      <c r="H943" s="6" t="e">
        <f>VLOOKUP('Customer Info'!C935,'Customer Info'!C935:C1434,1)</f>
        <v>#N/A</v>
      </c>
      <c r="I943" s="6" t="e">
        <f>VLOOKUP('Customer Info'!E935,'Customer Info'!E935:E1434,1,0)</f>
        <v>#N/A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688</v>
      </c>
      <c r="R943" s="2" t="s">
        <v>28</v>
      </c>
      <c r="S943" s="9">
        <f t="shared" si="74"/>
        <v>0.05</v>
      </c>
    </row>
    <row r="944" spans="1:19" x14ac:dyDescent="0.3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e">
        <f>VLOOKUP('Customer Info'!B936,'Customer Info'!B936:B1435,1,0)</f>
        <v>#N/A</v>
      </c>
      <c r="H944" s="6" t="e">
        <f>VLOOKUP('Customer Info'!C936,'Customer Info'!C936:C1435,1)</f>
        <v>#N/A</v>
      </c>
      <c r="I944" s="6" t="e">
        <f>VLOOKUP('Customer Info'!E936,'Customer Info'!E936:E1435,1,0)</f>
        <v>#N/A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144</v>
      </c>
      <c r="R944" s="2" t="s">
        <v>50</v>
      </c>
      <c r="S944" s="9">
        <f t="shared" si="74"/>
        <v>0.02</v>
      </c>
    </row>
    <row r="945" spans="1:19" x14ac:dyDescent="0.3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e">
        <f>VLOOKUP('Customer Info'!B937,'Customer Info'!B937:B1436,1,0)</f>
        <v>#N/A</v>
      </c>
      <c r="H945" s="6" t="e">
        <f>VLOOKUP('Customer Info'!C937,'Customer Info'!C937:C1436,1)</f>
        <v>#N/A</v>
      </c>
      <c r="I945" s="6" t="e">
        <f>VLOOKUP('Customer Info'!E937,'Customer Info'!E937:E1436,1,0)</f>
        <v>#N/A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826</v>
      </c>
      <c r="R945" s="2" t="s">
        <v>56</v>
      </c>
      <c r="S945" s="9">
        <f t="shared" si="74"/>
        <v>0.05</v>
      </c>
    </row>
    <row r="946" spans="1:19" x14ac:dyDescent="0.3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e">
        <f>VLOOKUP('Customer Info'!B938,'Customer Info'!B938:B1437,1,0)</f>
        <v>#N/A</v>
      </c>
      <c r="H946" s="6" t="e">
        <f>VLOOKUP('Customer Info'!C938,'Customer Info'!C938:C1437,1)</f>
        <v>#N/A</v>
      </c>
      <c r="I946" s="6" t="e">
        <f>VLOOKUP('Customer Info'!E938,'Customer Info'!E938:E1437,1,0)</f>
        <v>#N/A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1896</v>
      </c>
      <c r="R946" s="2" t="s">
        <v>28</v>
      </c>
      <c r="S946" s="9">
        <f t="shared" si="74"/>
        <v>7.0000000000000007E-2</v>
      </c>
    </row>
    <row r="947" spans="1:19" x14ac:dyDescent="0.3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e">
        <f>VLOOKUP('Customer Info'!B939,'Customer Info'!B939:B1438,1,0)</f>
        <v>#N/A</v>
      </c>
      <c r="H947" s="6" t="e">
        <f>VLOOKUP('Customer Info'!C939,'Customer Info'!C939:C1438,1)</f>
        <v>#N/A</v>
      </c>
      <c r="I947" s="6" t="e">
        <f>VLOOKUP('Customer Info'!E939,'Customer Info'!E939:E1438,1,0)</f>
        <v>#N/A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68</v>
      </c>
      <c r="R947" s="2" t="s">
        <v>28</v>
      </c>
      <c r="S947" s="9">
        <f t="shared" si="74"/>
        <v>0.02</v>
      </c>
    </row>
    <row r="948" spans="1:19" x14ac:dyDescent="0.3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e">
        <f>VLOOKUP('Customer Info'!B940,'Customer Info'!B940:B1439,1,0)</f>
        <v>#N/A</v>
      </c>
      <c r="H948" s="6" t="e">
        <f>VLOOKUP('Customer Info'!C940,'Customer Info'!C940:C1439,1)</f>
        <v>#N/A</v>
      </c>
      <c r="I948" s="6" t="e">
        <f>VLOOKUP('Customer Info'!E940,'Customer Info'!E940:E1439,1,0)</f>
        <v>#N/A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176</v>
      </c>
      <c r="R948" s="2" t="s">
        <v>28</v>
      </c>
      <c r="S948" s="9">
        <f t="shared" si="74"/>
        <v>0.02</v>
      </c>
    </row>
    <row r="949" spans="1:19" x14ac:dyDescent="0.3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e">
        <f>VLOOKUP('Customer Info'!B941,'Customer Info'!B941:B1440,1,0)</f>
        <v>#N/A</v>
      </c>
      <c r="H949" s="6" t="e">
        <f>VLOOKUP('Customer Info'!C941,'Customer Info'!C941:C1440,1)</f>
        <v>#N/A</v>
      </c>
      <c r="I949" s="6" t="e">
        <f>VLOOKUP('Customer Info'!E941,'Customer Info'!E941:E1440,1,0)</f>
        <v>#N/A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18</v>
      </c>
      <c r="R949" s="2" t="s">
        <v>56</v>
      </c>
      <c r="S949" s="9">
        <f t="shared" si="74"/>
        <v>0.02</v>
      </c>
    </row>
    <row r="950" spans="1:19" x14ac:dyDescent="0.3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e">
        <f>VLOOKUP('Customer Info'!B942,'Customer Info'!B942:B1441,1,0)</f>
        <v>#N/A</v>
      </c>
      <c r="H950" s="6" t="e">
        <f>VLOOKUP('Customer Info'!C942,'Customer Info'!C942:C1441,1)</f>
        <v>#N/A</v>
      </c>
      <c r="I950" s="6" t="e">
        <f>VLOOKUP('Customer Info'!E942,'Customer Info'!E942:E1441,1,0)</f>
        <v>#N/A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318</v>
      </c>
      <c r="R950" s="2" t="s">
        <v>28</v>
      </c>
      <c r="S950" s="9">
        <f t="shared" si="74"/>
        <v>0.05</v>
      </c>
    </row>
    <row r="951" spans="1:19" x14ac:dyDescent="0.3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e">
        <f>VLOOKUP('Customer Info'!B943,'Customer Info'!B943:B1442,1,0)</f>
        <v>#N/A</v>
      </c>
      <c r="H951" s="6" t="e">
        <f>VLOOKUP('Customer Info'!C943,'Customer Info'!C943:C1442,1)</f>
        <v>#N/A</v>
      </c>
      <c r="I951" s="6" t="e">
        <f>VLOOKUP('Customer Info'!E943,'Customer Info'!E943:E1442,1,0)</f>
        <v>#N/A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1402</v>
      </c>
      <c r="R951" s="2" t="s">
        <v>50</v>
      </c>
      <c r="S951" s="9">
        <f t="shared" si="74"/>
        <v>7.0000000000000007E-2</v>
      </c>
    </row>
    <row r="952" spans="1:19" x14ac:dyDescent="0.3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e">
        <f>VLOOKUP('Customer Info'!B944,'Customer Info'!B944:B1443,1,0)</f>
        <v>#N/A</v>
      </c>
      <c r="H952" s="6" t="e">
        <f>VLOOKUP('Customer Info'!C944,'Customer Info'!C944:C1443,1)</f>
        <v>#N/A</v>
      </c>
      <c r="I952" s="6" t="e">
        <f>VLOOKUP('Customer Info'!E944,'Customer Info'!E944:E1443,1,0)</f>
        <v>#N/A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7352</v>
      </c>
      <c r="R952" s="2" t="s">
        <v>50</v>
      </c>
      <c r="S952" s="9">
        <f t="shared" si="74"/>
        <v>0.09</v>
      </c>
    </row>
    <row r="953" spans="1:19" x14ac:dyDescent="0.3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e">
        <f>VLOOKUP('Customer Info'!B945,'Customer Info'!B945:B1444,1,0)</f>
        <v>#N/A</v>
      </c>
      <c r="H953" s="6" t="e">
        <f>VLOOKUP('Customer Info'!C945,'Customer Info'!C945:C1444,1)</f>
        <v>#N/A</v>
      </c>
      <c r="I953" s="6" t="e">
        <f>VLOOKUP('Customer Info'!E945,'Customer Info'!E945:E1444,1,0)</f>
        <v>#N/A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5688</v>
      </c>
      <c r="R953" s="2" t="s">
        <v>50</v>
      </c>
      <c r="S953" s="9">
        <f t="shared" si="74"/>
        <v>0.09</v>
      </c>
    </row>
    <row r="954" spans="1:19" x14ac:dyDescent="0.3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e">
        <f>VLOOKUP('Customer Info'!B946,'Customer Info'!B946:B1445,1,0)</f>
        <v>#N/A</v>
      </c>
      <c r="H954" s="6" t="e">
        <f>VLOOKUP('Customer Info'!C946,'Customer Info'!C946:C1445,1)</f>
        <v>#N/A</v>
      </c>
      <c r="I954" s="6" t="e">
        <f>VLOOKUP('Customer Info'!E946,'Customer Info'!E946:E1445,1,0)</f>
        <v>#N/A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1152</v>
      </c>
      <c r="R954" s="2" t="s">
        <v>26</v>
      </c>
      <c r="S954" s="9">
        <f t="shared" si="74"/>
        <v>0.05</v>
      </c>
    </row>
    <row r="955" spans="1:19" x14ac:dyDescent="0.3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e">
        <f>VLOOKUP('Customer Info'!B947,'Customer Info'!B947:B1446,1,0)</f>
        <v>#N/A</v>
      </c>
      <c r="H955" s="6" t="e">
        <f>VLOOKUP('Customer Info'!C947,'Customer Info'!C947:C1446,1)</f>
        <v>#N/A</v>
      </c>
      <c r="I955" s="6" t="e">
        <f>VLOOKUP('Customer Info'!E947,'Customer Info'!E947:E1446,1,0)</f>
        <v>#N/A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410</v>
      </c>
      <c r="R955" s="2" t="s">
        <v>50</v>
      </c>
      <c r="S955" s="9">
        <f t="shared" si="74"/>
        <v>0.05</v>
      </c>
    </row>
    <row r="956" spans="1:19" x14ac:dyDescent="0.3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e">
        <f>VLOOKUP('Customer Info'!B948,'Customer Info'!B948:B1447,1,0)</f>
        <v>#N/A</v>
      </c>
      <c r="H956" s="6" t="e">
        <f>VLOOKUP('Customer Info'!C948,'Customer Info'!C948:C1447,1)</f>
        <v>#N/A</v>
      </c>
      <c r="I956" s="6" t="e">
        <f>VLOOKUP('Customer Info'!E948,'Customer Info'!E948:E1447,1,0)</f>
        <v>#N/A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6125</v>
      </c>
      <c r="R956" s="2" t="s">
        <v>50</v>
      </c>
      <c r="S956" s="9">
        <f t="shared" si="74"/>
        <v>0.09</v>
      </c>
    </row>
    <row r="957" spans="1:19" x14ac:dyDescent="0.3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e">
        <f>VLOOKUP('Customer Info'!B949,'Customer Info'!B949:B1448,1,0)</f>
        <v>#N/A</v>
      </c>
      <c r="H957" s="6" t="e">
        <f>VLOOKUP('Customer Info'!C949,'Customer Info'!C949:C1448,1)</f>
        <v>#N/A</v>
      </c>
      <c r="I957" s="6" t="e">
        <f>VLOOKUP('Customer Info'!E949,'Customer Info'!E949:E1448,1,0)</f>
        <v>#N/A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177</v>
      </c>
      <c r="R957" s="2" t="s">
        <v>28</v>
      </c>
      <c r="S957" s="9">
        <f t="shared" si="74"/>
        <v>0.02</v>
      </c>
    </row>
    <row r="958" spans="1:19" x14ac:dyDescent="0.3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e">
        <f>VLOOKUP('Customer Info'!B950,'Customer Info'!B950:B1449,1,0)</f>
        <v>#N/A</v>
      </c>
      <c r="H958" s="6" t="e">
        <f>VLOOKUP('Customer Info'!C950,'Customer Info'!C950:C1449,1)</f>
        <v>#N/A</v>
      </c>
      <c r="I958" s="6" t="e">
        <f>VLOOKUP('Customer Info'!E950,'Customer Info'!E950:E1449,1,0)</f>
        <v>#N/A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42</v>
      </c>
      <c r="R958" s="2" t="s">
        <v>28</v>
      </c>
      <c r="S958" s="9">
        <f t="shared" si="74"/>
        <v>0.02</v>
      </c>
    </row>
    <row r="959" spans="1:19" x14ac:dyDescent="0.3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e">
        <f>VLOOKUP('Customer Info'!B951,'Customer Info'!B951:B1450,1,0)</f>
        <v>#N/A</v>
      </c>
      <c r="H959" s="6" t="e">
        <f>VLOOKUP('Customer Info'!C951,'Customer Info'!C951:C1450,1)</f>
        <v>#N/A</v>
      </c>
      <c r="I959" s="6" t="e">
        <f>VLOOKUP('Customer Info'!E951,'Customer Info'!E951:E1450,1,0)</f>
        <v>#N/A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950</v>
      </c>
      <c r="R959" s="2" t="s">
        <v>28</v>
      </c>
      <c r="S959" s="9">
        <f t="shared" si="74"/>
        <v>0.05</v>
      </c>
    </row>
    <row r="960" spans="1:19" x14ac:dyDescent="0.3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e">
        <f>VLOOKUP('Customer Info'!B952,'Customer Info'!B952:B1451,1,0)</f>
        <v>#N/A</v>
      </c>
      <c r="H960" s="6" t="e">
        <f>VLOOKUP('Customer Info'!C952,'Customer Info'!C952:C1451,1)</f>
        <v>#N/A</v>
      </c>
      <c r="I960" s="6" t="e">
        <f>VLOOKUP('Customer Info'!E952,'Customer Info'!E952:E1451,1,0)</f>
        <v>#N/A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144</v>
      </c>
      <c r="R960" s="2" t="s">
        <v>28</v>
      </c>
      <c r="S960" s="9">
        <f t="shared" si="74"/>
        <v>0.02</v>
      </c>
    </row>
    <row r="961" spans="1:19" x14ac:dyDescent="0.3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e">
        <f>VLOOKUP('Customer Info'!B953,'Customer Info'!B953:B1452,1,0)</f>
        <v>#N/A</v>
      </c>
      <c r="H961" s="6" t="e">
        <f>VLOOKUP('Customer Info'!C953,'Customer Info'!C953:C1452,1)</f>
        <v>#N/A</v>
      </c>
      <c r="I961" s="6" t="e">
        <f>VLOOKUP('Customer Info'!E953,'Customer Info'!E953:E1452,1,0)</f>
        <v>#N/A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50</v>
      </c>
      <c r="R961" s="2" t="s">
        <v>50</v>
      </c>
      <c r="S961" s="9">
        <f t="shared" si="74"/>
        <v>0.02</v>
      </c>
    </row>
    <row r="962" spans="1:19" x14ac:dyDescent="0.3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e">
        <f>VLOOKUP('Customer Info'!B954,'Customer Info'!B954:B1453,1,0)</f>
        <v>#N/A</v>
      </c>
      <c r="H962" s="6" t="e">
        <f>VLOOKUP('Customer Info'!C954,'Customer Info'!C954:C1453,1)</f>
        <v>#N/A</v>
      </c>
      <c r="I962" s="6" t="e">
        <f>VLOOKUP('Customer Info'!E954,'Customer Info'!E954:E1453,1,0)</f>
        <v>#N/A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75</v>
      </c>
      <c r="R962" s="2" t="s">
        <v>56</v>
      </c>
      <c r="S962" s="9">
        <f t="shared" si="74"/>
        <v>0.05</v>
      </c>
    </row>
    <row r="963" spans="1:19" x14ac:dyDescent="0.3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e">
        <f>VLOOKUP('Customer Info'!B955,'Customer Info'!B955:B1454,1,0)</f>
        <v>#N/A</v>
      </c>
      <c r="H963" s="6" t="e">
        <f>VLOOKUP('Customer Info'!C955,'Customer Info'!C955:C1454,1)</f>
        <v>#N/A</v>
      </c>
      <c r="I963" s="6" t="e">
        <f>VLOOKUP('Customer Info'!E955,'Customer Info'!E955:E1454,1,0)</f>
        <v>#N/A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75</v>
      </c>
      <c r="R963" s="2" t="s">
        <v>28</v>
      </c>
      <c r="S963" s="9">
        <f t="shared" si="74"/>
        <v>0.02</v>
      </c>
    </row>
    <row r="964" spans="1:19" x14ac:dyDescent="0.3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e">
        <f>VLOOKUP('Customer Info'!B956,'Customer Info'!B956:B1455,1,0)</f>
        <v>#N/A</v>
      </c>
      <c r="H964" s="6" t="e">
        <f>VLOOKUP('Customer Info'!C956,'Customer Info'!C956:C1455,1)</f>
        <v>#N/A</v>
      </c>
      <c r="I964" s="6" t="e">
        <f>VLOOKUP('Customer Info'!E956,'Customer Info'!E956:E1455,1,0)</f>
        <v>#N/A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363</v>
      </c>
      <c r="R964" s="2" t="s">
        <v>28</v>
      </c>
      <c r="S964" s="9">
        <f t="shared" si="74"/>
        <v>0.02</v>
      </c>
    </row>
    <row r="965" spans="1:19" x14ac:dyDescent="0.3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e">
        <f>VLOOKUP('Customer Info'!B957,'Customer Info'!B957:B1456,1,0)</f>
        <v>#N/A</v>
      </c>
      <c r="H965" s="6" t="e">
        <f>VLOOKUP('Customer Info'!C957,'Customer Info'!C957:C1456,1)</f>
        <v>#N/A</v>
      </c>
      <c r="I965" s="6" t="e">
        <f>VLOOKUP('Customer Info'!E957,'Customer Info'!E957:E1456,1,0)</f>
        <v>#N/A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67</v>
      </c>
      <c r="R965" s="2" t="s">
        <v>28</v>
      </c>
      <c r="S965" s="9">
        <f t="shared" si="74"/>
        <v>0.02</v>
      </c>
    </row>
    <row r="966" spans="1:19" x14ac:dyDescent="0.3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e">
        <f>VLOOKUP('Customer Info'!B958,'Customer Info'!B958:B1457,1,0)</f>
        <v>#N/A</v>
      </c>
      <c r="H966" s="6" t="e">
        <f>VLOOKUP('Customer Info'!C958,'Customer Info'!C958:C1457,1)</f>
        <v>#N/A</v>
      </c>
      <c r="I966" s="6" t="e">
        <f>VLOOKUP('Customer Info'!E958,'Customer Info'!E958:E1457,1,0)</f>
        <v>#N/A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34</v>
      </c>
      <c r="R966" s="2" t="s">
        <v>50</v>
      </c>
      <c r="S966" s="9">
        <f t="shared" si="74"/>
        <v>0.02</v>
      </c>
    </row>
    <row r="967" spans="1:19" x14ac:dyDescent="0.3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e">
        <f>VLOOKUP('Customer Info'!B959,'Customer Info'!B959:B1458,1,0)</f>
        <v>#N/A</v>
      </c>
      <c r="H967" s="6" t="e">
        <f>VLOOKUP('Customer Info'!C959,'Customer Info'!C959:C1458,1)</f>
        <v>#N/A</v>
      </c>
      <c r="I967" s="6" t="e">
        <f>VLOOKUP('Customer Info'!E959,'Customer Info'!E959:E1458,1,0)</f>
        <v>#N/A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1905</v>
      </c>
      <c r="R967" s="2" t="s">
        <v>50</v>
      </c>
      <c r="S967" s="9">
        <f t="shared" si="74"/>
        <v>7.0000000000000007E-2</v>
      </c>
    </row>
    <row r="968" spans="1:19" x14ac:dyDescent="0.3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e">
        <f>VLOOKUP('Customer Info'!B960,'Customer Info'!B960:B1459,1,0)</f>
        <v>#N/A</v>
      </c>
      <c r="H968" s="6" t="e">
        <f>VLOOKUP('Customer Info'!C960,'Customer Info'!C960:C1459,1)</f>
        <v>#N/A</v>
      </c>
      <c r="I968" s="6" t="e">
        <f>VLOOKUP('Customer Info'!E960,'Customer Info'!E960:E1459,1,0)</f>
        <v>#N/A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240</v>
      </c>
      <c r="R968" s="2" t="s">
        <v>50</v>
      </c>
      <c r="S968" s="9">
        <f t="shared" si="74"/>
        <v>0.02</v>
      </c>
    </row>
    <row r="969" spans="1:19" x14ac:dyDescent="0.3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e">
        <f>VLOOKUP('Customer Info'!B961,'Customer Info'!B961:B1460,1,0)</f>
        <v>#N/A</v>
      </c>
      <c r="H969" s="6" t="e">
        <f>VLOOKUP('Customer Info'!C961,'Customer Info'!C961:C1460,1)</f>
        <v>#N/A</v>
      </c>
      <c r="I969" s="6" t="e">
        <f>VLOOKUP('Customer Info'!E961,'Customer Info'!E961:E1460,1,0)</f>
        <v>#N/A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60</v>
      </c>
      <c r="R969" s="2" t="s">
        <v>28</v>
      </c>
      <c r="S969" s="9">
        <f t="shared" si="74"/>
        <v>0.02</v>
      </c>
    </row>
    <row r="970" spans="1:19" x14ac:dyDescent="0.3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e">
        <f>VLOOKUP('Customer Info'!B962,'Customer Info'!B962:B1461,1,0)</f>
        <v>#N/A</v>
      </c>
      <c r="H970" s="6" t="e">
        <f>VLOOKUP('Customer Info'!C962,'Customer Info'!C962:C1461,1)</f>
        <v>#N/A</v>
      </c>
      <c r="I970" s="6" t="e">
        <f>VLOOKUP('Customer Info'!E962,'Customer Info'!E962:E1461,1,0)</f>
        <v>#N/A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360</v>
      </c>
      <c r="R970" s="2" t="s">
        <v>28</v>
      </c>
      <c r="S970" s="9">
        <f t="shared" si="74"/>
        <v>0.02</v>
      </c>
    </row>
    <row r="971" spans="1:19" x14ac:dyDescent="0.3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e">
        <f>VLOOKUP('Customer Info'!B963,'Customer Info'!B963:B1462,1,0)</f>
        <v>#N/A</v>
      </c>
      <c r="H971" s="6" t="e">
        <f>VLOOKUP('Customer Info'!C963,'Customer Info'!C963:C1462,1)</f>
        <v>#N/A</v>
      </c>
      <c r="I971" s="6" t="e">
        <f>VLOOKUP('Customer Info'!E963,'Customer Info'!E963:E1462,1,0)</f>
        <v>#N/A</v>
      </c>
      <c r="J971" s="2">
        <v>6598</v>
      </c>
      <c r="K971" s="2">
        <v>6346</v>
      </c>
      <c r="L971" s="2">
        <v>5</v>
      </c>
      <c r="M971" s="7">
        <f t="shared" ref="M971:M1034" si="75">(K971*L971)</f>
        <v>31730</v>
      </c>
      <c r="N971" s="7">
        <f t="shared" ref="N971:N1034" si="76">(J971*L971)</f>
        <v>32990</v>
      </c>
      <c r="O971" s="2">
        <v>25</v>
      </c>
      <c r="P971" s="8">
        <f t="shared" ref="P971:P1034" si="77">(N971+O971)</f>
        <v>33015</v>
      </c>
      <c r="Q971" s="8">
        <f t="shared" ref="Q971:Q1034" si="78">(N971-M971)</f>
        <v>1260</v>
      </c>
      <c r="R971" s="2" t="s">
        <v>28</v>
      </c>
      <c r="S971" s="9">
        <f t="shared" ref="S971:S1034" si="79">_xlfn.IFS(P971&gt;250000,0.15,P971&gt;100000,0.12,P971&gt;50000,0.09,P971&gt;25000,0.07,P971&gt;5000,0.05,
 TRUE,0.02)</f>
        <v>7.0000000000000007E-2</v>
      </c>
    </row>
    <row r="972" spans="1:19" x14ac:dyDescent="0.3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e">
        <f>VLOOKUP('Customer Info'!B964,'Customer Info'!B964:B1463,1,0)</f>
        <v>#N/A</v>
      </c>
      <c r="H972" s="6" t="e">
        <f>VLOOKUP('Customer Info'!C964,'Customer Info'!C964:C1463,1)</f>
        <v>#N/A</v>
      </c>
      <c r="I972" s="6" t="e">
        <f>VLOOKUP('Customer Info'!E964,'Customer Info'!E964:E1463,1,0)</f>
        <v>#N/A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212</v>
      </c>
      <c r="R972" s="2" t="s">
        <v>28</v>
      </c>
      <c r="S972" s="9">
        <f t="shared" si="79"/>
        <v>0.02</v>
      </c>
    </row>
    <row r="973" spans="1:19" x14ac:dyDescent="0.3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e">
        <f>VLOOKUP('Customer Info'!B965,'Customer Info'!B965:B1464,1,0)</f>
        <v>#N/A</v>
      </c>
      <c r="H973" s="6" t="e">
        <f>VLOOKUP('Customer Info'!C965,'Customer Info'!C965:C1464,1)</f>
        <v>#N/A</v>
      </c>
      <c r="I973" s="6" t="e">
        <f>VLOOKUP('Customer Info'!E965,'Customer Info'!E965:E1464,1,0)</f>
        <v>#N/A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807</v>
      </c>
      <c r="R973" s="2" t="s">
        <v>26</v>
      </c>
      <c r="S973" s="9">
        <f t="shared" si="79"/>
        <v>0.05</v>
      </c>
    </row>
    <row r="974" spans="1:19" x14ac:dyDescent="0.3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e">
        <f>VLOOKUP('Customer Info'!B966,'Customer Info'!B966:B1465,1,0)</f>
        <v>#N/A</v>
      </c>
      <c r="H974" s="6" t="e">
        <f>VLOOKUP('Customer Info'!C966,'Customer Info'!C966:C1465,1)</f>
        <v>#N/A</v>
      </c>
      <c r="I974" s="6" t="e">
        <f>VLOOKUP('Customer Info'!E966,'Customer Info'!E966:E1465,1,0)</f>
        <v>#N/A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116</v>
      </c>
      <c r="R974" s="2" t="s">
        <v>50</v>
      </c>
      <c r="S974" s="9">
        <f t="shared" si="79"/>
        <v>0.05</v>
      </c>
    </row>
    <row r="975" spans="1:19" x14ac:dyDescent="0.3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e">
        <f>VLOOKUP('Customer Info'!B967,'Customer Info'!B967:B1466,1,0)</f>
        <v>#N/A</v>
      </c>
      <c r="H975" s="6" t="e">
        <f>VLOOKUP('Customer Info'!C967,'Customer Info'!C967:C1466,1)</f>
        <v>#N/A</v>
      </c>
      <c r="I975" s="6" t="e">
        <f>VLOOKUP('Customer Info'!E967,'Customer Info'!E967:E1466,1,0)</f>
        <v>#N/A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130</v>
      </c>
      <c r="R975" s="2" t="s">
        <v>28</v>
      </c>
      <c r="S975" s="9">
        <f t="shared" si="79"/>
        <v>0.02</v>
      </c>
    </row>
    <row r="976" spans="1:19" x14ac:dyDescent="0.3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e">
        <f>VLOOKUP('Customer Info'!B968,'Customer Info'!B968:B1467,1,0)</f>
        <v>#N/A</v>
      </c>
      <c r="H976" s="6" t="e">
        <f>VLOOKUP('Customer Info'!C968,'Customer Info'!C968:C1467,1)</f>
        <v>#N/A</v>
      </c>
      <c r="I976" s="6" t="e">
        <f>VLOOKUP('Customer Info'!E968,'Customer Info'!E968:E1467,1,0)</f>
        <v>#N/A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40</v>
      </c>
      <c r="R976" s="2" t="s">
        <v>28</v>
      </c>
      <c r="S976" s="9">
        <f t="shared" si="79"/>
        <v>0.02</v>
      </c>
    </row>
    <row r="977" spans="1:19" x14ac:dyDescent="0.3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e">
        <f>VLOOKUP('Customer Info'!B969,'Customer Info'!B969:B1468,1,0)</f>
        <v>#N/A</v>
      </c>
      <c r="H977" s="6" t="e">
        <f>VLOOKUP('Customer Info'!C969,'Customer Info'!C969:C1468,1)</f>
        <v>#N/A</v>
      </c>
      <c r="I977" s="6" t="e">
        <f>VLOOKUP('Customer Info'!E969,'Customer Info'!E969:E1468,1,0)</f>
        <v>#N/A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192</v>
      </c>
      <c r="R977" s="2" t="s">
        <v>56</v>
      </c>
      <c r="S977" s="9">
        <f t="shared" si="79"/>
        <v>0.02</v>
      </c>
    </row>
    <row r="978" spans="1:19" x14ac:dyDescent="0.3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e">
        <f>VLOOKUP('Customer Info'!B970,'Customer Info'!B970:B1469,1,0)</f>
        <v>#N/A</v>
      </c>
      <c r="H978" s="6" t="e">
        <f>VLOOKUP('Customer Info'!C970,'Customer Info'!C970:C1469,1)</f>
        <v>#N/A</v>
      </c>
      <c r="I978" s="6" t="e">
        <f>VLOOKUP('Customer Info'!E970,'Customer Info'!E970:E1469,1,0)</f>
        <v>#N/A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404</v>
      </c>
      <c r="R978" s="2" t="s">
        <v>28</v>
      </c>
      <c r="S978" s="9">
        <f t="shared" si="79"/>
        <v>0.05</v>
      </c>
    </row>
    <row r="979" spans="1:19" x14ac:dyDescent="0.3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e">
        <f>VLOOKUP('Customer Info'!B971,'Customer Info'!B971:B1470,1,0)</f>
        <v>#N/A</v>
      </c>
      <c r="H979" s="6" t="e">
        <f>VLOOKUP('Customer Info'!C971,'Customer Info'!C971:C1470,1)</f>
        <v>#N/A</v>
      </c>
      <c r="I979" s="6" t="e">
        <f>VLOOKUP('Customer Info'!E971,'Customer Info'!E971:E1470,1,0)</f>
        <v>#N/A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1140</v>
      </c>
      <c r="R979" s="2" t="s">
        <v>28</v>
      </c>
      <c r="S979" s="9">
        <f t="shared" si="79"/>
        <v>0.05</v>
      </c>
    </row>
    <row r="980" spans="1:19" x14ac:dyDescent="0.3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e">
        <f>VLOOKUP('Customer Info'!B972,'Customer Info'!B972:B1471,1,0)</f>
        <v>#N/A</v>
      </c>
      <c r="H980" s="6" t="e">
        <f>VLOOKUP('Customer Info'!C972,'Customer Info'!C972:C1471,1)</f>
        <v>#N/A</v>
      </c>
      <c r="I980" s="6" t="e">
        <f>VLOOKUP('Customer Info'!E972,'Customer Info'!E972:E1471,1,0)</f>
        <v>#N/A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1194</v>
      </c>
      <c r="R980" s="2" t="s">
        <v>28</v>
      </c>
      <c r="S980" s="9">
        <f t="shared" si="79"/>
        <v>0.05</v>
      </c>
    </row>
    <row r="981" spans="1:19" x14ac:dyDescent="0.3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e">
        <f>VLOOKUP('Customer Info'!B973,'Customer Info'!B973:B1472,1,0)</f>
        <v>#N/A</v>
      </c>
      <c r="H981" s="6" t="e">
        <f>VLOOKUP('Customer Info'!C973,'Customer Info'!C973:C1472,1)</f>
        <v>#N/A</v>
      </c>
      <c r="I981" s="6" t="e">
        <f>VLOOKUP('Customer Info'!E973,'Customer Info'!E973:E1472,1,0)</f>
        <v>#N/A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64</v>
      </c>
      <c r="R981" s="2" t="s">
        <v>28</v>
      </c>
      <c r="S981" s="9">
        <f t="shared" si="79"/>
        <v>0.02</v>
      </c>
    </row>
    <row r="982" spans="1:19" x14ac:dyDescent="0.3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e">
        <f>VLOOKUP('Customer Info'!B974,'Customer Info'!B974:B1473,1,0)</f>
        <v>#N/A</v>
      </c>
      <c r="H982" s="6" t="e">
        <f>VLOOKUP('Customer Info'!C974,'Customer Info'!C974:C1473,1)</f>
        <v>#N/A</v>
      </c>
      <c r="I982" s="6" t="e">
        <f>VLOOKUP('Customer Info'!E974,'Customer Info'!E974:E1473,1,0)</f>
        <v>#N/A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180</v>
      </c>
      <c r="R982" s="2" t="s">
        <v>28</v>
      </c>
      <c r="S982" s="9">
        <f t="shared" si="79"/>
        <v>0.02</v>
      </c>
    </row>
    <row r="983" spans="1:19" x14ac:dyDescent="0.3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e">
        <f>VLOOKUP('Customer Info'!B975,'Customer Info'!B975:B1474,1,0)</f>
        <v>#N/A</v>
      </c>
      <c r="H983" s="6" t="e">
        <f>VLOOKUP('Customer Info'!C975,'Customer Info'!C975:C1474,1)</f>
        <v>#N/A</v>
      </c>
      <c r="I983" s="6" t="e">
        <f>VLOOKUP('Customer Info'!E975,'Customer Info'!E975:E1474,1,0)</f>
        <v>#N/A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294</v>
      </c>
      <c r="R983" s="2" t="s">
        <v>28</v>
      </c>
      <c r="S983" s="9">
        <f t="shared" si="79"/>
        <v>0.02</v>
      </c>
    </row>
    <row r="984" spans="1:19" x14ac:dyDescent="0.3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e">
        <f>VLOOKUP('Customer Info'!B976,'Customer Info'!B976:B1475,1,0)</f>
        <v>#N/A</v>
      </c>
      <c r="H984" s="6" t="e">
        <f>VLOOKUP('Customer Info'!C976,'Customer Info'!C976:C1475,1)</f>
        <v>#N/A</v>
      </c>
      <c r="I984" s="6" t="e">
        <f>VLOOKUP('Customer Info'!E976,'Customer Info'!E976:E1475,1,0)</f>
        <v>#N/A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138</v>
      </c>
      <c r="R984" s="2" t="s">
        <v>28</v>
      </c>
      <c r="S984" s="9">
        <f t="shared" si="79"/>
        <v>0.02</v>
      </c>
    </row>
    <row r="985" spans="1:19" x14ac:dyDescent="0.3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e">
        <f>VLOOKUP('Customer Info'!B977,'Customer Info'!B977:B1476,1,0)</f>
        <v>#N/A</v>
      </c>
      <c r="H985" s="6" t="e">
        <f>VLOOKUP('Customer Info'!C977,'Customer Info'!C977:C1476,1)</f>
        <v>#N/A</v>
      </c>
      <c r="I985" s="6" t="e">
        <f>VLOOKUP('Customer Info'!E977,'Customer Info'!E977:E1476,1,0)</f>
        <v>#N/A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268</v>
      </c>
      <c r="R985" s="2" t="s">
        <v>50</v>
      </c>
      <c r="S985" s="9">
        <f t="shared" si="79"/>
        <v>0.05</v>
      </c>
    </row>
    <row r="986" spans="1:19" x14ac:dyDescent="0.3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e">
        <f>VLOOKUP('Customer Info'!B978,'Customer Info'!B978:B1477,1,0)</f>
        <v>#N/A</v>
      </c>
      <c r="H986" s="6" t="e">
        <f>VLOOKUP('Customer Info'!C978,'Customer Info'!C978:C1477,1)</f>
        <v>#N/A</v>
      </c>
      <c r="I986" s="6" t="e">
        <f>VLOOKUP('Customer Info'!E978,'Customer Info'!E978:E1477,1,0)</f>
        <v>#N/A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466</v>
      </c>
      <c r="R986" s="2" t="s">
        <v>28</v>
      </c>
      <c r="S986" s="9">
        <f t="shared" si="79"/>
        <v>0.05</v>
      </c>
    </row>
    <row r="987" spans="1:19" x14ac:dyDescent="0.3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e">
        <f>VLOOKUP('Customer Info'!B979,'Customer Info'!B979:B1478,1,0)</f>
        <v>#N/A</v>
      </c>
      <c r="H987" s="6" t="e">
        <f>VLOOKUP('Customer Info'!C979,'Customer Info'!C979:C1478,1)</f>
        <v>#N/A</v>
      </c>
      <c r="I987" s="6" t="e">
        <f>VLOOKUP('Customer Info'!E979,'Customer Info'!E979:E1478,1,0)</f>
        <v>#N/A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3840</v>
      </c>
      <c r="R987" s="2" t="s">
        <v>50</v>
      </c>
      <c r="S987" s="9">
        <f t="shared" si="79"/>
        <v>7.0000000000000007E-2</v>
      </c>
    </row>
    <row r="988" spans="1:19" x14ac:dyDescent="0.3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e">
        <f>VLOOKUP('Customer Info'!B980,'Customer Info'!B980:B1479,1,0)</f>
        <v>#N/A</v>
      </c>
      <c r="H988" s="6" t="e">
        <f>VLOOKUP('Customer Info'!C980,'Customer Info'!C980:C1479,1)</f>
        <v>#N/A</v>
      </c>
      <c r="I988" s="6" t="e">
        <f>VLOOKUP('Customer Info'!E980,'Customer Info'!E980:E1479,1,0)</f>
        <v>#N/A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2704</v>
      </c>
      <c r="R988" s="2" t="s">
        <v>50</v>
      </c>
      <c r="S988" s="9">
        <f t="shared" si="79"/>
        <v>7.0000000000000007E-2</v>
      </c>
    </row>
    <row r="989" spans="1:19" x14ac:dyDescent="0.3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e">
        <f>VLOOKUP('Customer Info'!B981,'Customer Info'!B981:B1480,1,0)</f>
        <v>#N/A</v>
      </c>
      <c r="H989" s="6" t="e">
        <f>VLOOKUP('Customer Info'!C981,'Customer Info'!C981:C1480,1)</f>
        <v>#N/A</v>
      </c>
      <c r="I989" s="6" t="e">
        <f>VLOOKUP('Customer Info'!E981,'Customer Info'!E981:E1480,1,0)</f>
        <v>#N/A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1023</v>
      </c>
      <c r="R989" s="2" t="s">
        <v>28</v>
      </c>
      <c r="S989" s="9">
        <f t="shared" si="79"/>
        <v>0.05</v>
      </c>
    </row>
    <row r="990" spans="1:19" x14ac:dyDescent="0.3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e">
        <f>VLOOKUP('Customer Info'!B982,'Customer Info'!B982:B1481,1,0)</f>
        <v>#N/A</v>
      </c>
      <c r="H990" s="6" t="e">
        <f>VLOOKUP('Customer Info'!C982,'Customer Info'!C982:C1481,1)</f>
        <v>#N/A</v>
      </c>
      <c r="I990" s="6" t="e">
        <f>VLOOKUP('Customer Info'!E982,'Customer Info'!E982:E1481,1,0)</f>
        <v>#N/A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28</v>
      </c>
      <c r="R990" s="2" t="s">
        <v>28</v>
      </c>
      <c r="S990" s="9">
        <f t="shared" si="79"/>
        <v>0.02</v>
      </c>
    </row>
    <row r="991" spans="1:19" x14ac:dyDescent="0.3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e">
        <f>VLOOKUP('Customer Info'!B983,'Customer Info'!B983:B1482,1,0)</f>
        <v>#N/A</v>
      </c>
      <c r="H991" s="6" t="e">
        <f>VLOOKUP('Customer Info'!C983,'Customer Info'!C983:C1482,1)</f>
        <v>#N/A</v>
      </c>
      <c r="I991" s="6" t="e">
        <f>VLOOKUP('Customer Info'!E983,'Customer Info'!E983:E1482,1,0)</f>
        <v>#N/A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45</v>
      </c>
      <c r="R991" s="2" t="s">
        <v>28</v>
      </c>
      <c r="S991" s="9">
        <f t="shared" si="79"/>
        <v>0.02</v>
      </c>
    </row>
    <row r="992" spans="1:19" x14ac:dyDescent="0.3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e">
        <f>VLOOKUP('Customer Info'!B984,'Customer Info'!B984:B1483,1,0)</f>
        <v>#N/A</v>
      </c>
      <c r="H992" s="6" t="e">
        <f>VLOOKUP('Customer Info'!C984,'Customer Info'!C984:C1483,1)</f>
        <v>#N/A</v>
      </c>
      <c r="I992" s="6" t="e">
        <f>VLOOKUP('Customer Info'!E984,'Customer Info'!E984:E1483,1,0)</f>
        <v>#N/A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543</v>
      </c>
      <c r="R992" s="2" t="s">
        <v>50</v>
      </c>
      <c r="S992" s="9">
        <f t="shared" si="79"/>
        <v>0.05</v>
      </c>
    </row>
    <row r="993" spans="1:19" x14ac:dyDescent="0.3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e">
        <f>VLOOKUP('Customer Info'!B985,'Customer Info'!B985:B1484,1,0)</f>
        <v>#N/A</v>
      </c>
      <c r="H993" s="6" t="e">
        <f>VLOOKUP('Customer Info'!C985,'Customer Info'!C985:C1484,1)</f>
        <v>#N/A</v>
      </c>
      <c r="I993" s="6" t="e">
        <f>VLOOKUP('Customer Info'!E985,'Customer Info'!E985:E1484,1,0)</f>
        <v>#N/A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2</v>
      </c>
      <c r="R993" s="2" t="s">
        <v>28</v>
      </c>
      <c r="S993" s="9">
        <f t="shared" si="79"/>
        <v>0.02</v>
      </c>
    </row>
    <row r="994" spans="1:19" x14ac:dyDescent="0.3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e">
        <f>VLOOKUP('Customer Info'!B986,'Customer Info'!B986:B1485,1,0)</f>
        <v>#N/A</v>
      </c>
      <c r="H994" s="6" t="e">
        <f>VLOOKUP('Customer Info'!C986,'Customer Info'!C986:C1485,1)</f>
        <v>#N/A</v>
      </c>
      <c r="I994" s="6" t="e">
        <f>VLOOKUP('Customer Info'!E986,'Customer Info'!E986:E1485,1,0)</f>
        <v>#N/A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654</v>
      </c>
      <c r="R994" s="2" t="s">
        <v>28</v>
      </c>
      <c r="S994" s="9">
        <f t="shared" si="79"/>
        <v>0.05</v>
      </c>
    </row>
    <row r="995" spans="1:19" x14ac:dyDescent="0.3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e">
        <f>VLOOKUP('Customer Info'!B987,'Customer Info'!B987:B1486,1,0)</f>
        <v>#N/A</v>
      </c>
      <c r="H995" s="6" t="e">
        <f>VLOOKUP('Customer Info'!C987,'Customer Info'!C987:C1486,1)</f>
        <v>#N/A</v>
      </c>
      <c r="I995" s="6" t="e">
        <f>VLOOKUP('Customer Info'!E987,'Customer Info'!E987:E1486,1,0)</f>
        <v>#N/A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8385</v>
      </c>
      <c r="R995" s="2" t="s">
        <v>26</v>
      </c>
      <c r="S995" s="9">
        <f t="shared" si="79"/>
        <v>0.09</v>
      </c>
    </row>
    <row r="996" spans="1:19" x14ac:dyDescent="0.3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e">
        <f>VLOOKUP('Customer Info'!B988,'Customer Info'!B988:B1487,1,0)</f>
        <v>#N/A</v>
      </c>
      <c r="H996" s="6" t="e">
        <f>VLOOKUP('Customer Info'!C988,'Customer Info'!C988:C1487,1)</f>
        <v>#N/A</v>
      </c>
      <c r="I996" s="6" t="e">
        <f>VLOOKUP('Customer Info'!E988,'Customer Info'!E988:E1487,1,0)</f>
        <v>#N/A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645</v>
      </c>
      <c r="R996" s="2" t="s">
        <v>50</v>
      </c>
      <c r="S996" s="9">
        <f t="shared" si="79"/>
        <v>0.05</v>
      </c>
    </row>
    <row r="997" spans="1:19" x14ac:dyDescent="0.3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e">
        <f>VLOOKUP('Customer Info'!B989,'Customer Info'!B989:B1488,1,0)</f>
        <v>#N/A</v>
      </c>
      <c r="H997" s="6" t="e">
        <f>VLOOKUP('Customer Info'!C989,'Customer Info'!C989:C1488,1)</f>
        <v>#N/A</v>
      </c>
      <c r="I997" s="6" t="e">
        <f>VLOOKUP('Customer Info'!E989,'Customer Info'!E989:E1488,1,0)</f>
        <v>#N/A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360</v>
      </c>
      <c r="R997" s="2" t="s">
        <v>28</v>
      </c>
      <c r="S997" s="9">
        <f t="shared" si="79"/>
        <v>0.05</v>
      </c>
    </row>
    <row r="998" spans="1:19" x14ac:dyDescent="0.3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e">
        <f>VLOOKUP('Customer Info'!B990,'Customer Info'!B990:B1489,1,0)</f>
        <v>#N/A</v>
      </c>
      <c r="H998" s="6" t="e">
        <f>VLOOKUP('Customer Info'!C990,'Customer Info'!C990:C1489,1)</f>
        <v>#N/A</v>
      </c>
      <c r="I998" s="6" t="e">
        <f>VLOOKUP('Customer Info'!E990,'Customer Info'!E990:E1489,1,0)</f>
        <v>#N/A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152</v>
      </c>
      <c r="R998" s="2" t="s">
        <v>28</v>
      </c>
      <c r="S998" s="9">
        <f t="shared" si="79"/>
        <v>0.02</v>
      </c>
    </row>
    <row r="999" spans="1:19" x14ac:dyDescent="0.3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e">
        <f>VLOOKUP('Customer Info'!B991,'Customer Info'!B991:B1490,1,0)</f>
        <v>#N/A</v>
      </c>
      <c r="H999" s="6" t="e">
        <f>VLOOKUP('Customer Info'!C991,'Customer Info'!C991:C1490,1)</f>
        <v>#N/A</v>
      </c>
      <c r="I999" s="6" t="e">
        <f>VLOOKUP('Customer Info'!E991,'Customer Info'!E991:E1490,1,0)</f>
        <v>#N/A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474</v>
      </c>
      <c r="R999" s="2" t="s">
        <v>50</v>
      </c>
      <c r="S999" s="9">
        <f t="shared" si="79"/>
        <v>0.05</v>
      </c>
    </row>
    <row r="1000" spans="1:19" x14ac:dyDescent="0.3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e">
        <f>VLOOKUP('Customer Info'!B992,'Customer Info'!B992:B1491,1,0)</f>
        <v>#N/A</v>
      </c>
      <c r="H1000" s="6" t="e">
        <f>VLOOKUP('Customer Info'!C992,'Customer Info'!C992:C1491,1)</f>
        <v>#N/A</v>
      </c>
      <c r="I1000" s="6" t="e">
        <f>VLOOKUP('Customer Info'!E992,'Customer Info'!E992:E1491,1,0)</f>
        <v>#N/A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122</v>
      </c>
      <c r="R1000" s="2" t="s">
        <v>50</v>
      </c>
      <c r="S1000" s="9">
        <f t="shared" si="79"/>
        <v>0.02</v>
      </c>
    </row>
    <row r="1001" spans="1:19" x14ac:dyDescent="0.3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e">
        <f>VLOOKUP('Customer Info'!B993,'Customer Info'!B993:B1492,1,0)</f>
        <v>#N/A</v>
      </c>
      <c r="H1001" s="6" t="e">
        <f>VLOOKUP('Customer Info'!C993,'Customer Info'!C993:C1492,1)</f>
        <v>#N/A</v>
      </c>
      <c r="I1001" s="6" t="e">
        <f>VLOOKUP('Customer Info'!E993,'Customer Info'!E993:E1492,1,0)</f>
        <v>#N/A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1336</v>
      </c>
      <c r="R1001" s="2" t="s">
        <v>28</v>
      </c>
      <c r="S1001" s="9">
        <f t="shared" si="79"/>
        <v>0.05</v>
      </c>
    </row>
    <row r="1002" spans="1:19" x14ac:dyDescent="0.3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e">
        <f>VLOOKUP('Customer Info'!B994,'Customer Info'!B994:B1493,1,0)</f>
        <v>#N/A</v>
      </c>
      <c r="H1002" s="6" t="e">
        <f>VLOOKUP('Customer Info'!C994,'Customer Info'!C994:C1493,1)</f>
        <v>#N/A</v>
      </c>
      <c r="I1002" s="6" t="e">
        <f>VLOOKUP('Customer Info'!E994,'Customer Info'!E994:E1493,1,0)</f>
        <v>#N/A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129</v>
      </c>
      <c r="R1002" s="2" t="s">
        <v>50</v>
      </c>
      <c r="S1002" s="9">
        <f t="shared" si="79"/>
        <v>0.05</v>
      </c>
    </row>
    <row r="1003" spans="1:19" x14ac:dyDescent="0.3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e">
        <f>VLOOKUP('Customer Info'!B995,'Customer Info'!B995:B1494,1,0)</f>
        <v>#N/A</v>
      </c>
      <c r="H1003" s="6" t="e">
        <f>VLOOKUP('Customer Info'!C995,'Customer Info'!C995:C1494,1)</f>
        <v>#N/A</v>
      </c>
      <c r="I1003" s="6" t="e">
        <f>VLOOKUP('Customer Info'!E995,'Customer Info'!E995:E1494,1,0)</f>
        <v>#N/A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466</v>
      </c>
      <c r="R1003" s="2" t="s">
        <v>28</v>
      </c>
      <c r="S1003" s="9">
        <f t="shared" si="79"/>
        <v>0.05</v>
      </c>
    </row>
    <row r="1004" spans="1:19" x14ac:dyDescent="0.3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e">
        <f>VLOOKUP('Customer Info'!B996,'Customer Info'!B996:B1495,1,0)</f>
        <v>#N/A</v>
      </c>
      <c r="H1004" s="6" t="e">
        <f>VLOOKUP('Customer Info'!C996,'Customer Info'!C996:C1495,1)</f>
        <v>#N/A</v>
      </c>
      <c r="I1004" s="6" t="e">
        <f>VLOOKUP('Customer Info'!E996,'Customer Info'!E996:E1495,1,0)</f>
        <v>#N/A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1800</v>
      </c>
      <c r="R1004" s="2" t="s">
        <v>26</v>
      </c>
      <c r="S1004" s="9">
        <f t="shared" si="79"/>
        <v>0.05</v>
      </c>
    </row>
    <row r="1005" spans="1:19" x14ac:dyDescent="0.3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e">
        <f>VLOOKUP('Customer Info'!B997,'Customer Info'!B997:B1496,1,0)</f>
        <v>#N/A</v>
      </c>
      <c r="H1005" s="6" t="e">
        <f>VLOOKUP('Customer Info'!C997,'Customer Info'!C997:C1496,1)</f>
        <v>#N/A</v>
      </c>
      <c r="I1005" s="6" t="e">
        <f>VLOOKUP('Customer Info'!E997,'Customer Info'!E997:E1496,1,0)</f>
        <v>#N/A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288</v>
      </c>
      <c r="R1005" s="2" t="s">
        <v>50</v>
      </c>
      <c r="S1005" s="9">
        <f t="shared" si="79"/>
        <v>0.05</v>
      </c>
    </row>
    <row r="1006" spans="1:19" x14ac:dyDescent="0.3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e">
        <f>VLOOKUP('Customer Info'!B998,'Customer Info'!B998:B1497,1,0)</f>
        <v>#N/A</v>
      </c>
      <c r="H1006" s="6" t="e">
        <f>VLOOKUP('Customer Info'!C998,'Customer Info'!C998:C1497,1)</f>
        <v>#N/A</v>
      </c>
      <c r="I1006" s="6" t="e">
        <f>VLOOKUP('Customer Info'!E998,'Customer Info'!E998:E1497,1,0)</f>
        <v>#N/A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</v>
      </c>
      <c r="R1006" s="2" t="s">
        <v>28</v>
      </c>
      <c r="S1006" s="9">
        <f t="shared" si="79"/>
        <v>0.02</v>
      </c>
    </row>
    <row r="1007" spans="1:19" x14ac:dyDescent="0.3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e">
        <f>VLOOKUP('Customer Info'!B999,'Customer Info'!B999:B1498,1,0)</f>
        <v>#N/A</v>
      </c>
      <c r="H1007" s="6" t="e">
        <f>VLOOKUP('Customer Info'!C999,'Customer Info'!C999:C1498,1)</f>
        <v>#N/A</v>
      </c>
      <c r="I1007" s="6" t="e">
        <f>VLOOKUP('Customer Info'!E999,'Customer Info'!E999:E1498,1,0)</f>
        <v>#N/A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132</v>
      </c>
      <c r="R1007" s="2" t="s">
        <v>50</v>
      </c>
      <c r="S1007" s="9">
        <f t="shared" si="79"/>
        <v>0.02</v>
      </c>
    </row>
    <row r="1008" spans="1:19" x14ac:dyDescent="0.3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e">
        <f>VLOOKUP('Customer Info'!B1000,'Customer Info'!B1000:B1499,1,0)</f>
        <v>#N/A</v>
      </c>
      <c r="H1008" s="6" t="e">
        <f>VLOOKUP('Customer Info'!C1000,'Customer Info'!C1000:C1499,1)</f>
        <v>#N/A</v>
      </c>
      <c r="I1008" s="6" t="e">
        <f>VLOOKUP('Customer Info'!E1000,'Customer Info'!E1000:E1499,1,0)</f>
        <v>#N/A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92</v>
      </c>
      <c r="R1008" s="2" t="s">
        <v>56</v>
      </c>
      <c r="S1008" s="9">
        <f t="shared" si="79"/>
        <v>0.02</v>
      </c>
    </row>
    <row r="1009" spans="1:19" x14ac:dyDescent="0.3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e">
        <f>VLOOKUP('Customer Info'!B1001,'Customer Info'!B1001:B1500,1,0)</f>
        <v>#N/A</v>
      </c>
      <c r="H1009" s="6" t="e">
        <f>VLOOKUP('Customer Info'!C1001,'Customer Info'!C1001:C1500,1)</f>
        <v>#N/A</v>
      </c>
      <c r="I1009" s="6" t="e">
        <f>VLOOKUP('Customer Info'!E1001,'Customer Info'!E1001:E1500,1,0)</f>
        <v>#N/A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327</v>
      </c>
      <c r="R1009" s="2" t="s">
        <v>28</v>
      </c>
      <c r="S1009" s="9">
        <f t="shared" si="79"/>
        <v>0.02</v>
      </c>
    </row>
    <row r="1010" spans="1:19" x14ac:dyDescent="0.3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e">
        <f>VLOOKUP('Customer Info'!B1002,'Customer Info'!B1002:B1501,1,0)</f>
        <v>#N/A</v>
      </c>
      <c r="H1010" s="6" t="e">
        <f>VLOOKUP('Customer Info'!C1002,'Customer Info'!C1002:C1501,1)</f>
        <v>#N/A</v>
      </c>
      <c r="I1010" s="6" t="e">
        <f>VLOOKUP('Customer Info'!E1002,'Customer Info'!E1002:E1501,1,0)</f>
        <v>#N/A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14</v>
      </c>
      <c r="R1010" s="2" t="s">
        <v>50</v>
      </c>
      <c r="S1010" s="9">
        <f t="shared" si="79"/>
        <v>0.02</v>
      </c>
    </row>
    <row r="1011" spans="1:19" x14ac:dyDescent="0.3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e">
        <f>VLOOKUP('Customer Info'!B1003,'Customer Info'!B1003:B1502,1,0)</f>
        <v>#N/A</v>
      </c>
      <c r="H1011" s="6" t="e">
        <f>VLOOKUP('Customer Info'!C1003,'Customer Info'!C1003:C1502,1)</f>
        <v>#N/A</v>
      </c>
      <c r="I1011" s="6" t="e">
        <f>VLOOKUP('Customer Info'!E1003,'Customer Info'!E1003:E1502,1,0)</f>
        <v>#N/A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139</v>
      </c>
      <c r="R1011" s="2" t="s">
        <v>50</v>
      </c>
      <c r="S1011" s="9">
        <f t="shared" si="79"/>
        <v>0.02</v>
      </c>
    </row>
    <row r="1012" spans="1:19" x14ac:dyDescent="0.3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e">
        <f>VLOOKUP('Customer Info'!B1004,'Customer Info'!B1004:B1503,1,0)</f>
        <v>#N/A</v>
      </c>
      <c r="H1012" s="6" t="e">
        <f>VLOOKUP('Customer Info'!C1004,'Customer Info'!C1004:C1503,1)</f>
        <v>#N/A</v>
      </c>
      <c r="I1012" s="6" t="e">
        <f>VLOOKUP('Customer Info'!E1004,'Customer Info'!E1004:E1503,1,0)</f>
        <v>#N/A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20</v>
      </c>
      <c r="R1012" s="2" t="s">
        <v>50</v>
      </c>
      <c r="S1012" s="9">
        <f t="shared" si="79"/>
        <v>0.02</v>
      </c>
    </row>
    <row r="1013" spans="1:19" x14ac:dyDescent="0.3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e">
        <f>VLOOKUP('Customer Info'!B1005,'Customer Info'!B1005:B1504,1,0)</f>
        <v>#N/A</v>
      </c>
      <c r="H1013" s="6" t="e">
        <f>VLOOKUP('Customer Info'!C1005,'Customer Info'!C1005:C1504,1)</f>
        <v>#N/A</v>
      </c>
      <c r="I1013" s="6" t="e">
        <f>VLOOKUP('Customer Info'!E1005,'Customer Info'!E1005:E1504,1,0)</f>
        <v>#N/A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50</v>
      </c>
      <c r="R1013" s="2" t="s">
        <v>50</v>
      </c>
      <c r="S1013" s="9">
        <f t="shared" si="79"/>
        <v>0.02</v>
      </c>
    </row>
    <row r="1014" spans="1:19" x14ac:dyDescent="0.3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e">
        <f>VLOOKUP('Customer Info'!B1006,'Customer Info'!B1006:B1505,1,0)</f>
        <v>#N/A</v>
      </c>
      <c r="H1014" s="6" t="e">
        <f>VLOOKUP('Customer Info'!C1006,'Customer Info'!C1006:C1505,1)</f>
        <v>#N/A</v>
      </c>
      <c r="I1014" s="6" t="e">
        <f>VLOOKUP('Customer Info'!E1006,'Customer Info'!E1006:E1505,1,0)</f>
        <v>#N/A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1340</v>
      </c>
      <c r="R1014" s="2" t="s">
        <v>28</v>
      </c>
      <c r="S1014" s="9">
        <f t="shared" si="79"/>
        <v>0.05</v>
      </c>
    </row>
    <row r="1015" spans="1:19" x14ac:dyDescent="0.3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e">
        <f>VLOOKUP('Customer Info'!B1007,'Customer Info'!B1007:B1506,1,0)</f>
        <v>#N/A</v>
      </c>
      <c r="H1015" s="6" t="e">
        <f>VLOOKUP('Customer Info'!C1007,'Customer Info'!C1007:C1506,1)</f>
        <v>#N/A</v>
      </c>
      <c r="I1015" s="6" t="e">
        <f>VLOOKUP('Customer Info'!E1007,'Customer Info'!E1007:E1506,1,0)</f>
        <v>#N/A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1770</v>
      </c>
      <c r="R1015" s="2" t="s">
        <v>28</v>
      </c>
      <c r="S1015" s="9">
        <f t="shared" si="79"/>
        <v>0.05</v>
      </c>
    </row>
    <row r="1016" spans="1:19" x14ac:dyDescent="0.3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e">
        <f>VLOOKUP('Customer Info'!B1008,'Customer Info'!B1008:B1507,1,0)</f>
        <v>#N/A</v>
      </c>
      <c r="H1016" s="6" t="e">
        <f>VLOOKUP('Customer Info'!C1008,'Customer Info'!C1008:C1507,1)</f>
        <v>#N/A</v>
      </c>
      <c r="I1016" s="6" t="e">
        <f>VLOOKUP('Customer Info'!E1008,'Customer Info'!E1008:E1507,1,0)</f>
        <v>#N/A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26</v>
      </c>
      <c r="R1016" s="2" t="s">
        <v>28</v>
      </c>
      <c r="S1016" s="9">
        <f t="shared" si="79"/>
        <v>0.02</v>
      </c>
    </row>
    <row r="1017" spans="1:19" x14ac:dyDescent="0.3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e">
        <f>VLOOKUP('Customer Info'!B1009,'Customer Info'!B1009:B1508,1,0)</f>
        <v>#N/A</v>
      </c>
      <c r="H1017" s="6" t="e">
        <f>VLOOKUP('Customer Info'!C1009,'Customer Info'!C1009:C1508,1)</f>
        <v>#N/A</v>
      </c>
      <c r="I1017" s="6" t="e">
        <f>VLOOKUP('Customer Info'!E1009,'Customer Info'!E1009:E1508,1,0)</f>
        <v>#N/A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5</v>
      </c>
      <c r="R1017" s="2" t="s">
        <v>28</v>
      </c>
      <c r="S1017" s="9">
        <f t="shared" si="79"/>
        <v>0.02</v>
      </c>
    </row>
    <row r="1018" spans="1:19" x14ac:dyDescent="0.3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e">
        <f>VLOOKUP('Customer Info'!B1010,'Customer Info'!B1010:B1509,1,0)</f>
        <v>#N/A</v>
      </c>
      <c r="H1018" s="6" t="e">
        <f>VLOOKUP('Customer Info'!C1010,'Customer Info'!C1010:C1509,1)</f>
        <v>#N/A</v>
      </c>
      <c r="I1018" s="6" t="e">
        <f>VLOOKUP('Customer Info'!E1010,'Customer Info'!E1010:E1509,1,0)</f>
        <v>#N/A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35</v>
      </c>
      <c r="R1018" s="2" t="s">
        <v>28</v>
      </c>
      <c r="S1018" s="9">
        <f t="shared" si="79"/>
        <v>0.02</v>
      </c>
    </row>
    <row r="1019" spans="1:19" x14ac:dyDescent="0.3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e">
        <f>VLOOKUP('Customer Info'!B1011,'Customer Info'!B1011:B1510,1,0)</f>
        <v>#N/A</v>
      </c>
      <c r="H1019" s="6" t="e">
        <f>VLOOKUP('Customer Info'!C1011,'Customer Info'!C1011:C1510,1)</f>
        <v>#N/A</v>
      </c>
      <c r="I1019" s="6" t="e">
        <f>VLOOKUP('Customer Info'!E1011,'Customer Info'!E1011:E1510,1,0)</f>
        <v>#N/A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162</v>
      </c>
      <c r="R1019" s="2" t="s">
        <v>28</v>
      </c>
      <c r="S1019" s="9">
        <f t="shared" si="79"/>
        <v>0.02</v>
      </c>
    </row>
    <row r="1020" spans="1:19" x14ac:dyDescent="0.3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e">
        <f>VLOOKUP('Customer Info'!B1012,'Customer Info'!B1012:B1511,1,0)</f>
        <v>#N/A</v>
      </c>
      <c r="H1020" s="6" t="e">
        <f>VLOOKUP('Customer Info'!C1012,'Customer Info'!C1012:C1511,1)</f>
        <v>#N/A</v>
      </c>
      <c r="I1020" s="6" t="e">
        <f>VLOOKUP('Customer Info'!E1012,'Customer Info'!E1012:E1511,1,0)</f>
        <v>#N/A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256</v>
      </c>
      <c r="R1020" s="2" t="s">
        <v>28</v>
      </c>
      <c r="S1020" s="9">
        <f t="shared" si="79"/>
        <v>0.05</v>
      </c>
    </row>
    <row r="1021" spans="1:19" x14ac:dyDescent="0.3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e">
        <f>VLOOKUP('Customer Info'!B1013,'Customer Info'!B1013:B1512,1,0)</f>
        <v>#N/A</v>
      </c>
      <c r="H1021" s="6" t="e">
        <f>VLOOKUP('Customer Info'!C1013,'Customer Info'!C1013:C1512,1)</f>
        <v>#N/A</v>
      </c>
      <c r="I1021" s="6" t="e">
        <f>VLOOKUP('Customer Info'!E1013,'Customer Info'!E1013:E1512,1,0)</f>
        <v>#N/A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91</v>
      </c>
      <c r="R1021" s="2" t="s">
        <v>28</v>
      </c>
      <c r="S1021" s="9">
        <f t="shared" si="79"/>
        <v>0.02</v>
      </c>
    </row>
    <row r="1022" spans="1:19" x14ac:dyDescent="0.3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e">
        <f>VLOOKUP('Customer Info'!B1014,'Customer Info'!B1014:B1513,1,0)</f>
        <v>#N/A</v>
      </c>
      <c r="H1022" s="6" t="e">
        <f>VLOOKUP('Customer Info'!C1014,'Customer Info'!C1014:C1513,1)</f>
        <v>#N/A</v>
      </c>
      <c r="I1022" s="6" t="e">
        <f>VLOOKUP('Customer Info'!E1014,'Customer Info'!E1014:E1513,1,0)</f>
        <v>#N/A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402</v>
      </c>
      <c r="R1022" s="2" t="s">
        <v>50</v>
      </c>
      <c r="S1022" s="9">
        <f t="shared" si="79"/>
        <v>0.02</v>
      </c>
    </row>
    <row r="1023" spans="1:19" x14ac:dyDescent="0.3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e">
        <f>VLOOKUP('Customer Info'!B1015,'Customer Info'!B1015:B1514,1,0)</f>
        <v>#N/A</v>
      </c>
      <c r="H1023" s="6" t="e">
        <f>VLOOKUP('Customer Info'!C1015,'Customer Info'!C1015:C1514,1)</f>
        <v>#N/A</v>
      </c>
      <c r="I1023" s="6" t="e">
        <f>VLOOKUP('Customer Info'!E1015,'Customer Info'!E1015:E1514,1,0)</f>
        <v>#N/A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512</v>
      </c>
      <c r="R1023" s="2" t="s">
        <v>50</v>
      </c>
      <c r="S1023" s="9">
        <f t="shared" si="79"/>
        <v>0.05</v>
      </c>
    </row>
    <row r="1024" spans="1:19" x14ac:dyDescent="0.3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e">
        <f>VLOOKUP('Customer Info'!B1016,'Customer Info'!B1016:B1515,1,0)</f>
        <v>#N/A</v>
      </c>
      <c r="H1024" s="6" t="e">
        <f>VLOOKUP('Customer Info'!C1016,'Customer Info'!C1016:C1515,1)</f>
        <v>#N/A</v>
      </c>
      <c r="I1024" s="6" t="e">
        <f>VLOOKUP('Customer Info'!E1016,'Customer Info'!E1016:E1515,1,0)</f>
        <v>#N/A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354</v>
      </c>
      <c r="R1024" s="2" t="s">
        <v>28</v>
      </c>
      <c r="S1024" s="9">
        <f t="shared" si="79"/>
        <v>0.02</v>
      </c>
    </row>
    <row r="1025" spans="1:19" x14ac:dyDescent="0.3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e">
        <f>VLOOKUP('Customer Info'!B1017,'Customer Info'!B1017:B1516,1,0)</f>
        <v>#N/A</v>
      </c>
      <c r="H1025" s="6" t="e">
        <f>VLOOKUP('Customer Info'!C1017,'Customer Info'!C1017:C1516,1)</f>
        <v>#N/A</v>
      </c>
      <c r="I1025" s="6" t="e">
        <f>VLOOKUP('Customer Info'!E1017,'Customer Info'!E1017:E1516,1,0)</f>
        <v>#N/A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756</v>
      </c>
      <c r="R1025" s="2" t="s">
        <v>28</v>
      </c>
      <c r="S1025" s="9">
        <f t="shared" si="79"/>
        <v>0.05</v>
      </c>
    </row>
    <row r="1026" spans="1:19" x14ac:dyDescent="0.3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e">
        <f>VLOOKUP('Customer Info'!B1018,'Customer Info'!B1018:B1517,1,0)</f>
        <v>#N/A</v>
      </c>
      <c r="H1026" s="6" t="e">
        <f>VLOOKUP('Customer Info'!C1018,'Customer Info'!C1018:C1517,1)</f>
        <v>#N/A</v>
      </c>
      <c r="I1026" s="6" t="e">
        <f>VLOOKUP('Customer Info'!E1018,'Customer Info'!E1018:E1517,1,0)</f>
        <v>#N/A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466</v>
      </c>
      <c r="R1026" s="2" t="s">
        <v>50</v>
      </c>
      <c r="S1026" s="9">
        <f t="shared" si="79"/>
        <v>0.05</v>
      </c>
    </row>
    <row r="1027" spans="1:19" x14ac:dyDescent="0.3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e">
        <f>VLOOKUP('Customer Info'!B1019,'Customer Info'!B1019:B1518,1,0)</f>
        <v>#N/A</v>
      </c>
      <c r="H1027" s="6" t="e">
        <f>VLOOKUP('Customer Info'!C1019,'Customer Info'!C1019:C1518,1)</f>
        <v>#N/A</v>
      </c>
      <c r="I1027" s="6" t="e">
        <f>VLOOKUP('Customer Info'!E1019,'Customer Info'!E1019:E1518,1,0)</f>
        <v>#N/A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6</v>
      </c>
      <c r="R1027" s="2" t="s">
        <v>28</v>
      </c>
      <c r="S1027" s="9">
        <f t="shared" si="79"/>
        <v>0.02</v>
      </c>
    </row>
    <row r="1028" spans="1:19" x14ac:dyDescent="0.3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e">
        <f>VLOOKUP('Customer Info'!B1020,'Customer Info'!B1020:B1519,1,0)</f>
        <v>#N/A</v>
      </c>
      <c r="H1028" s="6" t="e">
        <f>VLOOKUP('Customer Info'!C1020,'Customer Info'!C1020:C1519,1)</f>
        <v>#N/A</v>
      </c>
      <c r="I1028" s="6" t="e">
        <f>VLOOKUP('Customer Info'!E1020,'Customer Info'!E1020:E1519,1,0)</f>
        <v>#N/A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64</v>
      </c>
      <c r="R1028" s="2" t="s">
        <v>28</v>
      </c>
      <c r="S1028" s="9">
        <f t="shared" si="79"/>
        <v>0.02</v>
      </c>
    </row>
    <row r="1029" spans="1:19" x14ac:dyDescent="0.3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e">
        <f>VLOOKUP('Customer Info'!B1021,'Customer Info'!B1021:B1520,1,0)</f>
        <v>#N/A</v>
      </c>
      <c r="H1029" s="6" t="e">
        <f>VLOOKUP('Customer Info'!C1021,'Customer Info'!C1021:C1520,1)</f>
        <v>#N/A</v>
      </c>
      <c r="I1029" s="6" t="e">
        <f>VLOOKUP('Customer Info'!E1021,'Customer Info'!E1021:E1520,1,0)</f>
        <v>#N/A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316</v>
      </c>
      <c r="R1029" s="2" t="s">
        <v>28</v>
      </c>
      <c r="S1029" s="9">
        <f t="shared" si="79"/>
        <v>0.05</v>
      </c>
    </row>
    <row r="1030" spans="1:19" x14ac:dyDescent="0.3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e">
        <f>VLOOKUP('Customer Info'!B1022,'Customer Info'!B1022:B1521,1,0)</f>
        <v>#N/A</v>
      </c>
      <c r="H1030" s="6" t="e">
        <f>VLOOKUP('Customer Info'!C1022,'Customer Info'!C1022:C1521,1)</f>
        <v>#N/A</v>
      </c>
      <c r="I1030" s="6" t="e">
        <f>VLOOKUP('Customer Info'!E1022,'Customer Info'!E1022:E1521,1,0)</f>
        <v>#N/A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378</v>
      </c>
      <c r="R1030" s="2" t="s">
        <v>28</v>
      </c>
      <c r="S1030" s="9">
        <f t="shared" si="79"/>
        <v>0.05</v>
      </c>
    </row>
    <row r="1031" spans="1:19" x14ac:dyDescent="0.3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e">
        <f>VLOOKUP('Customer Info'!B1023,'Customer Info'!B1023:B1522,1,0)</f>
        <v>#N/A</v>
      </c>
      <c r="H1031" s="6" t="e">
        <f>VLOOKUP('Customer Info'!C1023,'Customer Info'!C1023:C1522,1)</f>
        <v>#N/A</v>
      </c>
      <c r="I1031" s="6" t="e">
        <f>VLOOKUP('Customer Info'!E1023,'Customer Info'!E1023:E1522,1,0)</f>
        <v>#N/A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657</v>
      </c>
      <c r="R1031" s="2" t="s">
        <v>56</v>
      </c>
      <c r="S1031" s="9">
        <f t="shared" si="79"/>
        <v>0.05</v>
      </c>
    </row>
    <row r="1032" spans="1:19" x14ac:dyDescent="0.3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e">
        <f>VLOOKUP('Customer Info'!B1024,'Customer Info'!B1024:B1523,1,0)</f>
        <v>#N/A</v>
      </c>
      <c r="H1032" s="6" t="e">
        <f>VLOOKUP('Customer Info'!C1024,'Customer Info'!C1024:C1523,1)</f>
        <v>#N/A</v>
      </c>
      <c r="I1032" s="6" t="e">
        <f>VLOOKUP('Customer Info'!E1024,'Customer Info'!E1024:E1523,1,0)</f>
        <v>#N/A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98</v>
      </c>
      <c r="R1032" s="2" t="s">
        <v>50</v>
      </c>
      <c r="S1032" s="9">
        <f t="shared" si="79"/>
        <v>0.02</v>
      </c>
    </row>
    <row r="1033" spans="1:19" x14ac:dyDescent="0.3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e">
        <f>VLOOKUP('Customer Info'!B1025,'Customer Info'!B1025:B1524,1,0)</f>
        <v>#N/A</v>
      </c>
      <c r="H1033" s="6" t="e">
        <f>VLOOKUP('Customer Info'!C1025,'Customer Info'!C1025:C1524,1)</f>
        <v>#N/A</v>
      </c>
      <c r="I1033" s="6" t="e">
        <f>VLOOKUP('Customer Info'!E1025,'Customer Info'!E1025:E1524,1,0)</f>
        <v>#N/A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1824</v>
      </c>
      <c r="R1033" s="2" t="s">
        <v>28</v>
      </c>
      <c r="S1033" s="9">
        <f t="shared" si="79"/>
        <v>0.05</v>
      </c>
    </row>
    <row r="1034" spans="1:19" x14ac:dyDescent="0.3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e">
        <f>VLOOKUP('Customer Info'!B1026,'Customer Info'!B1026:B1525,1,0)</f>
        <v>#N/A</v>
      </c>
      <c r="H1034" s="6" t="e">
        <f>VLOOKUP('Customer Info'!C1026,'Customer Info'!C1026:C1525,1)</f>
        <v>#N/A</v>
      </c>
      <c r="I1034" s="6" t="e">
        <f>VLOOKUP('Customer Info'!E1026,'Customer Info'!E1026:E1525,1,0)</f>
        <v>#N/A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136</v>
      </c>
      <c r="R1034" s="2" t="s">
        <v>28</v>
      </c>
      <c r="S1034" s="9">
        <f t="shared" si="79"/>
        <v>0.02</v>
      </c>
    </row>
    <row r="1035" spans="1:19" x14ac:dyDescent="0.3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e">
        <f>VLOOKUP('Customer Info'!B1027,'Customer Info'!B1027:B1526,1,0)</f>
        <v>#N/A</v>
      </c>
      <c r="H1035" s="6" t="e">
        <f>VLOOKUP('Customer Info'!C1027,'Customer Info'!C1027:C1526,1)</f>
        <v>#N/A</v>
      </c>
      <c r="I1035" s="6" t="e">
        <f>VLOOKUP('Customer Info'!E1027,'Customer Info'!E1027:E1526,1,0)</f>
        <v>#N/A</v>
      </c>
      <c r="J1035" s="2">
        <v>6520</v>
      </c>
      <c r="K1035" s="2">
        <v>5985</v>
      </c>
      <c r="L1035" s="2">
        <v>3</v>
      </c>
      <c r="M1035" s="7">
        <f t="shared" ref="M1035:M1098" si="80">(K1035*L1035)</f>
        <v>17955</v>
      </c>
      <c r="N1035" s="7">
        <f t="shared" ref="N1035:N1098" si="81">(J1035*L1035)</f>
        <v>19560</v>
      </c>
      <c r="O1035" s="2">
        <v>27</v>
      </c>
      <c r="P1035" s="8">
        <f t="shared" ref="P1035:P1098" si="82">(N1035+O1035)</f>
        <v>19587</v>
      </c>
      <c r="Q1035" s="8">
        <f t="shared" ref="Q1035:Q1098" si="83">(N1035-M1035)</f>
        <v>1605</v>
      </c>
      <c r="R1035" s="2" t="s">
        <v>56</v>
      </c>
      <c r="S1035" s="9">
        <f t="shared" ref="S1035:S1098" si="84">_xlfn.IFS(P1035&gt;250000,0.15,P1035&gt;100000,0.12,P1035&gt;50000,0.09,P1035&gt;25000,0.07,P1035&gt;5000,0.05,
 TRUE,0.02)</f>
        <v>0.05</v>
      </c>
    </row>
    <row r="1036" spans="1:19" x14ac:dyDescent="0.3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e">
        <f>VLOOKUP('Customer Info'!B1028,'Customer Info'!B1028:B1527,1,0)</f>
        <v>#N/A</v>
      </c>
      <c r="H1036" s="6" t="e">
        <f>VLOOKUP('Customer Info'!C1028,'Customer Info'!C1028:C1527,1)</f>
        <v>#N/A</v>
      </c>
      <c r="I1036" s="6" t="e">
        <f>VLOOKUP('Customer Info'!E1028,'Customer Info'!E1028:E1527,1,0)</f>
        <v>#N/A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18</v>
      </c>
      <c r="R1036" s="2" t="s">
        <v>50</v>
      </c>
      <c r="S1036" s="9">
        <f t="shared" si="84"/>
        <v>0.02</v>
      </c>
    </row>
    <row r="1037" spans="1:19" x14ac:dyDescent="0.3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e">
        <f>VLOOKUP('Customer Info'!B1029,'Customer Info'!B1029:B1528,1,0)</f>
        <v>#N/A</v>
      </c>
      <c r="H1037" s="6" t="e">
        <f>VLOOKUP('Customer Info'!C1029,'Customer Info'!C1029:C1528,1)</f>
        <v>#N/A</v>
      </c>
      <c r="I1037" s="6" t="e">
        <f>VLOOKUP('Customer Info'!E1029,'Customer Info'!E1029:E1528,1,0)</f>
        <v>#N/A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324</v>
      </c>
      <c r="R1037" s="2" t="s">
        <v>28</v>
      </c>
      <c r="S1037" s="9">
        <f t="shared" si="84"/>
        <v>0.05</v>
      </c>
    </row>
    <row r="1038" spans="1:19" x14ac:dyDescent="0.3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e">
        <f>VLOOKUP('Customer Info'!B1030,'Customer Info'!B1030:B1529,1,0)</f>
        <v>#N/A</v>
      </c>
      <c r="H1038" s="6" t="e">
        <f>VLOOKUP('Customer Info'!C1030,'Customer Info'!C1030:C1529,1)</f>
        <v>#N/A</v>
      </c>
      <c r="I1038" s="6" t="e">
        <f>VLOOKUP('Customer Info'!E1030,'Customer Info'!E1030:E1529,1,0)</f>
        <v>#N/A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1440</v>
      </c>
      <c r="R1038" s="2" t="s">
        <v>28</v>
      </c>
      <c r="S1038" s="9">
        <f t="shared" si="84"/>
        <v>0.05</v>
      </c>
    </row>
    <row r="1039" spans="1:19" x14ac:dyDescent="0.3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e">
        <f>VLOOKUP('Customer Info'!B1031,'Customer Info'!B1031:B1530,1,0)</f>
        <v>#N/A</v>
      </c>
      <c r="H1039" s="6" t="e">
        <f>VLOOKUP('Customer Info'!C1031,'Customer Info'!C1031:C1530,1)</f>
        <v>#N/A</v>
      </c>
      <c r="I1039" s="6" t="e">
        <f>VLOOKUP('Customer Info'!E1031,'Customer Info'!E1031:E1530,1,0)</f>
        <v>#N/A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244</v>
      </c>
      <c r="R1039" s="2" t="s">
        <v>28</v>
      </c>
      <c r="S1039" s="9">
        <f t="shared" si="84"/>
        <v>0.02</v>
      </c>
    </row>
    <row r="1040" spans="1:19" x14ac:dyDescent="0.3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e">
        <f>VLOOKUP('Customer Info'!B1032,'Customer Info'!B1032:B1531,1,0)</f>
        <v>#N/A</v>
      </c>
      <c r="H1040" s="6" t="e">
        <f>VLOOKUP('Customer Info'!C1032,'Customer Info'!C1032:C1531,1)</f>
        <v>#N/A</v>
      </c>
      <c r="I1040" s="6" t="e">
        <f>VLOOKUP('Customer Info'!E1032,'Customer Info'!E1032:E1531,1,0)</f>
        <v>#N/A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132</v>
      </c>
      <c r="R1040" s="2" t="s">
        <v>28</v>
      </c>
      <c r="S1040" s="9">
        <f t="shared" si="84"/>
        <v>0.02</v>
      </c>
    </row>
    <row r="1041" spans="1:19" x14ac:dyDescent="0.3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e">
        <f>VLOOKUP('Customer Info'!B1033,'Customer Info'!B1033:B1532,1,0)</f>
        <v>#N/A</v>
      </c>
      <c r="H1041" s="6" t="e">
        <f>VLOOKUP('Customer Info'!C1033,'Customer Info'!C1033:C1532,1)</f>
        <v>#N/A</v>
      </c>
      <c r="I1041" s="6" t="e">
        <f>VLOOKUP('Customer Info'!E1033,'Customer Info'!E1033:E1532,1,0)</f>
        <v>#N/A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32</v>
      </c>
      <c r="R1041" s="2" t="s">
        <v>28</v>
      </c>
      <c r="S1041" s="9">
        <f t="shared" si="84"/>
        <v>0.02</v>
      </c>
    </row>
    <row r="1042" spans="1:19" x14ac:dyDescent="0.3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e">
        <f>VLOOKUP('Customer Info'!B1034,'Customer Info'!B1034:B1533,1,0)</f>
        <v>#N/A</v>
      </c>
      <c r="H1042" s="6" t="e">
        <f>VLOOKUP('Customer Info'!C1034,'Customer Info'!C1034:C1533,1)</f>
        <v>#N/A</v>
      </c>
      <c r="I1042" s="6" t="e">
        <f>VLOOKUP('Customer Info'!E1034,'Customer Info'!E1034:E1533,1,0)</f>
        <v>#N/A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1029</v>
      </c>
      <c r="R1042" s="2" t="s">
        <v>50</v>
      </c>
      <c r="S1042" s="9">
        <f t="shared" si="84"/>
        <v>0.05</v>
      </c>
    </row>
    <row r="1043" spans="1:19" x14ac:dyDescent="0.3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e">
        <f>VLOOKUP('Customer Info'!B1035,'Customer Info'!B1035:B1534,1,0)</f>
        <v>#N/A</v>
      </c>
      <c r="H1043" s="6" t="e">
        <f>VLOOKUP('Customer Info'!C1035,'Customer Info'!C1035:C1534,1)</f>
        <v>#N/A</v>
      </c>
      <c r="I1043" s="6" t="e">
        <f>VLOOKUP('Customer Info'!E1035,'Customer Info'!E1035:E1534,1,0)</f>
        <v>#N/A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1304</v>
      </c>
      <c r="R1043" s="2" t="s">
        <v>28</v>
      </c>
      <c r="S1043" s="9">
        <f t="shared" si="84"/>
        <v>0.05</v>
      </c>
    </row>
    <row r="1044" spans="1:19" x14ac:dyDescent="0.3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e">
        <f>VLOOKUP('Customer Info'!B1036,'Customer Info'!B1036:B1535,1,0)</f>
        <v>#N/A</v>
      </c>
      <c r="H1044" s="6" t="e">
        <f>VLOOKUP('Customer Info'!C1036,'Customer Info'!C1036:C1535,1)</f>
        <v>#N/A</v>
      </c>
      <c r="I1044" s="6" t="e">
        <f>VLOOKUP('Customer Info'!E1036,'Customer Info'!E1036:E1535,1,0)</f>
        <v>#N/A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940</v>
      </c>
      <c r="R1044" s="2" t="s">
        <v>50</v>
      </c>
      <c r="S1044" s="9">
        <f t="shared" si="84"/>
        <v>0.05</v>
      </c>
    </row>
    <row r="1045" spans="1:19" x14ac:dyDescent="0.3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e">
        <f>VLOOKUP('Customer Info'!B1037,'Customer Info'!B1037:B1536,1,0)</f>
        <v>#N/A</v>
      </c>
      <c r="H1045" s="6" t="e">
        <f>VLOOKUP('Customer Info'!C1037,'Customer Info'!C1037:C1536,1)</f>
        <v>#N/A</v>
      </c>
      <c r="I1045" s="6" t="e">
        <f>VLOOKUP('Customer Info'!E1037,'Customer Info'!E1037:E1536,1,0)</f>
        <v>#N/A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3792</v>
      </c>
      <c r="R1045" s="2" t="s">
        <v>28</v>
      </c>
      <c r="S1045" s="9">
        <f t="shared" si="84"/>
        <v>0.09</v>
      </c>
    </row>
    <row r="1046" spans="1:19" x14ac:dyDescent="0.3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e">
        <f>VLOOKUP('Customer Info'!B1038,'Customer Info'!B1038:B1537,1,0)</f>
        <v>#N/A</v>
      </c>
      <c r="H1046" s="6" t="e">
        <f>VLOOKUP('Customer Info'!C1038,'Customer Info'!C1038:C1537,1)</f>
        <v>#N/A</v>
      </c>
      <c r="I1046" s="6" t="e">
        <f>VLOOKUP('Customer Info'!E1038,'Customer Info'!E1038:E1537,1,0)</f>
        <v>#N/A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108</v>
      </c>
      <c r="R1046" s="2" t="s">
        <v>28</v>
      </c>
      <c r="S1046" s="9">
        <f t="shared" si="84"/>
        <v>0.02</v>
      </c>
    </row>
    <row r="1047" spans="1:19" x14ac:dyDescent="0.3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e">
        <f>VLOOKUP('Customer Info'!B1039,'Customer Info'!B1039:B1538,1,0)</f>
        <v>#N/A</v>
      </c>
      <c r="H1047" s="6" t="e">
        <f>VLOOKUP('Customer Info'!C1039,'Customer Info'!C1039:C1538,1)</f>
        <v>#N/A</v>
      </c>
      <c r="I1047" s="6" t="e">
        <f>VLOOKUP('Customer Info'!E1039,'Customer Info'!E1039:E1538,1,0)</f>
        <v>#N/A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770</v>
      </c>
      <c r="R1047" s="2" t="s">
        <v>28</v>
      </c>
      <c r="S1047" s="9">
        <f t="shared" si="84"/>
        <v>0.05</v>
      </c>
    </row>
    <row r="1048" spans="1:19" x14ac:dyDescent="0.3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e">
        <f>VLOOKUP('Customer Info'!B1040,'Customer Info'!B1040:B1539,1,0)</f>
        <v>#N/A</v>
      </c>
      <c r="H1048" s="6" t="e">
        <f>VLOOKUP('Customer Info'!C1040,'Customer Info'!C1040:C1539,1)</f>
        <v>#N/A</v>
      </c>
      <c r="I1048" s="6" t="e">
        <f>VLOOKUP('Customer Info'!E1040,'Customer Info'!E1040:E1539,1,0)</f>
        <v>#N/A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45</v>
      </c>
      <c r="R1048" s="2" t="s">
        <v>28</v>
      </c>
      <c r="S1048" s="9">
        <f t="shared" si="84"/>
        <v>0.02</v>
      </c>
    </row>
    <row r="1049" spans="1:19" x14ac:dyDescent="0.3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e">
        <f>VLOOKUP('Customer Info'!B1041,'Customer Info'!B1041:B1540,1,0)</f>
        <v>#N/A</v>
      </c>
      <c r="H1049" s="6" t="e">
        <f>VLOOKUP('Customer Info'!C1041,'Customer Info'!C1041:C1540,1)</f>
        <v>#N/A</v>
      </c>
      <c r="I1049" s="6" t="e">
        <f>VLOOKUP('Customer Info'!E1041,'Customer Info'!E1041:E1540,1,0)</f>
        <v>#N/A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468</v>
      </c>
      <c r="R1049" s="2" t="s">
        <v>28</v>
      </c>
      <c r="S1049" s="9">
        <f t="shared" si="84"/>
        <v>0.05</v>
      </c>
    </row>
    <row r="1050" spans="1:19" x14ac:dyDescent="0.3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e">
        <f>VLOOKUP('Customer Info'!B1042,'Customer Info'!B1042:B1541,1,0)</f>
        <v>#N/A</v>
      </c>
      <c r="H1050" s="6" t="e">
        <f>VLOOKUP('Customer Info'!C1042,'Customer Info'!C1042:C1541,1)</f>
        <v>#N/A</v>
      </c>
      <c r="I1050" s="6" t="e">
        <f>VLOOKUP('Customer Info'!E1042,'Customer Info'!E1042:E1541,1,0)</f>
        <v>#N/A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504</v>
      </c>
      <c r="R1050" s="2" t="s">
        <v>28</v>
      </c>
      <c r="S1050" s="9">
        <f t="shared" si="84"/>
        <v>0.05</v>
      </c>
    </row>
    <row r="1051" spans="1:19" x14ac:dyDescent="0.3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e">
        <f>VLOOKUP('Customer Info'!B1043,'Customer Info'!B1043:B1542,1,0)</f>
        <v>#N/A</v>
      </c>
      <c r="H1051" s="6" t="e">
        <f>VLOOKUP('Customer Info'!C1043,'Customer Info'!C1043:C1542,1)</f>
        <v>#N/A</v>
      </c>
      <c r="I1051" s="6" t="e">
        <f>VLOOKUP('Customer Info'!E1043,'Customer Info'!E1043:E1542,1,0)</f>
        <v>#N/A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354</v>
      </c>
      <c r="R1051" s="2" t="s">
        <v>26</v>
      </c>
      <c r="S1051" s="9">
        <f t="shared" si="84"/>
        <v>0.02</v>
      </c>
    </row>
    <row r="1052" spans="1:19" x14ac:dyDescent="0.3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e">
        <f>VLOOKUP('Customer Info'!B1044,'Customer Info'!B1044:B1543,1,0)</f>
        <v>#N/A</v>
      </c>
      <c r="H1052" s="6" t="e">
        <f>VLOOKUP('Customer Info'!C1044,'Customer Info'!C1044:C1543,1)</f>
        <v>#N/A</v>
      </c>
      <c r="I1052" s="6" t="e">
        <f>VLOOKUP('Customer Info'!E1044,'Customer Info'!E1044:E1543,1,0)</f>
        <v>#N/A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216</v>
      </c>
      <c r="R1052" s="2" t="s">
        <v>50</v>
      </c>
      <c r="S1052" s="9">
        <f t="shared" si="84"/>
        <v>0.02</v>
      </c>
    </row>
    <row r="1053" spans="1:19" x14ac:dyDescent="0.3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e">
        <f>VLOOKUP('Customer Info'!B1045,'Customer Info'!B1045:B1544,1,0)</f>
        <v>#N/A</v>
      </c>
      <c r="H1053" s="6" t="e">
        <f>VLOOKUP('Customer Info'!C1045,'Customer Info'!C1045:C1544,1)</f>
        <v>#N/A</v>
      </c>
      <c r="I1053" s="6" t="e">
        <f>VLOOKUP('Customer Info'!E1045,'Customer Info'!E1045:E1544,1,0)</f>
        <v>#N/A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52</v>
      </c>
      <c r="R1053" s="2" t="s">
        <v>28</v>
      </c>
      <c r="S1053" s="9">
        <f t="shared" si="84"/>
        <v>0.02</v>
      </c>
    </row>
    <row r="1054" spans="1:19" x14ac:dyDescent="0.3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e">
        <f>VLOOKUP('Customer Info'!B1046,'Customer Info'!B1046:B1545,1,0)</f>
        <v>#N/A</v>
      </c>
      <c r="H1054" s="6" t="e">
        <f>VLOOKUP('Customer Info'!C1046,'Customer Info'!C1046:C1545,1)</f>
        <v>#N/A</v>
      </c>
      <c r="I1054" s="6" t="e">
        <f>VLOOKUP('Customer Info'!E1046,'Customer Info'!E1046:E1545,1,0)</f>
        <v>#N/A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2600</v>
      </c>
      <c r="R1054" s="2" t="s">
        <v>28</v>
      </c>
      <c r="S1054" s="9">
        <f t="shared" si="84"/>
        <v>0.05</v>
      </c>
    </row>
    <row r="1055" spans="1:19" x14ac:dyDescent="0.3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e">
        <f>VLOOKUP('Customer Info'!B1047,'Customer Info'!B1047:B1546,1,0)</f>
        <v>#N/A</v>
      </c>
      <c r="H1055" s="6" t="e">
        <f>VLOOKUP('Customer Info'!C1047,'Customer Info'!C1047:C1546,1)</f>
        <v>#N/A</v>
      </c>
      <c r="I1055" s="6" t="e">
        <f>VLOOKUP('Customer Info'!E1047,'Customer Info'!E1047:E1546,1,0)</f>
        <v>#N/A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1990</v>
      </c>
      <c r="R1055" s="2" t="s">
        <v>50</v>
      </c>
      <c r="S1055" s="9">
        <f t="shared" si="84"/>
        <v>7.0000000000000007E-2</v>
      </c>
    </row>
    <row r="1056" spans="1:19" x14ac:dyDescent="0.3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e">
        <f>VLOOKUP('Customer Info'!B1048,'Customer Info'!B1048:B1547,1,0)</f>
        <v>#N/A</v>
      </c>
      <c r="H1056" s="6" t="e">
        <f>VLOOKUP('Customer Info'!C1048,'Customer Info'!C1048:C1547,1)</f>
        <v>#N/A</v>
      </c>
      <c r="I1056" s="6" t="e">
        <f>VLOOKUP('Customer Info'!E1048,'Customer Info'!E1048:E1547,1,0)</f>
        <v>#N/A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36</v>
      </c>
      <c r="R1056" s="2" t="s">
        <v>28</v>
      </c>
      <c r="S1056" s="9">
        <f t="shared" si="84"/>
        <v>0.02</v>
      </c>
    </row>
    <row r="1057" spans="1:19" x14ac:dyDescent="0.3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e">
        <f>VLOOKUP('Customer Info'!B1049,'Customer Info'!B1049:B1548,1,0)</f>
        <v>#N/A</v>
      </c>
      <c r="H1057" s="6" t="e">
        <f>VLOOKUP('Customer Info'!C1049,'Customer Info'!C1049:C1548,1)</f>
        <v>#N/A</v>
      </c>
      <c r="I1057" s="6" t="e">
        <f>VLOOKUP('Customer Info'!E1049,'Customer Info'!E1049:E1548,1,0)</f>
        <v>#N/A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109</v>
      </c>
      <c r="R1057" s="2" t="s">
        <v>28</v>
      </c>
      <c r="S1057" s="9">
        <f t="shared" si="84"/>
        <v>0.02</v>
      </c>
    </row>
    <row r="1058" spans="1:19" x14ac:dyDescent="0.3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e">
        <f>VLOOKUP('Customer Info'!B1050,'Customer Info'!B1050:B1549,1,0)</f>
        <v>#N/A</v>
      </c>
      <c r="H1058" s="6" t="e">
        <f>VLOOKUP('Customer Info'!C1050,'Customer Info'!C1050:C1549,1)</f>
        <v>#N/A</v>
      </c>
      <c r="I1058" s="6" t="e">
        <f>VLOOKUP('Customer Info'!E1050,'Customer Info'!E1050:E1549,1,0)</f>
        <v>#N/A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384</v>
      </c>
      <c r="R1058" s="2" t="s">
        <v>28</v>
      </c>
      <c r="S1058" s="9">
        <f t="shared" si="84"/>
        <v>0.02</v>
      </c>
    </row>
    <row r="1059" spans="1:19" x14ac:dyDescent="0.3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e">
        <f>VLOOKUP('Customer Info'!B1051,'Customer Info'!B1051:B1550,1,0)</f>
        <v>#N/A</v>
      </c>
      <c r="H1059" s="6" t="e">
        <f>VLOOKUP('Customer Info'!C1051,'Customer Info'!C1051:C1550,1)</f>
        <v>#N/A</v>
      </c>
      <c r="I1059" s="6" t="e">
        <f>VLOOKUP('Customer Info'!E1051,'Customer Info'!E1051:E1550,1,0)</f>
        <v>#N/A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52</v>
      </c>
      <c r="R1059" s="2" t="s">
        <v>50</v>
      </c>
      <c r="S1059" s="9">
        <f t="shared" si="84"/>
        <v>0.02</v>
      </c>
    </row>
    <row r="1060" spans="1:19" x14ac:dyDescent="0.3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e">
        <f>VLOOKUP('Customer Info'!B1052,'Customer Info'!B1052:B1551,1,0)</f>
        <v>#N/A</v>
      </c>
      <c r="H1060" s="6" t="e">
        <f>VLOOKUP('Customer Info'!C1052,'Customer Info'!C1052:C1551,1)</f>
        <v>#N/A</v>
      </c>
      <c r="I1060" s="6" t="e">
        <f>VLOOKUP('Customer Info'!E1052,'Customer Info'!E1052:E1551,1,0)</f>
        <v>#N/A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580</v>
      </c>
      <c r="R1060" s="2" t="s">
        <v>28</v>
      </c>
      <c r="S1060" s="9">
        <f t="shared" si="84"/>
        <v>0.05</v>
      </c>
    </row>
    <row r="1061" spans="1:19" x14ac:dyDescent="0.3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e">
        <f>VLOOKUP('Customer Info'!B1053,'Customer Info'!B1053:B1552,1,0)</f>
        <v>#N/A</v>
      </c>
      <c r="H1061" s="6" t="e">
        <f>VLOOKUP('Customer Info'!C1053,'Customer Info'!C1053:C1552,1)</f>
        <v>#N/A</v>
      </c>
      <c r="I1061" s="6" t="e">
        <f>VLOOKUP('Customer Info'!E1053,'Customer Info'!E1053:E1552,1,0)</f>
        <v>#N/A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892</v>
      </c>
      <c r="R1061" s="2" t="s">
        <v>50</v>
      </c>
      <c r="S1061" s="9">
        <f t="shared" si="84"/>
        <v>0.05</v>
      </c>
    </row>
    <row r="1062" spans="1:19" x14ac:dyDescent="0.3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e">
        <f>VLOOKUP('Customer Info'!B1054,'Customer Info'!B1054:B1553,1,0)</f>
        <v>#N/A</v>
      </c>
      <c r="H1062" s="6" t="e">
        <f>VLOOKUP('Customer Info'!C1054,'Customer Info'!C1054:C1553,1)</f>
        <v>#N/A</v>
      </c>
      <c r="I1062" s="6" t="e">
        <f>VLOOKUP('Customer Info'!E1054,'Customer Info'!E1054:E1553,1,0)</f>
        <v>#N/A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164</v>
      </c>
      <c r="R1062" s="2" t="s">
        <v>50</v>
      </c>
      <c r="S1062" s="9">
        <f t="shared" si="84"/>
        <v>0.02</v>
      </c>
    </row>
    <row r="1063" spans="1:19" x14ac:dyDescent="0.3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e">
        <f>VLOOKUP('Customer Info'!B1055,'Customer Info'!B1055:B1554,1,0)</f>
        <v>#N/A</v>
      </c>
      <c r="H1063" s="6" t="e">
        <f>VLOOKUP('Customer Info'!C1055,'Customer Info'!C1055:C1554,1)</f>
        <v>#N/A</v>
      </c>
      <c r="I1063" s="6" t="e">
        <f>VLOOKUP('Customer Info'!E1055,'Customer Info'!E1055:E1554,1,0)</f>
        <v>#N/A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176</v>
      </c>
      <c r="R1063" s="2" t="s">
        <v>28</v>
      </c>
      <c r="S1063" s="9">
        <f t="shared" si="84"/>
        <v>0.02</v>
      </c>
    </row>
    <row r="1064" spans="1:19" x14ac:dyDescent="0.3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e">
        <f>VLOOKUP('Customer Info'!B1056,'Customer Info'!B1056:B1555,1,0)</f>
        <v>#N/A</v>
      </c>
      <c r="H1064" s="6" t="e">
        <f>VLOOKUP('Customer Info'!C1056,'Customer Info'!C1056:C1555,1)</f>
        <v>#N/A</v>
      </c>
      <c r="I1064" s="6" t="e">
        <f>VLOOKUP('Customer Info'!E1056,'Customer Info'!E1056:E1555,1,0)</f>
        <v>#N/A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12532</v>
      </c>
      <c r="R1064" s="2" t="s">
        <v>28</v>
      </c>
      <c r="S1064" s="9">
        <f t="shared" si="84"/>
        <v>0.12</v>
      </c>
    </row>
    <row r="1065" spans="1:19" x14ac:dyDescent="0.3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e">
        <f>VLOOKUP('Customer Info'!B1057,'Customer Info'!B1057:B1556,1,0)</f>
        <v>#N/A</v>
      </c>
      <c r="H1065" s="6" t="e">
        <f>VLOOKUP('Customer Info'!C1057,'Customer Info'!C1057:C1556,1)</f>
        <v>#N/A</v>
      </c>
      <c r="I1065" s="6" t="e">
        <f>VLOOKUP('Customer Info'!E1057,'Customer Info'!E1057:E1556,1,0)</f>
        <v>#N/A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90</v>
      </c>
      <c r="R1065" s="2" t="s">
        <v>28</v>
      </c>
      <c r="S1065" s="9">
        <f t="shared" si="84"/>
        <v>0.02</v>
      </c>
    </row>
    <row r="1066" spans="1:19" x14ac:dyDescent="0.3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e">
        <f>VLOOKUP('Customer Info'!B1058,'Customer Info'!B1058:B1557,1,0)</f>
        <v>#N/A</v>
      </c>
      <c r="H1066" s="6" t="e">
        <f>VLOOKUP('Customer Info'!C1058,'Customer Info'!C1058:C1557,1)</f>
        <v>#N/A</v>
      </c>
      <c r="I1066" s="6" t="e">
        <f>VLOOKUP('Customer Info'!E1058,'Customer Info'!E1058:E1557,1,0)</f>
        <v>#N/A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360</v>
      </c>
      <c r="R1066" s="2" t="s">
        <v>28</v>
      </c>
      <c r="S1066" s="9">
        <f t="shared" si="84"/>
        <v>0.02</v>
      </c>
    </row>
    <row r="1067" spans="1:19" x14ac:dyDescent="0.3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e">
        <f>VLOOKUP('Customer Info'!B1059,'Customer Info'!B1059:B1558,1,0)</f>
        <v>#N/A</v>
      </c>
      <c r="H1067" s="6" t="e">
        <f>VLOOKUP('Customer Info'!C1059,'Customer Info'!C1059:C1558,1)</f>
        <v>#N/A</v>
      </c>
      <c r="I1067" s="6" t="e">
        <f>VLOOKUP('Customer Info'!E1059,'Customer Info'!E1059:E1558,1,0)</f>
        <v>#N/A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286</v>
      </c>
      <c r="R1067" s="2" t="s">
        <v>28</v>
      </c>
      <c r="S1067" s="9">
        <f t="shared" si="84"/>
        <v>0.05</v>
      </c>
    </row>
    <row r="1068" spans="1:19" x14ac:dyDescent="0.3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e">
        <f>VLOOKUP('Customer Info'!B1060,'Customer Info'!B1060:B1559,1,0)</f>
        <v>#N/A</v>
      </c>
      <c r="H1068" s="6" t="e">
        <f>VLOOKUP('Customer Info'!C1060,'Customer Info'!C1060:C1559,1)</f>
        <v>#N/A</v>
      </c>
      <c r="I1068" s="6" t="e">
        <f>VLOOKUP('Customer Info'!E1060,'Customer Info'!E1060:E1559,1,0)</f>
        <v>#N/A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225</v>
      </c>
      <c r="R1068" s="2" t="s">
        <v>26</v>
      </c>
      <c r="S1068" s="9">
        <f t="shared" si="84"/>
        <v>0.02</v>
      </c>
    </row>
    <row r="1069" spans="1:19" x14ac:dyDescent="0.3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e">
        <f>VLOOKUP('Customer Info'!B1061,'Customer Info'!B1061:B1560,1,0)</f>
        <v>#N/A</v>
      </c>
      <c r="H1069" s="6" t="e">
        <f>VLOOKUP('Customer Info'!C1061,'Customer Info'!C1061:C1560,1)</f>
        <v>#N/A</v>
      </c>
      <c r="I1069" s="6" t="e">
        <f>VLOOKUP('Customer Info'!E1061,'Customer Info'!E1061:E1560,1,0)</f>
        <v>#N/A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657</v>
      </c>
      <c r="R1069" s="2" t="s">
        <v>28</v>
      </c>
      <c r="S1069" s="9">
        <f t="shared" si="84"/>
        <v>0.05</v>
      </c>
    </row>
    <row r="1070" spans="1:19" x14ac:dyDescent="0.3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e">
        <f>VLOOKUP('Customer Info'!B1062,'Customer Info'!B1062:B1561,1,0)</f>
        <v>#N/A</v>
      </c>
      <c r="H1070" s="6" t="e">
        <f>VLOOKUP('Customer Info'!C1062,'Customer Info'!C1062:C1561,1)</f>
        <v>#N/A</v>
      </c>
      <c r="I1070" s="6" t="e">
        <f>VLOOKUP('Customer Info'!E1062,'Customer Info'!E1062:E1561,1,0)</f>
        <v>#N/A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398</v>
      </c>
      <c r="R1070" s="2" t="s">
        <v>28</v>
      </c>
      <c r="S1070" s="9">
        <f t="shared" si="84"/>
        <v>0.02</v>
      </c>
    </row>
    <row r="1071" spans="1:19" x14ac:dyDescent="0.3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e">
        <f>VLOOKUP('Customer Info'!B1063,'Customer Info'!B1063:B1562,1,0)</f>
        <v>#N/A</v>
      </c>
      <c r="H1071" s="6" t="e">
        <f>VLOOKUP('Customer Info'!C1063,'Customer Info'!C1063:C1562,1)</f>
        <v>#N/A</v>
      </c>
      <c r="I1071" s="6" t="e">
        <f>VLOOKUP('Customer Info'!E1063,'Customer Info'!E1063:E1562,1,0)</f>
        <v>#N/A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12</v>
      </c>
      <c r="R1071" s="2" t="s">
        <v>28</v>
      </c>
      <c r="S1071" s="9">
        <f t="shared" si="84"/>
        <v>0.02</v>
      </c>
    </row>
    <row r="1072" spans="1:19" x14ac:dyDescent="0.3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e">
        <f>VLOOKUP('Customer Info'!B1064,'Customer Info'!B1064:B1563,1,0)</f>
        <v>#N/A</v>
      </c>
      <c r="H1072" s="6" t="e">
        <f>VLOOKUP('Customer Info'!C1064,'Customer Info'!C1064:C1563,1)</f>
        <v>#N/A</v>
      </c>
      <c r="I1072" s="6" t="e">
        <f>VLOOKUP('Customer Info'!E1064,'Customer Info'!E1064:E1563,1,0)</f>
        <v>#N/A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20</v>
      </c>
      <c r="R1072" s="2" t="s">
        <v>26</v>
      </c>
      <c r="S1072" s="9">
        <f t="shared" si="84"/>
        <v>0.02</v>
      </c>
    </row>
    <row r="1073" spans="1:19" x14ac:dyDescent="0.3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e">
        <f>VLOOKUP('Customer Info'!B1065,'Customer Info'!B1065:B1564,1,0)</f>
        <v>#N/A</v>
      </c>
      <c r="H1073" s="6" t="e">
        <f>VLOOKUP('Customer Info'!C1065,'Customer Info'!C1065:C1564,1)</f>
        <v>#N/A</v>
      </c>
      <c r="I1073" s="6" t="e">
        <f>VLOOKUP('Customer Info'!E1065,'Customer Info'!E1065:E1564,1,0)</f>
        <v>#N/A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531</v>
      </c>
      <c r="R1073" s="2" t="s">
        <v>28</v>
      </c>
      <c r="S1073" s="9">
        <f t="shared" si="84"/>
        <v>0.02</v>
      </c>
    </row>
    <row r="1074" spans="1:19" x14ac:dyDescent="0.3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e">
        <f>VLOOKUP('Customer Info'!B1066,'Customer Info'!B1066:B1565,1,0)</f>
        <v>#N/A</v>
      </c>
      <c r="H1074" s="6" t="e">
        <f>VLOOKUP('Customer Info'!C1066,'Customer Info'!C1066:C1565,1)</f>
        <v>#N/A</v>
      </c>
      <c r="I1074" s="6" t="e">
        <f>VLOOKUP('Customer Info'!E1066,'Customer Info'!E1066:E1565,1,0)</f>
        <v>#N/A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75</v>
      </c>
      <c r="R1074" s="2" t="s">
        <v>50</v>
      </c>
      <c r="S1074" s="9">
        <f t="shared" si="84"/>
        <v>0.02</v>
      </c>
    </row>
    <row r="1075" spans="1:19" x14ac:dyDescent="0.3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e">
        <f>VLOOKUP('Customer Info'!B1067,'Customer Info'!B1067:B1566,1,0)</f>
        <v>#N/A</v>
      </c>
      <c r="H1075" s="6" t="e">
        <f>VLOOKUP('Customer Info'!C1067,'Customer Info'!C1067:C1566,1)</f>
        <v>#N/A</v>
      </c>
      <c r="I1075" s="6" t="e">
        <f>VLOOKUP('Customer Info'!E1067,'Customer Info'!E1067:E1566,1,0)</f>
        <v>#N/A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8</v>
      </c>
      <c r="R1075" s="2" t="s">
        <v>28</v>
      </c>
      <c r="S1075" s="9">
        <f t="shared" si="84"/>
        <v>0.02</v>
      </c>
    </row>
    <row r="1076" spans="1:19" x14ac:dyDescent="0.3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e">
        <f>VLOOKUP('Customer Info'!B1068,'Customer Info'!B1068:B1567,1,0)</f>
        <v>#N/A</v>
      </c>
      <c r="H1076" s="6" t="e">
        <f>VLOOKUP('Customer Info'!C1068,'Customer Info'!C1068:C1567,1)</f>
        <v>#N/A</v>
      </c>
      <c r="I1076" s="6" t="e">
        <f>VLOOKUP('Customer Info'!E1068,'Customer Info'!E1068:E1567,1,0)</f>
        <v>#N/A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148</v>
      </c>
      <c r="R1076" s="2" t="s">
        <v>28</v>
      </c>
      <c r="S1076" s="9">
        <f t="shared" si="84"/>
        <v>0.02</v>
      </c>
    </row>
    <row r="1077" spans="1:19" x14ac:dyDescent="0.3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e">
        <f>VLOOKUP('Customer Info'!B1069,'Customer Info'!B1069:B1568,1,0)</f>
        <v>#N/A</v>
      </c>
      <c r="H1077" s="6" t="e">
        <f>VLOOKUP('Customer Info'!C1069,'Customer Info'!C1069:C1568,1)</f>
        <v>#N/A</v>
      </c>
      <c r="I1077" s="6" t="e">
        <f>VLOOKUP('Customer Info'!E1069,'Customer Info'!E1069:E1568,1,0)</f>
        <v>#N/A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72</v>
      </c>
      <c r="R1077" s="2" t="s">
        <v>26</v>
      </c>
      <c r="S1077" s="9">
        <f t="shared" si="84"/>
        <v>0.02</v>
      </c>
    </row>
    <row r="1078" spans="1:19" x14ac:dyDescent="0.3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e">
        <f>VLOOKUP('Customer Info'!B1070,'Customer Info'!B1070:B1569,1,0)</f>
        <v>#N/A</v>
      </c>
      <c r="H1078" s="6" t="e">
        <f>VLOOKUP('Customer Info'!C1070,'Customer Info'!C1070:C1569,1)</f>
        <v>#N/A</v>
      </c>
      <c r="I1078" s="6" t="e">
        <f>VLOOKUP('Customer Info'!E1070,'Customer Info'!E1070:E1569,1,0)</f>
        <v>#N/A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88</v>
      </c>
      <c r="R1078" s="2" t="s">
        <v>28</v>
      </c>
      <c r="S1078" s="9">
        <f t="shared" si="84"/>
        <v>0.02</v>
      </c>
    </row>
    <row r="1079" spans="1:19" x14ac:dyDescent="0.3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e">
        <f>VLOOKUP('Customer Info'!B1071,'Customer Info'!B1071:B1570,1,0)</f>
        <v>#N/A</v>
      </c>
      <c r="H1079" s="6" t="e">
        <f>VLOOKUP('Customer Info'!C1071,'Customer Info'!C1071:C1570,1)</f>
        <v>#N/A</v>
      </c>
      <c r="I1079" s="6" t="e">
        <f>VLOOKUP('Customer Info'!E1071,'Customer Info'!E1071:E1570,1,0)</f>
        <v>#N/A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3768</v>
      </c>
      <c r="R1079" s="2" t="s">
        <v>50</v>
      </c>
      <c r="S1079" s="9">
        <f t="shared" si="84"/>
        <v>7.0000000000000007E-2</v>
      </c>
    </row>
    <row r="1080" spans="1:19" x14ac:dyDescent="0.3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e">
        <f>VLOOKUP('Customer Info'!B1072,'Customer Info'!B1072:B1571,1,0)</f>
        <v>#N/A</v>
      </c>
      <c r="H1080" s="6" t="e">
        <f>VLOOKUP('Customer Info'!C1072,'Customer Info'!C1072:C1571,1)</f>
        <v>#N/A</v>
      </c>
      <c r="I1080" s="6" t="e">
        <f>VLOOKUP('Customer Info'!E1072,'Customer Info'!E1072:E1571,1,0)</f>
        <v>#N/A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93</v>
      </c>
      <c r="R1080" s="2" t="s">
        <v>28</v>
      </c>
      <c r="S1080" s="9">
        <f t="shared" si="84"/>
        <v>0.02</v>
      </c>
    </row>
    <row r="1081" spans="1:19" x14ac:dyDescent="0.3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e">
        <f>VLOOKUP('Customer Info'!B1073,'Customer Info'!B1073:B1572,1,0)</f>
        <v>#N/A</v>
      </c>
      <c r="H1081" s="6" t="e">
        <f>VLOOKUP('Customer Info'!C1073,'Customer Info'!C1073:C1572,1)</f>
        <v>#N/A</v>
      </c>
      <c r="I1081" s="6" t="e">
        <f>VLOOKUP('Customer Info'!E1073,'Customer Info'!E1073:E1572,1,0)</f>
        <v>#N/A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36</v>
      </c>
      <c r="R1081" s="2" t="s">
        <v>56</v>
      </c>
      <c r="S1081" s="9">
        <f t="shared" si="84"/>
        <v>0.02</v>
      </c>
    </row>
    <row r="1082" spans="1:19" x14ac:dyDescent="0.3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e">
        <f>VLOOKUP('Customer Info'!B1074,'Customer Info'!B1074:B1573,1,0)</f>
        <v>#N/A</v>
      </c>
      <c r="H1082" s="6" t="e">
        <f>VLOOKUP('Customer Info'!C1074,'Customer Info'!C1074:C1573,1)</f>
        <v>#N/A</v>
      </c>
      <c r="I1082" s="6" t="e">
        <f>VLOOKUP('Customer Info'!E1074,'Customer Info'!E1074:E1573,1,0)</f>
        <v>#N/A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132</v>
      </c>
      <c r="R1082" s="2" t="s">
        <v>50</v>
      </c>
      <c r="S1082" s="9">
        <f t="shared" si="84"/>
        <v>0.02</v>
      </c>
    </row>
    <row r="1083" spans="1:19" x14ac:dyDescent="0.3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e">
        <f>VLOOKUP('Customer Info'!B1075,'Customer Info'!B1075:B1574,1,0)</f>
        <v>#N/A</v>
      </c>
      <c r="H1083" s="6" t="e">
        <f>VLOOKUP('Customer Info'!C1075,'Customer Info'!C1075:C1574,1)</f>
        <v>#N/A</v>
      </c>
      <c r="I1083" s="6" t="e">
        <f>VLOOKUP('Customer Info'!E1075,'Customer Info'!E1075:E1574,1,0)</f>
        <v>#N/A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72</v>
      </c>
      <c r="R1083" s="2" t="s">
        <v>28</v>
      </c>
      <c r="S1083" s="9">
        <f t="shared" si="84"/>
        <v>0.02</v>
      </c>
    </row>
    <row r="1084" spans="1:19" x14ac:dyDescent="0.3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e">
        <f>VLOOKUP('Customer Info'!B1076,'Customer Info'!B1076:B1575,1,0)</f>
        <v>#N/A</v>
      </c>
      <c r="H1084" s="6" t="e">
        <f>VLOOKUP('Customer Info'!C1076,'Customer Info'!C1076:C1575,1)</f>
        <v>#N/A</v>
      </c>
      <c r="I1084" s="6" t="e">
        <f>VLOOKUP('Customer Info'!E1076,'Customer Info'!E1076:E1575,1,0)</f>
        <v>#N/A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39</v>
      </c>
      <c r="R1084" s="2" t="s">
        <v>28</v>
      </c>
      <c r="S1084" s="9">
        <f t="shared" si="84"/>
        <v>0.02</v>
      </c>
    </row>
    <row r="1085" spans="1:19" x14ac:dyDescent="0.3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e">
        <f>VLOOKUP('Customer Info'!B1077,'Customer Info'!B1077:B1576,1,0)</f>
        <v>#N/A</v>
      </c>
      <c r="H1085" s="6" t="e">
        <f>VLOOKUP('Customer Info'!C1077,'Customer Info'!C1077:C1576,1)</f>
        <v>#N/A</v>
      </c>
      <c r="I1085" s="6" t="e">
        <f>VLOOKUP('Customer Info'!E1077,'Customer Info'!E1077:E1576,1,0)</f>
        <v>#N/A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30</v>
      </c>
      <c r="R1085" s="2" t="s">
        <v>28</v>
      </c>
      <c r="S1085" s="9">
        <f t="shared" si="84"/>
        <v>0.02</v>
      </c>
    </row>
    <row r="1086" spans="1:19" x14ac:dyDescent="0.3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e">
        <f>VLOOKUP('Customer Info'!B1078,'Customer Info'!B1078:B1577,1,0)</f>
        <v>#N/A</v>
      </c>
      <c r="H1086" s="6" t="e">
        <f>VLOOKUP('Customer Info'!C1078,'Customer Info'!C1078:C1577,1)</f>
        <v>#N/A</v>
      </c>
      <c r="I1086" s="6" t="e">
        <f>VLOOKUP('Customer Info'!E1078,'Customer Info'!E1078:E1577,1,0)</f>
        <v>#N/A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3</v>
      </c>
      <c r="R1086" s="2" t="s">
        <v>28</v>
      </c>
      <c r="S1086" s="9">
        <f t="shared" si="84"/>
        <v>0.02</v>
      </c>
    </row>
    <row r="1087" spans="1:19" x14ac:dyDescent="0.3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e">
        <f>VLOOKUP('Customer Info'!B1079,'Customer Info'!B1079:B1578,1,0)</f>
        <v>#N/A</v>
      </c>
      <c r="H1087" s="6" t="e">
        <f>VLOOKUP('Customer Info'!C1079,'Customer Info'!C1079:C1578,1)</f>
        <v>#N/A</v>
      </c>
      <c r="I1087" s="6" t="e">
        <f>VLOOKUP('Customer Info'!E1079,'Customer Info'!E1079:E1578,1,0)</f>
        <v>#N/A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840</v>
      </c>
      <c r="R1087" s="2" t="s">
        <v>28</v>
      </c>
      <c r="S1087" s="9">
        <f t="shared" si="84"/>
        <v>0.05</v>
      </c>
    </row>
    <row r="1088" spans="1:19" x14ac:dyDescent="0.3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e">
        <f>VLOOKUP('Customer Info'!B1080,'Customer Info'!B1080:B1579,1,0)</f>
        <v>#N/A</v>
      </c>
      <c r="H1088" s="6" t="e">
        <f>VLOOKUP('Customer Info'!C1080,'Customer Info'!C1080:C1579,1)</f>
        <v>#N/A</v>
      </c>
      <c r="I1088" s="6" t="e">
        <f>VLOOKUP('Customer Info'!E1080,'Customer Info'!E1080:E1579,1,0)</f>
        <v>#N/A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5</v>
      </c>
      <c r="R1088" s="2" t="s">
        <v>28</v>
      </c>
      <c r="S1088" s="9">
        <f t="shared" si="84"/>
        <v>0.02</v>
      </c>
    </row>
    <row r="1089" spans="1:19" x14ac:dyDescent="0.3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e">
        <f>VLOOKUP('Customer Info'!B1081,'Customer Info'!B1081:B1580,1,0)</f>
        <v>#N/A</v>
      </c>
      <c r="H1089" s="6" t="e">
        <f>VLOOKUP('Customer Info'!C1081,'Customer Info'!C1081:C1580,1)</f>
        <v>#N/A</v>
      </c>
      <c r="I1089" s="6" t="e">
        <f>VLOOKUP('Customer Info'!E1081,'Customer Info'!E1081:E1580,1,0)</f>
        <v>#N/A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31</v>
      </c>
      <c r="R1089" s="2" t="s">
        <v>28</v>
      </c>
      <c r="S1089" s="9">
        <f t="shared" si="84"/>
        <v>0.02</v>
      </c>
    </row>
    <row r="1090" spans="1:19" x14ac:dyDescent="0.3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e">
        <f>VLOOKUP('Customer Info'!B1082,'Customer Info'!B1082:B1581,1,0)</f>
        <v>#N/A</v>
      </c>
      <c r="H1090" s="6" t="e">
        <f>VLOOKUP('Customer Info'!C1082,'Customer Info'!C1082:C1581,1)</f>
        <v>#N/A</v>
      </c>
      <c r="I1090" s="6" t="e">
        <f>VLOOKUP('Customer Info'!E1082,'Customer Info'!E1082:E1581,1,0)</f>
        <v>#N/A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80</v>
      </c>
      <c r="R1090" s="2" t="s">
        <v>28</v>
      </c>
      <c r="S1090" s="9">
        <f t="shared" si="84"/>
        <v>0.02</v>
      </c>
    </row>
    <row r="1091" spans="1:19" x14ac:dyDescent="0.3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e">
        <f>VLOOKUP('Customer Info'!B1083,'Customer Info'!B1083:B1582,1,0)</f>
        <v>#N/A</v>
      </c>
      <c r="H1091" s="6" t="e">
        <f>VLOOKUP('Customer Info'!C1083,'Customer Info'!C1083:C1582,1)</f>
        <v>#N/A</v>
      </c>
      <c r="I1091" s="6" t="e">
        <f>VLOOKUP('Customer Info'!E1083,'Customer Info'!E1083:E1582,1,0)</f>
        <v>#N/A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3040</v>
      </c>
      <c r="R1091" s="2" t="s">
        <v>26</v>
      </c>
      <c r="S1091" s="9">
        <f t="shared" si="84"/>
        <v>7.0000000000000007E-2</v>
      </c>
    </row>
    <row r="1092" spans="1:19" x14ac:dyDescent="0.3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e">
        <f>VLOOKUP('Customer Info'!B1084,'Customer Info'!B1084:B1583,1,0)</f>
        <v>#N/A</v>
      </c>
      <c r="H1092" s="6" t="e">
        <f>VLOOKUP('Customer Info'!C1084,'Customer Info'!C1084:C1583,1)</f>
        <v>#N/A</v>
      </c>
      <c r="I1092" s="6" t="e">
        <f>VLOOKUP('Customer Info'!E1084,'Customer Info'!E1084:E1583,1,0)</f>
        <v>#N/A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70</v>
      </c>
      <c r="R1092" s="2" t="s">
        <v>28</v>
      </c>
      <c r="S1092" s="9">
        <f t="shared" si="84"/>
        <v>0.02</v>
      </c>
    </row>
    <row r="1093" spans="1:19" x14ac:dyDescent="0.3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e">
        <f>VLOOKUP('Customer Info'!B1085,'Customer Info'!B1085:B1584,1,0)</f>
        <v>#N/A</v>
      </c>
      <c r="H1093" s="6" t="e">
        <f>VLOOKUP('Customer Info'!C1085,'Customer Info'!C1085:C1584,1)</f>
        <v>#N/A</v>
      </c>
      <c r="I1093" s="6" t="e">
        <f>VLOOKUP('Customer Info'!E1085,'Customer Info'!E1085:E1584,1,0)</f>
        <v>#N/A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232</v>
      </c>
      <c r="R1093" s="2" t="s">
        <v>28</v>
      </c>
      <c r="S1093" s="9">
        <f t="shared" si="84"/>
        <v>0.05</v>
      </c>
    </row>
    <row r="1094" spans="1:19" x14ac:dyDescent="0.3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e">
        <f>VLOOKUP('Customer Info'!B1086,'Customer Info'!B1086:B1585,1,0)</f>
        <v>#N/A</v>
      </c>
      <c r="H1094" s="6" t="e">
        <f>VLOOKUP('Customer Info'!C1086,'Customer Info'!C1086:C1585,1)</f>
        <v>#N/A</v>
      </c>
      <c r="I1094" s="6" t="e">
        <f>VLOOKUP('Customer Info'!E1086,'Customer Info'!E1086:E1585,1,0)</f>
        <v>#N/A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4932</v>
      </c>
      <c r="R1094" s="2" t="s">
        <v>50</v>
      </c>
      <c r="S1094" s="9">
        <f t="shared" si="84"/>
        <v>0.09</v>
      </c>
    </row>
    <row r="1095" spans="1:19" x14ac:dyDescent="0.3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e">
        <f>VLOOKUP('Customer Info'!B1087,'Customer Info'!B1087:B1586,1,0)</f>
        <v>#N/A</v>
      </c>
      <c r="H1095" s="6" t="e">
        <f>VLOOKUP('Customer Info'!C1087,'Customer Info'!C1087:C1586,1)</f>
        <v>#N/A</v>
      </c>
      <c r="I1095" s="6" t="e">
        <f>VLOOKUP('Customer Info'!E1087,'Customer Info'!E1087:E1586,1,0)</f>
        <v>#N/A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46</v>
      </c>
      <c r="R1095" s="2" t="s">
        <v>50</v>
      </c>
      <c r="S1095" s="9">
        <f t="shared" si="84"/>
        <v>0.02</v>
      </c>
    </row>
    <row r="1096" spans="1:19" x14ac:dyDescent="0.3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e">
        <f>VLOOKUP('Customer Info'!B1088,'Customer Info'!B1088:B1587,1,0)</f>
        <v>#N/A</v>
      </c>
      <c r="H1096" s="6" t="e">
        <f>VLOOKUP('Customer Info'!C1088,'Customer Info'!C1088:C1587,1)</f>
        <v>#N/A</v>
      </c>
      <c r="I1096" s="6" t="e">
        <f>VLOOKUP('Customer Info'!E1088,'Customer Info'!E1088:E1587,1,0)</f>
        <v>#N/A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260</v>
      </c>
      <c r="R1096" s="2" t="s">
        <v>50</v>
      </c>
      <c r="S1096" s="9">
        <f t="shared" si="84"/>
        <v>0.02</v>
      </c>
    </row>
    <row r="1097" spans="1:19" x14ac:dyDescent="0.3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e">
        <f>VLOOKUP('Customer Info'!B1089,'Customer Info'!B1089:B1588,1,0)</f>
        <v>#N/A</v>
      </c>
      <c r="H1097" s="6" t="e">
        <f>VLOOKUP('Customer Info'!C1089,'Customer Info'!C1089:C1588,1)</f>
        <v>#N/A</v>
      </c>
      <c r="I1097" s="6" t="e">
        <f>VLOOKUP('Customer Info'!E1089,'Customer Info'!E1089:E1588,1,0)</f>
        <v>#N/A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525</v>
      </c>
      <c r="R1097" s="2" t="s">
        <v>28</v>
      </c>
      <c r="S1097" s="9">
        <f t="shared" si="84"/>
        <v>0.05</v>
      </c>
    </row>
    <row r="1098" spans="1:19" x14ac:dyDescent="0.3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e">
        <f>VLOOKUP('Customer Info'!B1090,'Customer Info'!B1090:B1589,1,0)</f>
        <v>#N/A</v>
      </c>
      <c r="H1098" s="6" t="e">
        <f>VLOOKUP('Customer Info'!C1090,'Customer Info'!C1090:C1589,1)</f>
        <v>#N/A</v>
      </c>
      <c r="I1098" s="6" t="e">
        <f>VLOOKUP('Customer Info'!E1090,'Customer Info'!E1090:E1589,1,0)</f>
        <v>#N/A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33</v>
      </c>
      <c r="R1098" s="2" t="s">
        <v>28</v>
      </c>
      <c r="S1098" s="9">
        <f t="shared" si="84"/>
        <v>0.02</v>
      </c>
    </row>
    <row r="1099" spans="1:19" x14ac:dyDescent="0.3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e">
        <f>VLOOKUP('Customer Info'!B1091,'Customer Info'!B1091:B1590,1,0)</f>
        <v>#N/A</v>
      </c>
      <c r="H1099" s="6" t="e">
        <f>VLOOKUP('Customer Info'!C1091,'Customer Info'!C1091:C1590,1)</f>
        <v>#N/A</v>
      </c>
      <c r="I1099" s="6" t="e">
        <f>VLOOKUP('Customer Info'!E1091,'Customer Info'!E1091:E1590,1,0)</f>
        <v>#N/A</v>
      </c>
      <c r="J1099" s="2">
        <v>36057</v>
      </c>
      <c r="K1099" s="2">
        <v>34028</v>
      </c>
      <c r="L1099" s="2">
        <v>1</v>
      </c>
      <c r="M1099" s="7">
        <f t="shared" ref="M1099:M1162" si="85">(K1099*L1099)</f>
        <v>34028</v>
      </c>
      <c r="N1099" s="7">
        <f t="shared" ref="N1099:N1162" si="86">(J1099*L1099)</f>
        <v>36057</v>
      </c>
      <c r="O1099" s="2">
        <v>96</v>
      </c>
      <c r="P1099" s="8">
        <f t="shared" ref="P1099:P1162" si="87">(N1099+O1099)</f>
        <v>36153</v>
      </c>
      <c r="Q1099" s="8">
        <f t="shared" ref="Q1099:Q1162" si="88">(N1099-M1099)</f>
        <v>2029</v>
      </c>
      <c r="R1099" s="2" t="s">
        <v>28</v>
      </c>
      <c r="S1099" s="9">
        <f t="shared" ref="S1099:S1162" si="89">_xlfn.IFS(P1099&gt;250000,0.15,P1099&gt;100000,0.12,P1099&gt;50000,0.09,P1099&gt;25000,0.07,P1099&gt;5000,0.05,
 TRUE,0.02)</f>
        <v>7.0000000000000007E-2</v>
      </c>
    </row>
    <row r="1100" spans="1:19" x14ac:dyDescent="0.3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e">
        <f>VLOOKUP('Customer Info'!B1092,'Customer Info'!B1092:B1591,1,0)</f>
        <v>#N/A</v>
      </c>
      <c r="H1100" s="6" t="e">
        <f>VLOOKUP('Customer Info'!C1092,'Customer Info'!C1092:C1591,1)</f>
        <v>#N/A</v>
      </c>
      <c r="I1100" s="6" t="e">
        <f>VLOOKUP('Customer Info'!E1092,'Customer Info'!E1092:E1591,1,0)</f>
        <v>#N/A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45</v>
      </c>
      <c r="R1100" s="2" t="s">
        <v>50</v>
      </c>
      <c r="S1100" s="9">
        <f t="shared" si="89"/>
        <v>0.02</v>
      </c>
    </row>
    <row r="1101" spans="1:19" x14ac:dyDescent="0.3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e">
        <f>VLOOKUP('Customer Info'!B1093,'Customer Info'!B1093:B1592,1,0)</f>
        <v>#N/A</v>
      </c>
      <c r="H1101" s="6" t="e">
        <f>VLOOKUP('Customer Info'!C1093,'Customer Info'!C1093:C1592,1)</f>
        <v>#N/A</v>
      </c>
      <c r="I1101" s="6" t="e">
        <f>VLOOKUP('Customer Info'!E1093,'Customer Info'!E1093:E1592,1,0)</f>
        <v>#N/A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286</v>
      </c>
      <c r="R1101" s="2" t="s">
        <v>28</v>
      </c>
      <c r="S1101" s="9">
        <f t="shared" si="89"/>
        <v>0.02</v>
      </c>
    </row>
    <row r="1102" spans="1:19" x14ac:dyDescent="0.3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e">
        <f>VLOOKUP('Customer Info'!B1094,'Customer Info'!B1094:B1593,1,0)</f>
        <v>#N/A</v>
      </c>
      <c r="H1102" s="6" t="e">
        <f>VLOOKUP('Customer Info'!C1094,'Customer Info'!C1094:C1593,1)</f>
        <v>#N/A</v>
      </c>
      <c r="I1102" s="6" t="e">
        <f>VLOOKUP('Customer Info'!E1094,'Customer Info'!E1094:E1593,1,0)</f>
        <v>#N/A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2604</v>
      </c>
      <c r="R1102" s="2" t="s">
        <v>28</v>
      </c>
      <c r="S1102" s="9">
        <f t="shared" si="89"/>
        <v>7.0000000000000007E-2</v>
      </c>
    </row>
    <row r="1103" spans="1:19" x14ac:dyDescent="0.3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e">
        <f>VLOOKUP('Customer Info'!B1095,'Customer Info'!B1095:B1594,1,0)</f>
        <v>#N/A</v>
      </c>
      <c r="H1103" s="6" t="e">
        <f>VLOOKUP('Customer Info'!C1095,'Customer Info'!C1095:C1594,1)</f>
        <v>#N/A</v>
      </c>
      <c r="I1103" s="6" t="e">
        <f>VLOOKUP('Customer Info'!E1095,'Customer Info'!E1095:E1594,1,0)</f>
        <v>#N/A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444</v>
      </c>
      <c r="R1103" s="2" t="s">
        <v>50</v>
      </c>
      <c r="S1103" s="9">
        <f t="shared" si="89"/>
        <v>0.05</v>
      </c>
    </row>
    <row r="1104" spans="1:19" x14ac:dyDescent="0.3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e">
        <f>VLOOKUP('Customer Info'!B1096,'Customer Info'!B1096:B1595,1,0)</f>
        <v>#N/A</v>
      </c>
      <c r="H1104" s="6" t="e">
        <f>VLOOKUP('Customer Info'!C1096,'Customer Info'!C1096:C1595,1)</f>
        <v>#N/A</v>
      </c>
      <c r="I1104" s="6" t="e">
        <f>VLOOKUP('Customer Info'!E1096,'Customer Info'!E1096:E1595,1,0)</f>
        <v>#N/A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142</v>
      </c>
      <c r="R1104" s="2" t="s">
        <v>28</v>
      </c>
      <c r="S1104" s="9">
        <f t="shared" si="89"/>
        <v>0.02</v>
      </c>
    </row>
    <row r="1105" spans="1:19" x14ac:dyDescent="0.3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e">
        <f>VLOOKUP('Customer Info'!B1097,'Customer Info'!B1097:B1596,1,0)</f>
        <v>#N/A</v>
      </c>
      <c r="H1105" s="6" t="e">
        <f>VLOOKUP('Customer Info'!C1097,'Customer Info'!C1097:C1596,1)</f>
        <v>#N/A</v>
      </c>
      <c r="I1105" s="6" t="e">
        <f>VLOOKUP('Customer Info'!E1097,'Customer Info'!E1097:E1596,1,0)</f>
        <v>#N/A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206</v>
      </c>
      <c r="R1105" s="2" t="s">
        <v>50</v>
      </c>
      <c r="S1105" s="9">
        <f t="shared" si="89"/>
        <v>0.02</v>
      </c>
    </row>
    <row r="1106" spans="1:19" x14ac:dyDescent="0.3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e">
        <f>VLOOKUP('Customer Info'!B1098,'Customer Info'!B1098:B1597,1,0)</f>
        <v>#N/A</v>
      </c>
      <c r="H1106" s="6" t="e">
        <f>VLOOKUP('Customer Info'!C1098,'Customer Info'!C1098:C1597,1)</f>
        <v>#N/A</v>
      </c>
      <c r="I1106" s="6" t="e">
        <f>VLOOKUP('Customer Info'!E1098,'Customer Info'!E1098:E1597,1,0)</f>
        <v>#N/A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192</v>
      </c>
      <c r="R1106" s="2" t="s">
        <v>50</v>
      </c>
      <c r="S1106" s="9">
        <f t="shared" si="89"/>
        <v>0.02</v>
      </c>
    </row>
    <row r="1107" spans="1:19" x14ac:dyDescent="0.3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e">
        <f>VLOOKUP('Customer Info'!B1099,'Customer Info'!B1099:B1598,1,0)</f>
        <v>#N/A</v>
      </c>
      <c r="H1107" s="6" t="e">
        <f>VLOOKUP('Customer Info'!C1099,'Customer Info'!C1099:C1598,1)</f>
        <v>#N/A</v>
      </c>
      <c r="I1107" s="6" t="e">
        <f>VLOOKUP('Customer Info'!E1099,'Customer Info'!E1099:E1598,1,0)</f>
        <v>#N/A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318</v>
      </c>
      <c r="R1107" s="2" t="s">
        <v>28</v>
      </c>
      <c r="S1107" s="9">
        <f t="shared" si="89"/>
        <v>0.02</v>
      </c>
    </row>
    <row r="1108" spans="1:19" x14ac:dyDescent="0.3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e">
        <f>VLOOKUP('Customer Info'!B1100,'Customer Info'!B1100:B1599,1,0)</f>
        <v>#N/A</v>
      </c>
      <c r="H1108" s="6" t="e">
        <f>VLOOKUP('Customer Info'!C1100,'Customer Info'!C1100:C1599,1)</f>
        <v>#N/A</v>
      </c>
      <c r="I1108" s="6" t="e">
        <f>VLOOKUP('Customer Info'!E1100,'Customer Info'!E1100:E1599,1,0)</f>
        <v>#N/A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160</v>
      </c>
      <c r="R1108" s="2" t="s">
        <v>50</v>
      </c>
      <c r="S1108" s="9">
        <f t="shared" si="89"/>
        <v>0.05</v>
      </c>
    </row>
    <row r="1109" spans="1:19" x14ac:dyDescent="0.3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e">
        <f>VLOOKUP('Customer Info'!B1101,'Customer Info'!B1101:B1600,1,0)</f>
        <v>#N/A</v>
      </c>
      <c r="H1109" s="6" t="e">
        <f>VLOOKUP('Customer Info'!C1101,'Customer Info'!C1101:C1600,1)</f>
        <v>#N/A</v>
      </c>
      <c r="I1109" s="6" t="e">
        <f>VLOOKUP('Customer Info'!E1101,'Customer Info'!E1101:E1600,1,0)</f>
        <v>#N/A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908</v>
      </c>
      <c r="R1109" s="2" t="s">
        <v>28</v>
      </c>
      <c r="S1109" s="9">
        <f t="shared" si="89"/>
        <v>0.05</v>
      </c>
    </row>
    <row r="1110" spans="1:19" x14ac:dyDescent="0.3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e">
        <f>VLOOKUP('Customer Info'!B1102,'Customer Info'!B1102:B1601,1,0)</f>
        <v>#N/A</v>
      </c>
      <c r="H1110" s="6" t="e">
        <f>VLOOKUP('Customer Info'!C1102,'Customer Info'!C1102:C1601,1)</f>
        <v>#N/A</v>
      </c>
      <c r="I1110" s="6" t="e">
        <f>VLOOKUP('Customer Info'!E1102,'Customer Info'!E1102:E1601,1,0)</f>
        <v>#N/A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64</v>
      </c>
      <c r="R1110" s="2" t="s">
        <v>28</v>
      </c>
      <c r="S1110" s="9">
        <f t="shared" si="89"/>
        <v>0.02</v>
      </c>
    </row>
    <row r="1111" spans="1:19" x14ac:dyDescent="0.3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e">
        <f>VLOOKUP('Customer Info'!B1103,'Customer Info'!B1103:B1602,1,0)</f>
        <v>#N/A</v>
      </c>
      <c r="H1111" s="6" t="e">
        <f>VLOOKUP('Customer Info'!C1103,'Customer Info'!C1103:C1602,1)</f>
        <v>#N/A</v>
      </c>
      <c r="I1111" s="6" t="e">
        <f>VLOOKUP('Customer Info'!E1103,'Customer Info'!E1103:E1602,1,0)</f>
        <v>#N/A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43</v>
      </c>
      <c r="R1111" s="2" t="s">
        <v>28</v>
      </c>
      <c r="S1111" s="9">
        <f t="shared" si="89"/>
        <v>0.02</v>
      </c>
    </row>
    <row r="1112" spans="1:19" x14ac:dyDescent="0.3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e">
        <f>VLOOKUP('Customer Info'!B1104,'Customer Info'!B1104:B1603,1,0)</f>
        <v>#N/A</v>
      </c>
      <c r="H1112" s="6" t="e">
        <f>VLOOKUP('Customer Info'!C1104,'Customer Info'!C1104:C1603,1)</f>
        <v>#N/A</v>
      </c>
      <c r="I1112" s="6" t="e">
        <f>VLOOKUP('Customer Info'!E1104,'Customer Info'!E1104:E1603,1,0)</f>
        <v>#N/A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318</v>
      </c>
      <c r="R1112" s="2" t="s">
        <v>28</v>
      </c>
      <c r="S1112" s="9">
        <f t="shared" si="89"/>
        <v>0.05</v>
      </c>
    </row>
    <row r="1113" spans="1:19" x14ac:dyDescent="0.3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e">
        <f>VLOOKUP('Customer Info'!B1105,'Customer Info'!B1105:B1604,1,0)</f>
        <v>#N/A</v>
      </c>
      <c r="H1113" s="6" t="e">
        <f>VLOOKUP('Customer Info'!C1105,'Customer Info'!C1105:C1604,1)</f>
        <v>#N/A</v>
      </c>
      <c r="I1113" s="6" t="e">
        <f>VLOOKUP('Customer Info'!E1105,'Customer Info'!E1105:E1604,1,0)</f>
        <v>#N/A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1118</v>
      </c>
      <c r="R1113" s="2" t="s">
        <v>50</v>
      </c>
      <c r="S1113" s="9">
        <f t="shared" si="89"/>
        <v>0.05</v>
      </c>
    </row>
    <row r="1114" spans="1:19" x14ac:dyDescent="0.3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e">
        <f>VLOOKUP('Customer Info'!B1106,'Customer Info'!B1106:B1605,1,0)</f>
        <v>#N/A</v>
      </c>
      <c r="H1114" s="6" t="e">
        <f>VLOOKUP('Customer Info'!C1106,'Customer Info'!C1106:C1605,1)</f>
        <v>#N/A</v>
      </c>
      <c r="I1114" s="6" t="e">
        <f>VLOOKUP('Customer Info'!E1106,'Customer Info'!E1106:E1605,1,0)</f>
        <v>#N/A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2625</v>
      </c>
      <c r="R1114" s="2" t="s">
        <v>50</v>
      </c>
      <c r="S1114" s="9">
        <f t="shared" si="89"/>
        <v>7.0000000000000007E-2</v>
      </c>
    </row>
    <row r="1115" spans="1:19" x14ac:dyDescent="0.3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e">
        <f>VLOOKUP('Customer Info'!B1107,'Customer Info'!B1107:B1606,1,0)</f>
        <v>#N/A</v>
      </c>
      <c r="H1115" s="6" t="e">
        <f>VLOOKUP('Customer Info'!C1107,'Customer Info'!C1107:C1606,1)</f>
        <v>#N/A</v>
      </c>
      <c r="I1115" s="6" t="e">
        <f>VLOOKUP('Customer Info'!E1107,'Customer Info'!E1107:E1606,1,0)</f>
        <v>#N/A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88</v>
      </c>
      <c r="R1115" s="2" t="s">
        <v>28</v>
      </c>
      <c r="S1115" s="9">
        <f t="shared" si="89"/>
        <v>0.02</v>
      </c>
    </row>
    <row r="1116" spans="1:19" x14ac:dyDescent="0.3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e">
        <f>VLOOKUP('Customer Info'!B1108,'Customer Info'!B1108:B1607,1,0)</f>
        <v>#N/A</v>
      </c>
      <c r="H1116" s="6" t="e">
        <f>VLOOKUP('Customer Info'!C1108,'Customer Info'!C1108:C1607,1)</f>
        <v>#N/A</v>
      </c>
      <c r="I1116" s="6" t="e">
        <f>VLOOKUP('Customer Info'!E1108,'Customer Info'!E1108:E1607,1,0)</f>
        <v>#N/A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84</v>
      </c>
      <c r="R1116" s="2" t="s">
        <v>26</v>
      </c>
      <c r="S1116" s="9">
        <f t="shared" si="89"/>
        <v>0.02</v>
      </c>
    </row>
    <row r="1117" spans="1:19" x14ac:dyDescent="0.3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e">
        <f>VLOOKUP('Customer Info'!B1109,'Customer Info'!B1109:B1608,1,0)</f>
        <v>#N/A</v>
      </c>
      <c r="H1117" s="6" t="e">
        <f>VLOOKUP('Customer Info'!C1109,'Customer Info'!C1109:C1608,1)</f>
        <v>#N/A</v>
      </c>
      <c r="I1117" s="6" t="e">
        <f>VLOOKUP('Customer Info'!E1109,'Customer Info'!E1109:E1608,1,0)</f>
        <v>#N/A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2430</v>
      </c>
      <c r="R1117" s="2" t="s">
        <v>28</v>
      </c>
      <c r="S1117" s="9">
        <f t="shared" si="89"/>
        <v>0.05</v>
      </c>
    </row>
    <row r="1118" spans="1:19" x14ac:dyDescent="0.3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e">
        <f>VLOOKUP('Customer Info'!B1110,'Customer Info'!B1110:B1609,1,0)</f>
        <v>#N/A</v>
      </c>
      <c r="H1118" s="6" t="e">
        <f>VLOOKUP('Customer Info'!C1110,'Customer Info'!C1110:C1609,1)</f>
        <v>#N/A</v>
      </c>
      <c r="I1118" s="6" t="e">
        <f>VLOOKUP('Customer Info'!E1110,'Customer Info'!E1110:E1609,1,0)</f>
        <v>#N/A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1260</v>
      </c>
      <c r="R1118" s="2" t="s">
        <v>50</v>
      </c>
      <c r="S1118" s="9">
        <f t="shared" si="89"/>
        <v>0.05</v>
      </c>
    </row>
    <row r="1119" spans="1:19" x14ac:dyDescent="0.3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e">
        <f>VLOOKUP('Customer Info'!B1111,'Customer Info'!B1111:B1610,1,0)</f>
        <v>#N/A</v>
      </c>
      <c r="H1119" s="6" t="e">
        <f>VLOOKUP('Customer Info'!C1111,'Customer Info'!C1111:C1610,1)</f>
        <v>#N/A</v>
      </c>
      <c r="I1119" s="6" t="e">
        <f>VLOOKUP('Customer Info'!E1111,'Customer Info'!E1111:E1610,1,0)</f>
        <v>#N/A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308</v>
      </c>
      <c r="R1119" s="2" t="s">
        <v>26</v>
      </c>
      <c r="S1119" s="9">
        <f t="shared" si="89"/>
        <v>0.05</v>
      </c>
    </row>
    <row r="1120" spans="1:19" x14ac:dyDescent="0.3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e">
        <f>VLOOKUP('Customer Info'!B1112,'Customer Info'!B1112:B1611,1,0)</f>
        <v>#N/A</v>
      </c>
      <c r="H1120" s="6" t="e">
        <f>VLOOKUP('Customer Info'!C1112,'Customer Info'!C1112:C1611,1)</f>
        <v>#N/A</v>
      </c>
      <c r="I1120" s="6" t="e">
        <f>VLOOKUP('Customer Info'!E1112,'Customer Info'!E1112:E1611,1,0)</f>
        <v>#N/A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12</v>
      </c>
      <c r="R1120" s="2" t="s">
        <v>26</v>
      </c>
      <c r="S1120" s="9">
        <f t="shared" si="89"/>
        <v>0.02</v>
      </c>
    </row>
    <row r="1121" spans="1:19" x14ac:dyDescent="0.3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e">
        <f>VLOOKUP('Customer Info'!B1113,'Customer Info'!B1113:B1612,1,0)</f>
        <v>#N/A</v>
      </c>
      <c r="H1121" s="6" t="e">
        <f>VLOOKUP('Customer Info'!C1113,'Customer Info'!C1113:C1612,1)</f>
        <v>#N/A</v>
      </c>
      <c r="I1121" s="6" t="e">
        <f>VLOOKUP('Customer Info'!E1113,'Customer Info'!E1113:E1612,1,0)</f>
        <v>#N/A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10145</v>
      </c>
      <c r="R1121" s="2" t="s">
        <v>50</v>
      </c>
      <c r="S1121" s="9">
        <f t="shared" si="89"/>
        <v>0.12</v>
      </c>
    </row>
    <row r="1122" spans="1:19" x14ac:dyDescent="0.3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e">
        <f>VLOOKUP('Customer Info'!B1114,'Customer Info'!B1114:B1613,1,0)</f>
        <v>#N/A</v>
      </c>
      <c r="H1122" s="6" t="e">
        <f>VLOOKUP('Customer Info'!C1114,'Customer Info'!C1114:C1613,1)</f>
        <v>#N/A</v>
      </c>
      <c r="I1122" s="6" t="e">
        <f>VLOOKUP('Customer Info'!E1114,'Customer Info'!E1114:E1613,1,0)</f>
        <v>#N/A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398</v>
      </c>
      <c r="R1122" s="2" t="s">
        <v>28</v>
      </c>
      <c r="S1122" s="9">
        <f t="shared" si="89"/>
        <v>0.02</v>
      </c>
    </row>
    <row r="1123" spans="1:19" x14ac:dyDescent="0.3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e">
        <f>VLOOKUP('Customer Info'!B1115,'Customer Info'!B1115:B1614,1,0)</f>
        <v>#N/A</v>
      </c>
      <c r="H1123" s="6" t="e">
        <f>VLOOKUP('Customer Info'!C1115,'Customer Info'!C1115:C1614,1)</f>
        <v>#N/A</v>
      </c>
      <c r="I1123" s="6" t="e">
        <f>VLOOKUP('Customer Info'!E1115,'Customer Info'!E1115:E1614,1,0)</f>
        <v>#N/A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128</v>
      </c>
      <c r="R1123" s="2" t="s">
        <v>28</v>
      </c>
      <c r="S1123" s="9">
        <f t="shared" si="89"/>
        <v>0.02</v>
      </c>
    </row>
    <row r="1124" spans="1:19" x14ac:dyDescent="0.3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e">
        <f>VLOOKUP('Customer Info'!B1116,'Customer Info'!B1116:B1615,1,0)</f>
        <v>#N/A</v>
      </c>
      <c r="H1124" s="6" t="e">
        <f>VLOOKUP('Customer Info'!C1116,'Customer Info'!C1116:C1615,1)</f>
        <v>#N/A</v>
      </c>
      <c r="I1124" s="6" t="e">
        <f>VLOOKUP('Customer Info'!E1116,'Customer Info'!E1116:E1615,1,0)</f>
        <v>#N/A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254</v>
      </c>
      <c r="R1124" s="2" t="s">
        <v>28</v>
      </c>
      <c r="S1124" s="9">
        <f t="shared" si="89"/>
        <v>0.02</v>
      </c>
    </row>
    <row r="1125" spans="1:19" x14ac:dyDescent="0.3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e">
        <f>VLOOKUP('Customer Info'!B1117,'Customer Info'!B1117:B1616,1,0)</f>
        <v>#N/A</v>
      </c>
      <c r="H1125" s="6" t="e">
        <f>VLOOKUP('Customer Info'!C1117,'Customer Info'!C1117:C1616,1)</f>
        <v>#N/A</v>
      </c>
      <c r="I1125" s="6" t="e">
        <f>VLOOKUP('Customer Info'!E1117,'Customer Info'!E1117:E1616,1,0)</f>
        <v>#N/A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15</v>
      </c>
      <c r="R1125" s="2" t="s">
        <v>50</v>
      </c>
      <c r="S1125" s="9">
        <f t="shared" si="89"/>
        <v>0.02</v>
      </c>
    </row>
    <row r="1126" spans="1:19" x14ac:dyDescent="0.3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e">
        <f>VLOOKUP('Customer Info'!B1118,'Customer Info'!B1118:B1617,1,0)</f>
        <v>#N/A</v>
      </c>
      <c r="H1126" s="6" t="e">
        <f>VLOOKUP('Customer Info'!C1118,'Customer Info'!C1118:C1617,1)</f>
        <v>#N/A</v>
      </c>
      <c r="I1126" s="6" t="e">
        <f>VLOOKUP('Customer Info'!E1118,'Customer Info'!E1118:E1617,1,0)</f>
        <v>#N/A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116</v>
      </c>
      <c r="R1126" s="2" t="s">
        <v>28</v>
      </c>
      <c r="S1126" s="9">
        <f t="shared" si="89"/>
        <v>0.05</v>
      </c>
    </row>
    <row r="1127" spans="1:19" x14ac:dyDescent="0.3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e">
        <f>VLOOKUP('Customer Info'!B1119,'Customer Info'!B1119:B1618,1,0)</f>
        <v>#N/A</v>
      </c>
      <c r="H1127" s="6" t="e">
        <f>VLOOKUP('Customer Info'!C1119,'Customer Info'!C1119:C1618,1)</f>
        <v>#N/A</v>
      </c>
      <c r="I1127" s="6" t="e">
        <f>VLOOKUP('Customer Info'!E1119,'Customer Info'!E1119:E1618,1,0)</f>
        <v>#N/A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216</v>
      </c>
      <c r="R1127" s="2" t="s">
        <v>50</v>
      </c>
      <c r="S1127" s="9">
        <f t="shared" si="89"/>
        <v>0.05</v>
      </c>
    </row>
    <row r="1128" spans="1:19" x14ac:dyDescent="0.3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e">
        <f>VLOOKUP('Customer Info'!B1120,'Customer Info'!B1120:B1619,1,0)</f>
        <v>#N/A</v>
      </c>
      <c r="H1128" s="6" t="e">
        <f>VLOOKUP('Customer Info'!C1120,'Customer Info'!C1120:C1619,1)</f>
        <v>#N/A</v>
      </c>
      <c r="I1128" s="6" t="e">
        <f>VLOOKUP('Customer Info'!E1120,'Customer Info'!E1120:E1619,1,0)</f>
        <v>#N/A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80</v>
      </c>
      <c r="R1128" s="2" t="s">
        <v>28</v>
      </c>
      <c r="S1128" s="9">
        <f t="shared" si="89"/>
        <v>0.02</v>
      </c>
    </row>
    <row r="1129" spans="1:19" x14ac:dyDescent="0.3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e">
        <f>VLOOKUP('Customer Info'!B1121,'Customer Info'!B1121:B1620,1,0)</f>
        <v>#N/A</v>
      </c>
      <c r="H1129" s="6" t="e">
        <f>VLOOKUP('Customer Info'!C1121,'Customer Info'!C1121:C1620,1)</f>
        <v>#N/A</v>
      </c>
      <c r="I1129" s="6" t="e">
        <f>VLOOKUP('Customer Info'!E1121,'Customer Info'!E1121:E1620,1,0)</f>
        <v>#N/A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396</v>
      </c>
      <c r="R1129" s="2" t="s">
        <v>28</v>
      </c>
      <c r="S1129" s="9">
        <f t="shared" si="89"/>
        <v>0.05</v>
      </c>
    </row>
    <row r="1130" spans="1:19" x14ac:dyDescent="0.3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e">
        <f>VLOOKUP('Customer Info'!B1122,'Customer Info'!B1122:B1621,1,0)</f>
        <v>#N/A</v>
      </c>
      <c r="H1130" s="6" t="e">
        <f>VLOOKUP('Customer Info'!C1122,'Customer Info'!C1122:C1621,1)</f>
        <v>#N/A</v>
      </c>
      <c r="I1130" s="6" t="e">
        <f>VLOOKUP('Customer Info'!E1122,'Customer Info'!E1122:E1621,1,0)</f>
        <v>#N/A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18</v>
      </c>
      <c r="R1130" s="2" t="s">
        <v>28</v>
      </c>
      <c r="S1130" s="9">
        <f t="shared" si="89"/>
        <v>0.02</v>
      </c>
    </row>
    <row r="1131" spans="1:19" x14ac:dyDescent="0.3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e">
        <f>VLOOKUP('Customer Info'!B1123,'Customer Info'!B1123:B1622,1,0)</f>
        <v>#N/A</v>
      </c>
      <c r="H1131" s="6" t="e">
        <f>VLOOKUP('Customer Info'!C1123,'Customer Info'!C1123:C1622,1)</f>
        <v>#N/A</v>
      </c>
      <c r="I1131" s="6" t="e">
        <f>VLOOKUP('Customer Info'!E1123,'Customer Info'!E1123:E1622,1,0)</f>
        <v>#N/A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4682</v>
      </c>
      <c r="R1131" s="2" t="s">
        <v>28</v>
      </c>
      <c r="S1131" s="9">
        <f t="shared" si="89"/>
        <v>7.0000000000000007E-2</v>
      </c>
    </row>
    <row r="1132" spans="1:19" x14ac:dyDescent="0.3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e">
        <f>VLOOKUP('Customer Info'!B1124,'Customer Info'!B1124:B1623,1,0)</f>
        <v>#N/A</v>
      </c>
      <c r="H1132" s="6" t="e">
        <f>VLOOKUP('Customer Info'!C1124,'Customer Info'!C1124:C1623,1)</f>
        <v>#N/A</v>
      </c>
      <c r="I1132" s="6" t="e">
        <f>VLOOKUP('Customer Info'!E1124,'Customer Info'!E1124:E1623,1,0)</f>
        <v>#N/A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48</v>
      </c>
      <c r="R1132" s="2" t="s">
        <v>28</v>
      </c>
      <c r="S1132" s="9">
        <f t="shared" si="89"/>
        <v>0.02</v>
      </c>
    </row>
    <row r="1133" spans="1:19" x14ac:dyDescent="0.3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e">
        <f>VLOOKUP('Customer Info'!B1125,'Customer Info'!B1125:B1624,1,0)</f>
        <v>#N/A</v>
      </c>
      <c r="H1133" s="6" t="e">
        <f>VLOOKUP('Customer Info'!C1125,'Customer Info'!C1125:C1624,1)</f>
        <v>#N/A</v>
      </c>
      <c r="I1133" s="6" t="e">
        <f>VLOOKUP('Customer Info'!E1125,'Customer Info'!E1125:E1624,1,0)</f>
        <v>#N/A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80</v>
      </c>
      <c r="R1133" s="2" t="s">
        <v>50</v>
      </c>
      <c r="S1133" s="9">
        <f t="shared" si="89"/>
        <v>0.02</v>
      </c>
    </row>
    <row r="1134" spans="1:19" x14ac:dyDescent="0.3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e">
        <f>VLOOKUP('Customer Info'!B1126,'Customer Info'!B1126:B1625,1,0)</f>
        <v>#N/A</v>
      </c>
      <c r="H1134" s="6" t="e">
        <f>VLOOKUP('Customer Info'!C1126,'Customer Info'!C1126:C1625,1)</f>
        <v>#N/A</v>
      </c>
      <c r="I1134" s="6" t="e">
        <f>VLOOKUP('Customer Info'!E1126,'Customer Info'!E1126:E1625,1,0)</f>
        <v>#N/A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966</v>
      </c>
      <c r="R1134" s="2" t="s">
        <v>28</v>
      </c>
      <c r="S1134" s="9">
        <f t="shared" si="89"/>
        <v>0.05</v>
      </c>
    </row>
    <row r="1135" spans="1:19" x14ac:dyDescent="0.3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e">
        <f>VLOOKUP('Customer Info'!B1127,'Customer Info'!B1127:B1626,1,0)</f>
        <v>#N/A</v>
      </c>
      <c r="H1135" s="6" t="e">
        <f>VLOOKUP('Customer Info'!C1127,'Customer Info'!C1127:C1626,1)</f>
        <v>#N/A</v>
      </c>
      <c r="I1135" s="6" t="e">
        <f>VLOOKUP('Customer Info'!E1127,'Customer Info'!E1127:E1626,1,0)</f>
        <v>#N/A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1824</v>
      </c>
      <c r="R1135" s="2" t="s">
        <v>28</v>
      </c>
      <c r="S1135" s="9">
        <f t="shared" si="89"/>
        <v>0.05</v>
      </c>
    </row>
    <row r="1136" spans="1:19" x14ac:dyDescent="0.3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e">
        <f>VLOOKUP('Customer Info'!B1128,'Customer Info'!B1128:B1627,1,0)</f>
        <v>#N/A</v>
      </c>
      <c r="H1136" s="6" t="e">
        <f>VLOOKUP('Customer Info'!C1128,'Customer Info'!C1128:C1627,1)</f>
        <v>#N/A</v>
      </c>
      <c r="I1136" s="6" t="e">
        <f>VLOOKUP('Customer Info'!E1128,'Customer Info'!E1128:E1627,1,0)</f>
        <v>#N/A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24</v>
      </c>
      <c r="R1136" s="2" t="s">
        <v>50</v>
      </c>
      <c r="S1136" s="9">
        <f t="shared" si="89"/>
        <v>0.02</v>
      </c>
    </row>
    <row r="1137" spans="1:19" x14ac:dyDescent="0.3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e">
        <f>VLOOKUP('Customer Info'!B1129,'Customer Info'!B1129:B1628,1,0)</f>
        <v>#N/A</v>
      </c>
      <c r="H1137" s="6" t="e">
        <f>VLOOKUP('Customer Info'!C1129,'Customer Info'!C1129:C1628,1)</f>
        <v>#N/A</v>
      </c>
      <c r="I1137" s="6" t="e">
        <f>VLOOKUP('Customer Info'!E1129,'Customer Info'!E1129:E1628,1,0)</f>
        <v>#N/A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-6</v>
      </c>
      <c r="R1137" s="2" t="s">
        <v>28</v>
      </c>
      <c r="S1137" s="9">
        <f t="shared" si="89"/>
        <v>7.0000000000000007E-2</v>
      </c>
    </row>
    <row r="1138" spans="1:19" x14ac:dyDescent="0.3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e">
        <f>VLOOKUP('Customer Info'!B1130,'Customer Info'!B1130:B1629,1,0)</f>
        <v>#N/A</v>
      </c>
      <c r="H1138" s="6" t="e">
        <f>VLOOKUP('Customer Info'!C1130,'Customer Info'!C1130:C1629,1)</f>
        <v>#N/A</v>
      </c>
      <c r="I1138" s="6" t="e">
        <f>VLOOKUP('Customer Info'!E1130,'Customer Info'!E1130:E1629,1,0)</f>
        <v>#N/A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1200</v>
      </c>
      <c r="R1138" s="2" t="s">
        <v>50</v>
      </c>
      <c r="S1138" s="9">
        <f t="shared" si="89"/>
        <v>0.05</v>
      </c>
    </row>
    <row r="1139" spans="1:19" x14ac:dyDescent="0.3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e">
        <f>VLOOKUP('Customer Info'!B1131,'Customer Info'!B1131:B1630,1,0)</f>
        <v>#N/A</v>
      </c>
      <c r="H1139" s="6" t="e">
        <f>VLOOKUP('Customer Info'!C1131,'Customer Info'!C1131:C1630,1)</f>
        <v>#N/A</v>
      </c>
      <c r="I1139" s="6" t="e">
        <f>VLOOKUP('Customer Info'!E1131,'Customer Info'!E1131:E1630,1,0)</f>
        <v>#N/A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8</v>
      </c>
      <c r="R1139" s="2" t="s">
        <v>26</v>
      </c>
      <c r="S1139" s="9">
        <f t="shared" si="89"/>
        <v>0.02</v>
      </c>
    </row>
    <row r="1140" spans="1:19" x14ac:dyDescent="0.3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e">
        <f>VLOOKUP('Customer Info'!B1132,'Customer Info'!B1132:B1631,1,0)</f>
        <v>#N/A</v>
      </c>
      <c r="H1140" s="6" t="e">
        <f>VLOOKUP('Customer Info'!C1132,'Customer Info'!C1132:C1631,1)</f>
        <v>#N/A</v>
      </c>
      <c r="I1140" s="6" t="e">
        <f>VLOOKUP('Customer Info'!E1132,'Customer Info'!E1132:E1631,1,0)</f>
        <v>#N/A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352</v>
      </c>
      <c r="R1140" s="2" t="s">
        <v>28</v>
      </c>
      <c r="S1140" s="9">
        <f t="shared" si="89"/>
        <v>0.02</v>
      </c>
    </row>
    <row r="1141" spans="1:19" x14ac:dyDescent="0.3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e">
        <f>VLOOKUP('Customer Info'!B1133,'Customer Info'!B1133:B1632,1,0)</f>
        <v>#N/A</v>
      </c>
      <c r="H1141" s="6" t="e">
        <f>VLOOKUP('Customer Info'!C1133,'Customer Info'!C1133:C1632,1)</f>
        <v>#N/A</v>
      </c>
      <c r="I1141" s="6" t="e">
        <f>VLOOKUP('Customer Info'!E1133,'Customer Info'!E1133:E1632,1,0)</f>
        <v>#N/A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543</v>
      </c>
      <c r="R1141" s="2" t="s">
        <v>28</v>
      </c>
      <c r="S1141" s="9">
        <f t="shared" si="89"/>
        <v>0.05</v>
      </c>
    </row>
    <row r="1142" spans="1:19" x14ac:dyDescent="0.3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e">
        <f>VLOOKUP('Customer Info'!B1134,'Customer Info'!B1134:B1633,1,0)</f>
        <v>#N/A</v>
      </c>
      <c r="H1142" s="6" t="e">
        <f>VLOOKUP('Customer Info'!C1134,'Customer Info'!C1134:C1633,1)</f>
        <v>#N/A</v>
      </c>
      <c r="I1142" s="6" t="e">
        <f>VLOOKUP('Customer Info'!E1134,'Customer Info'!E1134:E1633,1,0)</f>
        <v>#N/A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100</v>
      </c>
      <c r="R1142" s="2" t="s">
        <v>50</v>
      </c>
      <c r="S1142" s="9">
        <f t="shared" si="89"/>
        <v>0.02</v>
      </c>
    </row>
    <row r="1143" spans="1:19" x14ac:dyDescent="0.3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e">
        <f>VLOOKUP('Customer Info'!B1135,'Customer Info'!B1135:B1634,1,0)</f>
        <v>#N/A</v>
      </c>
      <c r="H1143" s="6" t="e">
        <f>VLOOKUP('Customer Info'!C1135,'Customer Info'!C1135:C1634,1)</f>
        <v>#N/A</v>
      </c>
      <c r="I1143" s="6" t="e">
        <f>VLOOKUP('Customer Info'!E1135,'Customer Info'!E1135:E1634,1,0)</f>
        <v>#N/A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456</v>
      </c>
      <c r="R1143" s="2" t="s">
        <v>50</v>
      </c>
      <c r="S1143" s="9">
        <f t="shared" si="89"/>
        <v>0.05</v>
      </c>
    </row>
    <row r="1144" spans="1:19" x14ac:dyDescent="0.3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e">
        <f>VLOOKUP('Customer Info'!B1136,'Customer Info'!B1136:B1635,1,0)</f>
        <v>#N/A</v>
      </c>
      <c r="H1144" s="6" t="e">
        <f>VLOOKUP('Customer Info'!C1136,'Customer Info'!C1136:C1635,1)</f>
        <v>#N/A</v>
      </c>
      <c r="I1144" s="6" t="e">
        <f>VLOOKUP('Customer Info'!E1136,'Customer Info'!E1136:E1635,1,0)</f>
        <v>#N/A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180</v>
      </c>
      <c r="R1144" s="2" t="s">
        <v>26</v>
      </c>
      <c r="S1144" s="9">
        <f t="shared" si="89"/>
        <v>0.02</v>
      </c>
    </row>
    <row r="1145" spans="1:19" x14ac:dyDescent="0.3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e">
        <f>VLOOKUP('Customer Info'!B1137,'Customer Info'!B1137:B1636,1,0)</f>
        <v>#N/A</v>
      </c>
      <c r="H1145" s="6" t="e">
        <f>VLOOKUP('Customer Info'!C1137,'Customer Info'!C1137:C1636,1)</f>
        <v>#N/A</v>
      </c>
      <c r="I1145" s="6" t="e">
        <f>VLOOKUP('Customer Info'!E1137,'Customer Info'!E1137:E1636,1,0)</f>
        <v>#N/A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20</v>
      </c>
      <c r="R1145" s="2" t="s">
        <v>28</v>
      </c>
      <c r="S1145" s="9">
        <f t="shared" si="89"/>
        <v>0.02</v>
      </c>
    </row>
    <row r="1146" spans="1:19" x14ac:dyDescent="0.3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e">
        <f>VLOOKUP('Customer Info'!B1138,'Customer Info'!B1138:B1637,1,0)</f>
        <v>#N/A</v>
      </c>
      <c r="H1146" s="6" t="e">
        <f>VLOOKUP('Customer Info'!C1138,'Customer Info'!C1138:C1637,1)</f>
        <v>#N/A</v>
      </c>
      <c r="I1146" s="6" t="e">
        <f>VLOOKUP('Customer Info'!E1138,'Customer Info'!E1138:E1637,1,0)</f>
        <v>#N/A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436</v>
      </c>
      <c r="R1146" s="2" t="s">
        <v>50</v>
      </c>
      <c r="S1146" s="9">
        <f t="shared" si="89"/>
        <v>0.05</v>
      </c>
    </row>
    <row r="1147" spans="1:19" x14ac:dyDescent="0.3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e">
        <f>VLOOKUP('Customer Info'!B1139,'Customer Info'!B1139:B1638,1,0)</f>
        <v>#N/A</v>
      </c>
      <c r="H1147" s="6" t="e">
        <f>VLOOKUP('Customer Info'!C1139,'Customer Info'!C1139:C1638,1)</f>
        <v>#N/A</v>
      </c>
      <c r="I1147" s="6" t="e">
        <f>VLOOKUP('Customer Info'!E1139,'Customer Info'!E1139:E1638,1,0)</f>
        <v>#N/A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158</v>
      </c>
      <c r="R1147" s="2" t="s">
        <v>28</v>
      </c>
      <c r="S1147" s="9">
        <f t="shared" si="89"/>
        <v>0.02</v>
      </c>
    </row>
    <row r="1148" spans="1:19" x14ac:dyDescent="0.3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e">
        <f>VLOOKUP('Customer Info'!B1140,'Customer Info'!B1140:B1639,1,0)</f>
        <v>#N/A</v>
      </c>
      <c r="H1148" s="6" t="e">
        <f>VLOOKUP('Customer Info'!C1140,'Customer Info'!C1140:C1639,1)</f>
        <v>#N/A</v>
      </c>
      <c r="I1148" s="6" t="e">
        <f>VLOOKUP('Customer Info'!E1140,'Customer Info'!E1140:E1639,1,0)</f>
        <v>#N/A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76</v>
      </c>
      <c r="R1148" s="2" t="s">
        <v>50</v>
      </c>
      <c r="S1148" s="9">
        <f t="shared" si="89"/>
        <v>0.02</v>
      </c>
    </row>
    <row r="1149" spans="1:19" x14ac:dyDescent="0.3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e">
        <f>VLOOKUP('Customer Info'!B1141,'Customer Info'!B1141:B1640,1,0)</f>
        <v>#N/A</v>
      </c>
      <c r="H1149" s="6" t="e">
        <f>VLOOKUP('Customer Info'!C1141,'Customer Info'!C1141:C1640,1)</f>
        <v>#N/A</v>
      </c>
      <c r="I1149" s="6" t="e">
        <f>VLOOKUP('Customer Info'!E1141,'Customer Info'!E1141:E1640,1,0)</f>
        <v>#N/A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303</v>
      </c>
      <c r="R1149" s="2" t="s">
        <v>26</v>
      </c>
      <c r="S1149" s="9">
        <f t="shared" si="89"/>
        <v>0.02</v>
      </c>
    </row>
    <row r="1150" spans="1:19" x14ac:dyDescent="0.3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e">
        <f>VLOOKUP('Customer Info'!B1142,'Customer Info'!B1142:B1641,1,0)</f>
        <v>#N/A</v>
      </c>
      <c r="H1150" s="6" t="e">
        <f>VLOOKUP('Customer Info'!C1142,'Customer Info'!C1142:C1641,1)</f>
        <v>#N/A</v>
      </c>
      <c r="I1150" s="6" t="e">
        <f>VLOOKUP('Customer Info'!E1142,'Customer Info'!E1142:E1641,1,0)</f>
        <v>#N/A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14</v>
      </c>
      <c r="R1150" s="2" t="s">
        <v>56</v>
      </c>
      <c r="S1150" s="9">
        <f t="shared" si="89"/>
        <v>0.02</v>
      </c>
    </row>
    <row r="1151" spans="1:19" x14ac:dyDescent="0.3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e">
        <f>VLOOKUP('Customer Info'!B1143,'Customer Info'!B1143:B1642,1,0)</f>
        <v>#N/A</v>
      </c>
      <c r="H1151" s="6" t="e">
        <f>VLOOKUP('Customer Info'!C1143,'Customer Info'!C1143:C1642,1)</f>
        <v>#N/A</v>
      </c>
      <c r="I1151" s="6" t="e">
        <f>VLOOKUP('Customer Info'!E1143,'Customer Info'!E1143:E1642,1,0)</f>
        <v>#N/A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2868</v>
      </c>
      <c r="R1151" s="2" t="s">
        <v>28</v>
      </c>
      <c r="S1151" s="9">
        <f t="shared" si="89"/>
        <v>7.0000000000000007E-2</v>
      </c>
    </row>
    <row r="1152" spans="1:19" x14ac:dyDescent="0.3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e">
        <f>VLOOKUP('Customer Info'!B1144,'Customer Info'!B1144:B1643,1,0)</f>
        <v>#N/A</v>
      </c>
      <c r="H1152" s="6" t="e">
        <f>VLOOKUP('Customer Info'!C1144,'Customer Info'!C1144:C1643,1)</f>
        <v>#N/A</v>
      </c>
      <c r="I1152" s="6" t="e">
        <f>VLOOKUP('Customer Info'!E1144,'Customer Info'!E1144:E1643,1,0)</f>
        <v>#N/A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1926</v>
      </c>
      <c r="R1152" s="2" t="s">
        <v>28</v>
      </c>
      <c r="S1152" s="9">
        <f t="shared" si="89"/>
        <v>0.05</v>
      </c>
    </row>
    <row r="1153" spans="1:19" x14ac:dyDescent="0.3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e">
        <f>VLOOKUP('Customer Info'!B1145,'Customer Info'!B1145:B1644,1,0)</f>
        <v>#N/A</v>
      </c>
      <c r="H1153" s="6" t="e">
        <f>VLOOKUP('Customer Info'!C1145,'Customer Info'!C1145:C1644,1)</f>
        <v>#N/A</v>
      </c>
      <c r="I1153" s="6" t="e">
        <f>VLOOKUP('Customer Info'!E1145,'Customer Info'!E1145:E1644,1,0)</f>
        <v>#N/A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450</v>
      </c>
      <c r="R1153" s="2" t="s">
        <v>28</v>
      </c>
      <c r="S1153" s="9">
        <f t="shared" si="89"/>
        <v>0.05</v>
      </c>
    </row>
    <row r="1154" spans="1:19" x14ac:dyDescent="0.3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e">
        <f>VLOOKUP('Customer Info'!B1146,'Customer Info'!B1146:B1645,1,0)</f>
        <v>#N/A</v>
      </c>
      <c r="H1154" s="6" t="e">
        <f>VLOOKUP('Customer Info'!C1146,'Customer Info'!C1146:C1645,1)</f>
        <v>#N/A</v>
      </c>
      <c r="I1154" s="6" t="e">
        <f>VLOOKUP('Customer Info'!E1146,'Customer Info'!E1146:E1645,1,0)</f>
        <v>#N/A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1050</v>
      </c>
      <c r="R1154" s="2" t="s">
        <v>28</v>
      </c>
      <c r="S1154" s="9">
        <f t="shared" si="89"/>
        <v>0.05</v>
      </c>
    </row>
    <row r="1155" spans="1:19" x14ac:dyDescent="0.3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e">
        <f>VLOOKUP('Customer Info'!B1147,'Customer Info'!B1147:B1646,1,0)</f>
        <v>#N/A</v>
      </c>
      <c r="H1155" s="6" t="e">
        <f>VLOOKUP('Customer Info'!C1147,'Customer Info'!C1147:C1646,1)</f>
        <v>#N/A</v>
      </c>
      <c r="I1155" s="6" t="e">
        <f>VLOOKUP('Customer Info'!E1147,'Customer Info'!E1147:E1646,1,0)</f>
        <v>#N/A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197</v>
      </c>
      <c r="R1155" s="2" t="s">
        <v>28</v>
      </c>
      <c r="S1155" s="9">
        <f t="shared" si="89"/>
        <v>0.05</v>
      </c>
    </row>
    <row r="1156" spans="1:19" x14ac:dyDescent="0.3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e">
        <f>VLOOKUP('Customer Info'!B1148,'Customer Info'!B1148:B1647,1,0)</f>
        <v>#N/A</v>
      </c>
      <c r="H1156" s="6" t="e">
        <f>VLOOKUP('Customer Info'!C1148,'Customer Info'!C1148:C1647,1)</f>
        <v>#N/A</v>
      </c>
      <c r="I1156" s="6" t="e">
        <f>VLOOKUP('Customer Info'!E1148,'Customer Info'!E1148:E1647,1,0)</f>
        <v>#N/A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-3</v>
      </c>
      <c r="R1156" s="2" t="s">
        <v>28</v>
      </c>
      <c r="S1156" s="9">
        <f t="shared" si="89"/>
        <v>0.05</v>
      </c>
    </row>
    <row r="1157" spans="1:19" x14ac:dyDescent="0.3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e">
        <f>VLOOKUP('Customer Info'!B1149,'Customer Info'!B1149:B1648,1,0)</f>
        <v>#N/A</v>
      </c>
      <c r="H1157" s="6" t="e">
        <f>VLOOKUP('Customer Info'!C1149,'Customer Info'!C1149:C1648,1)</f>
        <v>#N/A</v>
      </c>
      <c r="I1157" s="6" t="e">
        <f>VLOOKUP('Customer Info'!E1149,'Customer Info'!E1149:E1648,1,0)</f>
        <v>#N/A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372</v>
      </c>
      <c r="R1157" s="2" t="s">
        <v>28</v>
      </c>
      <c r="S1157" s="9">
        <f t="shared" si="89"/>
        <v>0.05</v>
      </c>
    </row>
    <row r="1158" spans="1:19" x14ac:dyDescent="0.3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e">
        <f>VLOOKUP('Customer Info'!B1150,'Customer Info'!B1150:B1649,1,0)</f>
        <v>#N/A</v>
      </c>
      <c r="H1158" s="6" t="e">
        <f>VLOOKUP('Customer Info'!C1150,'Customer Info'!C1150:C1649,1)</f>
        <v>#N/A</v>
      </c>
      <c r="I1158" s="6" t="e">
        <f>VLOOKUP('Customer Info'!E1150,'Customer Info'!E1150:E1649,1,0)</f>
        <v>#N/A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470</v>
      </c>
      <c r="R1158" s="2" t="s">
        <v>50</v>
      </c>
      <c r="S1158" s="9">
        <f t="shared" si="89"/>
        <v>0.05</v>
      </c>
    </row>
    <row r="1159" spans="1:19" x14ac:dyDescent="0.3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e">
        <f>VLOOKUP('Customer Info'!B1151,'Customer Info'!B1151:B1650,1,0)</f>
        <v>#N/A</v>
      </c>
      <c r="H1159" s="6" t="e">
        <f>VLOOKUP('Customer Info'!C1151,'Customer Info'!C1151:C1650,1)</f>
        <v>#N/A</v>
      </c>
      <c r="I1159" s="6" t="e">
        <f>VLOOKUP('Customer Info'!E1151,'Customer Info'!E1151:E1650,1,0)</f>
        <v>#N/A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1420</v>
      </c>
      <c r="R1159" s="2" t="s">
        <v>28</v>
      </c>
      <c r="S1159" s="9">
        <f t="shared" si="89"/>
        <v>0.05</v>
      </c>
    </row>
    <row r="1160" spans="1:19" x14ac:dyDescent="0.3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e">
        <f>VLOOKUP('Customer Info'!B1152,'Customer Info'!B1152:B1651,1,0)</f>
        <v>#N/A</v>
      </c>
      <c r="H1160" s="6" t="e">
        <f>VLOOKUP('Customer Info'!C1152,'Customer Info'!C1152:C1651,1)</f>
        <v>#N/A</v>
      </c>
      <c r="I1160" s="6" t="e">
        <f>VLOOKUP('Customer Info'!E1152,'Customer Info'!E1152:E1651,1,0)</f>
        <v>#N/A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120</v>
      </c>
      <c r="R1160" s="2" t="s">
        <v>50</v>
      </c>
      <c r="S1160" s="9">
        <f t="shared" si="89"/>
        <v>0.02</v>
      </c>
    </row>
    <row r="1161" spans="1:19" x14ac:dyDescent="0.3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e">
        <f>VLOOKUP('Customer Info'!B1153,'Customer Info'!B1153:B1652,1,0)</f>
        <v>#N/A</v>
      </c>
      <c r="H1161" s="6" t="e">
        <f>VLOOKUP('Customer Info'!C1153,'Customer Info'!C1153:C1652,1)</f>
        <v>#N/A</v>
      </c>
      <c r="I1161" s="6" t="e">
        <f>VLOOKUP('Customer Info'!E1153,'Customer Info'!E1153:E1652,1,0)</f>
        <v>#N/A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210</v>
      </c>
      <c r="R1161" s="2" t="s">
        <v>50</v>
      </c>
      <c r="S1161" s="9">
        <f t="shared" si="89"/>
        <v>0.02</v>
      </c>
    </row>
    <row r="1162" spans="1:19" x14ac:dyDescent="0.3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e">
        <f>VLOOKUP('Customer Info'!B1154,'Customer Info'!B1154:B1653,1,0)</f>
        <v>#N/A</v>
      </c>
      <c r="H1162" s="6" t="e">
        <f>VLOOKUP('Customer Info'!C1154,'Customer Info'!C1154:C1653,1)</f>
        <v>#N/A</v>
      </c>
      <c r="I1162" s="6" t="e">
        <f>VLOOKUP('Customer Info'!E1154,'Customer Info'!E1154:E1653,1,0)</f>
        <v>#N/A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16</v>
      </c>
      <c r="R1162" s="2" t="s">
        <v>28</v>
      </c>
      <c r="S1162" s="9">
        <f t="shared" si="89"/>
        <v>0.02</v>
      </c>
    </row>
    <row r="1163" spans="1:19" x14ac:dyDescent="0.3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e">
        <f>VLOOKUP('Customer Info'!B1155,'Customer Info'!B1155:B1654,1,0)</f>
        <v>#N/A</v>
      </c>
      <c r="H1163" s="6" t="e">
        <f>VLOOKUP('Customer Info'!C1155,'Customer Info'!C1155:C1654,1)</f>
        <v>#N/A</v>
      </c>
      <c r="I1163" s="6" t="e">
        <f>VLOOKUP('Customer Info'!E1155,'Customer Info'!E1155:E1654,1,0)</f>
        <v>#N/A</v>
      </c>
      <c r="J1163" s="2">
        <v>210</v>
      </c>
      <c r="K1163" s="2">
        <v>191</v>
      </c>
      <c r="L1163" s="2">
        <v>2</v>
      </c>
      <c r="M1163" s="7">
        <f t="shared" ref="M1163:M1226" si="90">(K1163*L1163)</f>
        <v>382</v>
      </c>
      <c r="N1163" s="7">
        <f t="shared" ref="N1163:N1226" si="91">(J1163*L1163)</f>
        <v>420</v>
      </c>
      <c r="O1163" s="2">
        <v>55</v>
      </c>
      <c r="P1163" s="8">
        <f t="shared" ref="P1163:P1226" si="92">(N1163+O1163)</f>
        <v>475</v>
      </c>
      <c r="Q1163" s="8">
        <f t="shared" ref="Q1163:Q1226" si="93">(N1163-M1163)</f>
        <v>38</v>
      </c>
      <c r="R1163" s="2" t="s">
        <v>28</v>
      </c>
      <c r="S1163" s="9">
        <f t="shared" ref="S1163:S1226" si="94">_xlfn.IFS(P1163&gt;250000,0.15,P1163&gt;100000,0.12,P1163&gt;50000,0.09,P1163&gt;25000,0.07,P1163&gt;5000,0.05,
 TRUE,0.02)</f>
        <v>0.02</v>
      </c>
    </row>
    <row r="1164" spans="1:19" x14ac:dyDescent="0.3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e">
        <f>VLOOKUP('Customer Info'!B1156,'Customer Info'!B1156:B1655,1,0)</f>
        <v>#N/A</v>
      </c>
      <c r="H1164" s="6" t="e">
        <f>VLOOKUP('Customer Info'!C1156,'Customer Info'!C1156:C1655,1)</f>
        <v>#N/A</v>
      </c>
      <c r="I1164" s="6" t="e">
        <f>VLOOKUP('Customer Info'!E1156,'Customer Info'!E1156:E1655,1,0)</f>
        <v>#N/A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40</v>
      </c>
      <c r="R1164" s="2" t="s">
        <v>28</v>
      </c>
      <c r="S1164" s="9">
        <f t="shared" si="94"/>
        <v>0.02</v>
      </c>
    </row>
    <row r="1165" spans="1:19" x14ac:dyDescent="0.3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e">
        <f>VLOOKUP('Customer Info'!B1157,'Customer Info'!B1157:B1656,1,0)</f>
        <v>#N/A</v>
      </c>
      <c r="H1165" s="6" t="e">
        <f>VLOOKUP('Customer Info'!C1157,'Customer Info'!C1157:C1656,1)</f>
        <v>#N/A</v>
      </c>
      <c r="I1165" s="6" t="e">
        <f>VLOOKUP('Customer Info'!E1157,'Customer Info'!E1157:E1656,1,0)</f>
        <v>#N/A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477</v>
      </c>
      <c r="R1165" s="2" t="s">
        <v>50</v>
      </c>
      <c r="S1165" s="9">
        <f t="shared" si="94"/>
        <v>0.02</v>
      </c>
    </row>
    <row r="1166" spans="1:19" x14ac:dyDescent="0.3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e">
        <f>VLOOKUP('Customer Info'!B1158,'Customer Info'!B1158:B1657,1,0)</f>
        <v>#N/A</v>
      </c>
      <c r="H1166" s="6" t="e">
        <f>VLOOKUP('Customer Info'!C1158,'Customer Info'!C1158:C1657,1)</f>
        <v>#N/A</v>
      </c>
      <c r="I1166" s="6" t="e">
        <f>VLOOKUP('Customer Info'!E1158,'Customer Info'!E1158:E1657,1,0)</f>
        <v>#N/A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928</v>
      </c>
      <c r="R1166" s="2" t="s">
        <v>28</v>
      </c>
      <c r="S1166" s="9">
        <f t="shared" si="94"/>
        <v>0.05</v>
      </c>
    </row>
    <row r="1167" spans="1:19" x14ac:dyDescent="0.3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e">
        <f>VLOOKUP('Customer Info'!B1159,'Customer Info'!B1159:B1658,1,0)</f>
        <v>#N/A</v>
      </c>
      <c r="H1167" s="6" t="e">
        <f>VLOOKUP('Customer Info'!C1159,'Customer Info'!C1159:C1658,1)</f>
        <v>#N/A</v>
      </c>
      <c r="I1167" s="6" t="e">
        <f>VLOOKUP('Customer Info'!E1159,'Customer Info'!E1159:E1658,1,0)</f>
        <v>#N/A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198</v>
      </c>
      <c r="R1167" s="2" t="s">
        <v>28</v>
      </c>
      <c r="S1167" s="9">
        <f t="shared" si="94"/>
        <v>0.05</v>
      </c>
    </row>
    <row r="1168" spans="1:19" x14ac:dyDescent="0.3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e">
        <f>VLOOKUP('Customer Info'!B1160,'Customer Info'!B1160:B1659,1,0)</f>
        <v>#N/A</v>
      </c>
      <c r="H1168" s="6" t="e">
        <f>VLOOKUP('Customer Info'!C1160,'Customer Info'!C1160:C1659,1)</f>
        <v>#N/A</v>
      </c>
      <c r="I1168" s="6" t="e">
        <f>VLOOKUP('Customer Info'!E1160,'Customer Info'!E1160:E1659,1,0)</f>
        <v>#N/A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4</v>
      </c>
      <c r="R1168" s="2" t="s">
        <v>28</v>
      </c>
      <c r="S1168" s="9">
        <f t="shared" si="94"/>
        <v>0.02</v>
      </c>
    </row>
    <row r="1169" spans="1:19" x14ac:dyDescent="0.3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e">
        <f>VLOOKUP('Customer Info'!B1161,'Customer Info'!B1161:B1660,1,0)</f>
        <v>#N/A</v>
      </c>
      <c r="H1169" s="6" t="e">
        <f>VLOOKUP('Customer Info'!C1161,'Customer Info'!C1161:C1660,1)</f>
        <v>#N/A</v>
      </c>
      <c r="I1169" s="6" t="e">
        <f>VLOOKUP('Customer Info'!E1161,'Customer Info'!E1161:E1660,1,0)</f>
        <v>#N/A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36</v>
      </c>
      <c r="R1169" s="2" t="s">
        <v>50</v>
      </c>
      <c r="S1169" s="9">
        <f t="shared" si="94"/>
        <v>0.02</v>
      </c>
    </row>
    <row r="1170" spans="1:19" x14ac:dyDescent="0.3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e">
        <f>VLOOKUP('Customer Info'!B1162,'Customer Info'!B1162:B1661,1,0)</f>
        <v>#N/A</v>
      </c>
      <c r="H1170" s="6" t="e">
        <f>VLOOKUP('Customer Info'!C1162,'Customer Info'!C1162:C1661,1)</f>
        <v>#N/A</v>
      </c>
      <c r="I1170" s="6" t="e">
        <f>VLOOKUP('Customer Info'!E1162,'Customer Info'!E1162:E1661,1,0)</f>
        <v>#N/A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68</v>
      </c>
      <c r="R1170" s="2" t="s">
        <v>28</v>
      </c>
      <c r="S1170" s="9">
        <f t="shared" si="94"/>
        <v>0.02</v>
      </c>
    </row>
    <row r="1171" spans="1:19" x14ac:dyDescent="0.3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e">
        <f>VLOOKUP('Customer Info'!B1163,'Customer Info'!B1163:B1662,1,0)</f>
        <v>#N/A</v>
      </c>
      <c r="H1171" s="6" t="e">
        <f>VLOOKUP('Customer Info'!C1163,'Customer Info'!C1163:C1662,1)</f>
        <v>#N/A</v>
      </c>
      <c r="I1171" s="6" t="e">
        <f>VLOOKUP('Customer Info'!E1163,'Customer Info'!E1163:E1662,1,0)</f>
        <v>#N/A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160</v>
      </c>
      <c r="R1171" s="2" t="s">
        <v>26</v>
      </c>
      <c r="S1171" s="9">
        <f t="shared" si="94"/>
        <v>0.02</v>
      </c>
    </row>
    <row r="1172" spans="1:19" x14ac:dyDescent="0.3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e">
        <f>VLOOKUP('Customer Info'!B1164,'Customer Info'!B1164:B1663,1,0)</f>
        <v>#N/A</v>
      </c>
      <c r="H1172" s="6" t="e">
        <f>VLOOKUP('Customer Info'!C1164,'Customer Info'!C1164:C1663,1)</f>
        <v>#N/A</v>
      </c>
      <c r="I1172" s="6" t="e">
        <f>VLOOKUP('Customer Info'!E1164,'Customer Info'!E1164:E1663,1,0)</f>
        <v>#N/A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2340</v>
      </c>
      <c r="R1172" s="2" t="s">
        <v>28</v>
      </c>
      <c r="S1172" s="9">
        <f t="shared" si="94"/>
        <v>7.0000000000000007E-2</v>
      </c>
    </row>
    <row r="1173" spans="1:19" x14ac:dyDescent="0.3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e">
        <f>VLOOKUP('Customer Info'!B1165,'Customer Info'!B1165:B1664,1,0)</f>
        <v>#N/A</v>
      </c>
      <c r="H1173" s="6" t="e">
        <f>VLOOKUP('Customer Info'!C1165,'Customer Info'!C1165:C1664,1)</f>
        <v>#N/A</v>
      </c>
      <c r="I1173" s="6" t="e">
        <f>VLOOKUP('Customer Info'!E1165,'Customer Info'!E1165:E1664,1,0)</f>
        <v>#N/A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160</v>
      </c>
      <c r="R1173" s="2" t="s">
        <v>28</v>
      </c>
      <c r="S1173" s="9">
        <f t="shared" si="94"/>
        <v>0.02</v>
      </c>
    </row>
    <row r="1174" spans="1:19" x14ac:dyDescent="0.3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e">
        <f>VLOOKUP('Customer Info'!B1166,'Customer Info'!B1166:B1665,1,0)</f>
        <v>#N/A</v>
      </c>
      <c r="H1174" s="6" t="e">
        <f>VLOOKUP('Customer Info'!C1166,'Customer Info'!C1166:C1665,1)</f>
        <v>#N/A</v>
      </c>
      <c r="I1174" s="6" t="e">
        <f>VLOOKUP('Customer Info'!E1166,'Customer Info'!E1166:E1665,1,0)</f>
        <v>#N/A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819</v>
      </c>
      <c r="R1174" s="2" t="s">
        <v>28</v>
      </c>
      <c r="S1174" s="9">
        <f t="shared" si="94"/>
        <v>0.05</v>
      </c>
    </row>
    <row r="1175" spans="1:19" x14ac:dyDescent="0.3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e">
        <f>VLOOKUP('Customer Info'!B1167,'Customer Info'!B1167:B1666,1,0)</f>
        <v>#N/A</v>
      </c>
      <c r="H1175" s="6" t="e">
        <f>VLOOKUP('Customer Info'!C1167,'Customer Info'!C1167:C1666,1)</f>
        <v>#N/A</v>
      </c>
      <c r="I1175" s="6" t="e">
        <f>VLOOKUP('Customer Info'!E1167,'Customer Info'!E1167:E1666,1,0)</f>
        <v>#N/A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324</v>
      </c>
      <c r="R1175" s="2" t="s">
        <v>28</v>
      </c>
      <c r="S1175" s="9">
        <f t="shared" si="94"/>
        <v>0.02</v>
      </c>
    </row>
    <row r="1176" spans="1:19" x14ac:dyDescent="0.3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e">
        <f>VLOOKUP('Customer Info'!B1168,'Customer Info'!B1168:B1667,1,0)</f>
        <v>#N/A</v>
      </c>
      <c r="H1176" s="6" t="e">
        <f>VLOOKUP('Customer Info'!C1168,'Customer Info'!C1168:C1667,1)</f>
        <v>#N/A</v>
      </c>
      <c r="I1176" s="6" t="e">
        <f>VLOOKUP('Customer Info'!E1168,'Customer Info'!E1168:E1667,1,0)</f>
        <v>#N/A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3582</v>
      </c>
      <c r="R1176" s="2" t="s">
        <v>26</v>
      </c>
      <c r="S1176" s="9">
        <f t="shared" si="94"/>
        <v>7.0000000000000007E-2</v>
      </c>
    </row>
    <row r="1177" spans="1:19" x14ac:dyDescent="0.3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e">
        <f>VLOOKUP('Customer Info'!B1169,'Customer Info'!B1169:B1668,1,0)</f>
        <v>#N/A</v>
      </c>
      <c r="H1177" s="6" t="e">
        <f>VLOOKUP('Customer Info'!C1169,'Customer Info'!C1169:C1668,1)</f>
        <v>#N/A</v>
      </c>
      <c r="I1177" s="6" t="e">
        <f>VLOOKUP('Customer Info'!E1169,'Customer Info'!E1169:E1668,1,0)</f>
        <v>#N/A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342</v>
      </c>
      <c r="R1177" s="2" t="s">
        <v>28</v>
      </c>
      <c r="S1177" s="9">
        <f t="shared" si="94"/>
        <v>0.05</v>
      </c>
    </row>
    <row r="1178" spans="1:19" x14ac:dyDescent="0.3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e">
        <f>VLOOKUP('Customer Info'!B1170,'Customer Info'!B1170:B1669,1,0)</f>
        <v>#N/A</v>
      </c>
      <c r="H1178" s="6" t="e">
        <f>VLOOKUP('Customer Info'!C1170,'Customer Info'!C1170:C1669,1)</f>
        <v>#N/A</v>
      </c>
      <c r="I1178" s="6" t="e">
        <f>VLOOKUP('Customer Info'!E1170,'Customer Info'!E1170:E1669,1,0)</f>
        <v>#N/A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540</v>
      </c>
      <c r="R1178" s="2" t="s">
        <v>28</v>
      </c>
      <c r="S1178" s="9">
        <f t="shared" si="94"/>
        <v>0.05</v>
      </c>
    </row>
    <row r="1179" spans="1:19" x14ac:dyDescent="0.3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e">
        <f>VLOOKUP('Customer Info'!B1171,'Customer Info'!B1171:B1670,1,0)</f>
        <v>#N/A</v>
      </c>
      <c r="H1179" s="6" t="e">
        <f>VLOOKUP('Customer Info'!C1171,'Customer Info'!C1171:C1670,1)</f>
        <v>#N/A</v>
      </c>
      <c r="I1179" s="6" t="e">
        <f>VLOOKUP('Customer Info'!E1171,'Customer Info'!E1171:E1670,1,0)</f>
        <v>#N/A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1152</v>
      </c>
      <c r="R1179" s="2" t="s">
        <v>28</v>
      </c>
      <c r="S1179" s="9">
        <f t="shared" si="94"/>
        <v>0.05</v>
      </c>
    </row>
    <row r="1180" spans="1:19" x14ac:dyDescent="0.3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e">
        <f>VLOOKUP('Customer Info'!B1172,'Customer Info'!B1172:B1671,1,0)</f>
        <v>#N/A</v>
      </c>
      <c r="H1180" s="6" t="e">
        <f>VLOOKUP('Customer Info'!C1172,'Customer Info'!C1172:C1671,1)</f>
        <v>#N/A</v>
      </c>
      <c r="I1180" s="6" t="e">
        <f>VLOOKUP('Customer Info'!E1172,'Customer Info'!E1172:E1671,1,0)</f>
        <v>#N/A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170</v>
      </c>
      <c r="R1180" s="2" t="s">
        <v>50</v>
      </c>
      <c r="S1180" s="9">
        <f t="shared" si="94"/>
        <v>0.02</v>
      </c>
    </row>
    <row r="1181" spans="1:19" x14ac:dyDescent="0.3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e">
        <f>VLOOKUP('Customer Info'!B1173,'Customer Info'!B1173:B1672,1,0)</f>
        <v>#N/A</v>
      </c>
      <c r="H1181" s="6" t="e">
        <f>VLOOKUP('Customer Info'!C1173,'Customer Info'!C1173:C1672,1)</f>
        <v>#N/A</v>
      </c>
      <c r="I1181" s="6" t="e">
        <f>VLOOKUP('Customer Info'!E1173,'Customer Info'!E1173:E1672,1,0)</f>
        <v>#N/A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84</v>
      </c>
      <c r="R1181" s="2" t="s">
        <v>28</v>
      </c>
      <c r="S1181" s="9">
        <f t="shared" si="94"/>
        <v>0.02</v>
      </c>
    </row>
    <row r="1182" spans="1:19" x14ac:dyDescent="0.3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e">
        <f>VLOOKUP('Customer Info'!B1174,'Customer Info'!B1174:B1673,1,0)</f>
        <v>#N/A</v>
      </c>
      <c r="H1182" s="6" t="e">
        <f>VLOOKUP('Customer Info'!C1174,'Customer Info'!C1174:C1673,1)</f>
        <v>#N/A</v>
      </c>
      <c r="I1182" s="6" t="e">
        <f>VLOOKUP('Customer Info'!E1174,'Customer Info'!E1174:E1673,1,0)</f>
        <v>#N/A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18</v>
      </c>
      <c r="R1182" s="2" t="s">
        <v>50</v>
      </c>
      <c r="S1182" s="9">
        <f t="shared" si="94"/>
        <v>0.02</v>
      </c>
    </row>
    <row r="1183" spans="1:19" x14ac:dyDescent="0.3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e">
        <f>VLOOKUP('Customer Info'!B1175,'Customer Info'!B1175:B1674,1,0)</f>
        <v>#N/A</v>
      </c>
      <c r="H1183" s="6" t="e">
        <f>VLOOKUP('Customer Info'!C1175,'Customer Info'!C1175:C1674,1)</f>
        <v>#N/A</v>
      </c>
      <c r="I1183" s="6" t="e">
        <f>VLOOKUP('Customer Info'!E1175,'Customer Info'!E1175:E1674,1,0)</f>
        <v>#N/A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426</v>
      </c>
      <c r="R1183" s="2" t="s">
        <v>56</v>
      </c>
      <c r="S1183" s="9">
        <f t="shared" si="94"/>
        <v>0.05</v>
      </c>
    </row>
    <row r="1184" spans="1:19" x14ac:dyDescent="0.3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e">
        <f>VLOOKUP('Customer Info'!B1176,'Customer Info'!B1176:B1675,1,0)</f>
        <v>#N/A</v>
      </c>
      <c r="H1184" s="6" t="e">
        <f>VLOOKUP('Customer Info'!C1176,'Customer Info'!C1176:C1675,1)</f>
        <v>#N/A</v>
      </c>
      <c r="I1184" s="6" t="e">
        <f>VLOOKUP('Customer Info'!E1176,'Customer Info'!E1176:E1675,1,0)</f>
        <v>#N/A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65</v>
      </c>
      <c r="R1184" s="2" t="s">
        <v>50</v>
      </c>
      <c r="S1184" s="9">
        <f t="shared" si="94"/>
        <v>0.02</v>
      </c>
    </row>
    <row r="1185" spans="1:19" x14ac:dyDescent="0.3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e">
        <f>VLOOKUP('Customer Info'!B1177,'Customer Info'!B1177:B1676,1,0)</f>
        <v>#N/A</v>
      </c>
      <c r="H1185" s="6" t="e">
        <f>VLOOKUP('Customer Info'!C1177,'Customer Info'!C1177:C1676,1)</f>
        <v>#N/A</v>
      </c>
      <c r="I1185" s="6" t="e">
        <f>VLOOKUP('Customer Info'!E1177,'Customer Info'!E1177:E1676,1,0)</f>
        <v>#N/A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21</v>
      </c>
      <c r="R1185" s="2" t="s">
        <v>56</v>
      </c>
      <c r="S1185" s="9">
        <f t="shared" si="94"/>
        <v>0.02</v>
      </c>
    </row>
    <row r="1186" spans="1:19" x14ac:dyDescent="0.3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e">
        <f>VLOOKUP('Customer Info'!B1178,'Customer Info'!B1178:B1677,1,0)</f>
        <v>#N/A</v>
      </c>
      <c r="H1186" s="6" t="e">
        <f>VLOOKUP('Customer Info'!C1178,'Customer Info'!C1178:C1677,1)</f>
        <v>#N/A</v>
      </c>
      <c r="I1186" s="6" t="e">
        <f>VLOOKUP('Customer Info'!E1178,'Customer Info'!E1178:E1677,1,0)</f>
        <v>#N/A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350</v>
      </c>
      <c r="R1186" s="2" t="s">
        <v>50</v>
      </c>
      <c r="S1186" s="9">
        <f t="shared" si="94"/>
        <v>0.02</v>
      </c>
    </row>
    <row r="1187" spans="1:19" x14ac:dyDescent="0.3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e">
        <f>VLOOKUP('Customer Info'!B1179,'Customer Info'!B1179:B1678,1,0)</f>
        <v>#N/A</v>
      </c>
      <c r="H1187" s="6" t="e">
        <f>VLOOKUP('Customer Info'!C1179,'Customer Info'!C1179:C1678,1)</f>
        <v>#N/A</v>
      </c>
      <c r="I1187" s="6" t="e">
        <f>VLOOKUP('Customer Info'!E1179,'Customer Info'!E1179:E1678,1,0)</f>
        <v>#N/A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531</v>
      </c>
      <c r="R1187" s="2" t="s">
        <v>28</v>
      </c>
      <c r="S1187" s="9">
        <f t="shared" si="94"/>
        <v>0.02</v>
      </c>
    </row>
    <row r="1188" spans="1:19" x14ac:dyDescent="0.3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e">
        <f>VLOOKUP('Customer Info'!B1180,'Customer Info'!B1180:B1679,1,0)</f>
        <v>#N/A</v>
      </c>
      <c r="H1188" s="6" t="e">
        <f>VLOOKUP('Customer Info'!C1180,'Customer Info'!C1180:C1679,1)</f>
        <v>#N/A</v>
      </c>
      <c r="I1188" s="6" t="e">
        <f>VLOOKUP('Customer Info'!E1180,'Customer Info'!E1180:E1679,1,0)</f>
        <v>#N/A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978</v>
      </c>
      <c r="R1188" s="2" t="s">
        <v>50</v>
      </c>
      <c r="S1188" s="9">
        <f t="shared" si="94"/>
        <v>0.05</v>
      </c>
    </row>
    <row r="1189" spans="1:19" x14ac:dyDescent="0.3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e">
        <f>VLOOKUP('Customer Info'!B1181,'Customer Info'!B1181:B1680,1,0)</f>
        <v>#N/A</v>
      </c>
      <c r="H1189" s="6" t="e">
        <f>VLOOKUP('Customer Info'!C1181,'Customer Info'!C1181:C1680,1)</f>
        <v>#N/A</v>
      </c>
      <c r="I1189" s="6" t="e">
        <f>VLOOKUP('Customer Info'!E1181,'Customer Info'!E1181:E1680,1,0)</f>
        <v>#N/A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32</v>
      </c>
      <c r="R1189" s="2" t="s">
        <v>50</v>
      </c>
      <c r="S1189" s="9">
        <f t="shared" si="94"/>
        <v>0.02</v>
      </c>
    </row>
    <row r="1190" spans="1:19" x14ac:dyDescent="0.3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e">
        <f>VLOOKUP('Customer Info'!B1182,'Customer Info'!B1182:B1681,1,0)</f>
        <v>#N/A</v>
      </c>
      <c r="H1190" s="6" t="e">
        <f>VLOOKUP('Customer Info'!C1182,'Customer Info'!C1182:C1681,1)</f>
        <v>#N/A</v>
      </c>
      <c r="I1190" s="6" t="e">
        <f>VLOOKUP('Customer Info'!E1182,'Customer Info'!E1182:E1681,1,0)</f>
        <v>#N/A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560</v>
      </c>
      <c r="R1190" s="2" t="s">
        <v>56</v>
      </c>
      <c r="S1190" s="9">
        <f t="shared" si="94"/>
        <v>0.05</v>
      </c>
    </row>
    <row r="1191" spans="1:19" x14ac:dyDescent="0.3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e">
        <f>VLOOKUP('Customer Info'!B1183,'Customer Info'!B1183:B1682,1,0)</f>
        <v>#N/A</v>
      </c>
      <c r="H1191" s="6" t="e">
        <f>VLOOKUP('Customer Info'!C1183,'Customer Info'!C1183:C1682,1)</f>
        <v>#N/A</v>
      </c>
      <c r="I1191" s="6" t="e">
        <f>VLOOKUP('Customer Info'!E1183,'Customer Info'!E1183:E1682,1,0)</f>
        <v>#N/A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78</v>
      </c>
      <c r="R1191" s="2" t="s">
        <v>50</v>
      </c>
      <c r="S1191" s="9">
        <f t="shared" si="94"/>
        <v>0.02</v>
      </c>
    </row>
    <row r="1192" spans="1:19" x14ac:dyDescent="0.3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e">
        <f>VLOOKUP('Customer Info'!B1184,'Customer Info'!B1184:B1683,1,0)</f>
        <v>#N/A</v>
      </c>
      <c r="H1192" s="6" t="e">
        <f>VLOOKUP('Customer Info'!C1184,'Customer Info'!C1184:C1683,1)</f>
        <v>#N/A</v>
      </c>
      <c r="I1192" s="6" t="e">
        <f>VLOOKUP('Customer Info'!E1184,'Customer Info'!E1184:E1683,1,0)</f>
        <v>#N/A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13</v>
      </c>
      <c r="R1192" s="2" t="s">
        <v>28</v>
      </c>
      <c r="S1192" s="9">
        <f t="shared" si="94"/>
        <v>0.02</v>
      </c>
    </row>
    <row r="1193" spans="1:19" x14ac:dyDescent="0.3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e">
        <f>VLOOKUP('Customer Info'!B1185,'Customer Info'!B1185:B1684,1,0)</f>
        <v>#N/A</v>
      </c>
      <c r="H1193" s="6" t="e">
        <f>VLOOKUP('Customer Info'!C1185,'Customer Info'!C1185:C1684,1)</f>
        <v>#N/A</v>
      </c>
      <c r="I1193" s="6" t="e">
        <f>VLOOKUP('Customer Info'!E1185,'Customer Info'!E1185:E1684,1,0)</f>
        <v>#N/A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172</v>
      </c>
      <c r="R1193" s="2" t="s">
        <v>28</v>
      </c>
      <c r="S1193" s="9">
        <f t="shared" si="94"/>
        <v>0.02</v>
      </c>
    </row>
    <row r="1194" spans="1:19" x14ac:dyDescent="0.3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e">
        <f>VLOOKUP('Customer Info'!B1186,'Customer Info'!B1186:B1685,1,0)</f>
        <v>#N/A</v>
      </c>
      <c r="H1194" s="6" t="e">
        <f>VLOOKUP('Customer Info'!C1186,'Customer Info'!C1186:C1685,1)</f>
        <v>#N/A</v>
      </c>
      <c r="I1194" s="6" t="e">
        <f>VLOOKUP('Customer Info'!E1186,'Customer Info'!E1186:E1685,1,0)</f>
        <v>#N/A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150</v>
      </c>
      <c r="R1194" s="2" t="s">
        <v>50</v>
      </c>
      <c r="S1194" s="9">
        <f t="shared" si="94"/>
        <v>0.02</v>
      </c>
    </row>
    <row r="1195" spans="1:19" x14ac:dyDescent="0.3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e">
        <f>VLOOKUP('Customer Info'!B1187,'Customer Info'!B1187:B1686,1,0)</f>
        <v>#N/A</v>
      </c>
      <c r="H1195" s="6" t="e">
        <f>VLOOKUP('Customer Info'!C1187,'Customer Info'!C1187:C1686,1)</f>
        <v>#N/A</v>
      </c>
      <c r="I1195" s="6" t="e">
        <f>VLOOKUP('Customer Info'!E1187,'Customer Info'!E1187:E1686,1,0)</f>
        <v>#N/A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34</v>
      </c>
      <c r="R1195" s="2" t="s">
        <v>28</v>
      </c>
      <c r="S1195" s="9">
        <f t="shared" si="94"/>
        <v>0.02</v>
      </c>
    </row>
    <row r="1196" spans="1:19" x14ac:dyDescent="0.3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e">
        <f>VLOOKUP('Customer Info'!B1188,'Customer Info'!B1188:B1687,1,0)</f>
        <v>#N/A</v>
      </c>
      <c r="H1196" s="6" t="e">
        <f>VLOOKUP('Customer Info'!C1188,'Customer Info'!C1188:C1687,1)</f>
        <v>#N/A</v>
      </c>
      <c r="I1196" s="6" t="e">
        <f>VLOOKUP('Customer Info'!E1188,'Customer Info'!E1188:E1687,1,0)</f>
        <v>#N/A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1005</v>
      </c>
      <c r="R1196" s="2" t="s">
        <v>28</v>
      </c>
      <c r="S1196" s="9">
        <f t="shared" si="94"/>
        <v>0.05</v>
      </c>
    </row>
    <row r="1197" spans="1:19" x14ac:dyDescent="0.3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e">
        <f>VLOOKUP('Customer Info'!B1189,'Customer Info'!B1189:B1688,1,0)</f>
        <v>#N/A</v>
      </c>
      <c r="H1197" s="6" t="e">
        <f>VLOOKUP('Customer Info'!C1189,'Customer Info'!C1189:C1688,1)</f>
        <v>#N/A</v>
      </c>
      <c r="I1197" s="6" t="e">
        <f>VLOOKUP('Customer Info'!E1189,'Customer Info'!E1189:E1688,1,0)</f>
        <v>#N/A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318</v>
      </c>
      <c r="R1197" s="2" t="s">
        <v>50</v>
      </c>
      <c r="S1197" s="9">
        <f t="shared" si="94"/>
        <v>0.05</v>
      </c>
    </row>
    <row r="1198" spans="1:19" x14ac:dyDescent="0.3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e">
        <f>VLOOKUP('Customer Info'!B1190,'Customer Info'!B1190:B1689,1,0)</f>
        <v>#N/A</v>
      </c>
      <c r="H1198" s="6" t="e">
        <f>VLOOKUP('Customer Info'!C1190,'Customer Info'!C1190:C1689,1)</f>
        <v>#N/A</v>
      </c>
      <c r="I1198" s="6" t="e">
        <f>VLOOKUP('Customer Info'!E1190,'Customer Info'!E1190:E1689,1,0)</f>
        <v>#N/A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2676</v>
      </c>
      <c r="R1198" s="2" t="s">
        <v>28</v>
      </c>
      <c r="S1198" s="9">
        <f t="shared" si="94"/>
        <v>7.0000000000000007E-2</v>
      </c>
    </row>
    <row r="1199" spans="1:19" x14ac:dyDescent="0.3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e">
        <f>VLOOKUP('Customer Info'!B1191,'Customer Info'!B1191:B1690,1,0)</f>
        <v>#N/A</v>
      </c>
      <c r="H1199" s="6" t="e">
        <f>VLOOKUP('Customer Info'!C1191,'Customer Info'!C1191:C1690,1)</f>
        <v>#N/A</v>
      </c>
      <c r="I1199" s="6" t="e">
        <f>VLOOKUP('Customer Info'!E1191,'Customer Info'!E1191:E1690,1,0)</f>
        <v>#N/A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572</v>
      </c>
      <c r="R1199" s="2" t="s">
        <v>50</v>
      </c>
      <c r="S1199" s="9">
        <f t="shared" si="94"/>
        <v>0.05</v>
      </c>
    </row>
    <row r="1200" spans="1:19" x14ac:dyDescent="0.3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e">
        <f>VLOOKUP('Customer Info'!B1192,'Customer Info'!B1192:B1691,1,0)</f>
        <v>#N/A</v>
      </c>
      <c r="H1200" s="6" t="e">
        <f>VLOOKUP('Customer Info'!C1192,'Customer Info'!C1192:C1691,1)</f>
        <v>#N/A</v>
      </c>
      <c r="I1200" s="6" t="e">
        <f>VLOOKUP('Customer Info'!E1192,'Customer Info'!E1192:E1691,1,0)</f>
        <v>#N/A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215</v>
      </c>
      <c r="R1200" s="2" t="s">
        <v>28</v>
      </c>
      <c r="S1200" s="9">
        <f t="shared" si="94"/>
        <v>0.05</v>
      </c>
    </row>
    <row r="1201" spans="1:19" x14ac:dyDescent="0.3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e">
        <f>VLOOKUP('Customer Info'!B1193,'Customer Info'!B1193:B1692,1,0)</f>
        <v>#N/A</v>
      </c>
      <c r="H1201" s="6" t="e">
        <f>VLOOKUP('Customer Info'!C1193,'Customer Info'!C1193:C1692,1)</f>
        <v>#N/A</v>
      </c>
      <c r="I1201" s="6" t="e">
        <f>VLOOKUP('Customer Info'!E1193,'Customer Info'!E1193:E1692,1,0)</f>
        <v>#N/A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597</v>
      </c>
      <c r="R1201" s="2" t="s">
        <v>50</v>
      </c>
      <c r="S1201" s="9">
        <f t="shared" si="94"/>
        <v>0.05</v>
      </c>
    </row>
    <row r="1202" spans="1:19" x14ac:dyDescent="0.3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e">
        <f>VLOOKUP('Customer Info'!B1194,'Customer Info'!B1194:B1693,1,0)</f>
        <v>#N/A</v>
      </c>
      <c r="H1202" s="6" t="e">
        <f>VLOOKUP('Customer Info'!C1194,'Customer Info'!C1194:C1693,1)</f>
        <v>#N/A</v>
      </c>
      <c r="I1202" s="6" t="e">
        <f>VLOOKUP('Customer Info'!E1194,'Customer Info'!E1194:E1693,1,0)</f>
        <v>#N/A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20</v>
      </c>
      <c r="R1202" s="2" t="s">
        <v>28</v>
      </c>
      <c r="S1202" s="9">
        <f t="shared" si="94"/>
        <v>0.02</v>
      </c>
    </row>
    <row r="1203" spans="1:19" x14ac:dyDescent="0.3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e">
        <f>VLOOKUP('Customer Info'!B1195,'Customer Info'!B1195:B1694,1,0)</f>
        <v>#N/A</v>
      </c>
      <c r="H1203" s="6" t="e">
        <f>VLOOKUP('Customer Info'!C1195,'Customer Info'!C1195:C1694,1)</f>
        <v>#N/A</v>
      </c>
      <c r="I1203" s="6" t="e">
        <f>VLOOKUP('Customer Info'!E1195,'Customer Info'!E1195:E1694,1,0)</f>
        <v>#N/A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1176</v>
      </c>
      <c r="R1203" s="2" t="s">
        <v>28</v>
      </c>
      <c r="S1203" s="9">
        <f t="shared" si="94"/>
        <v>0.05</v>
      </c>
    </row>
    <row r="1204" spans="1:19" x14ac:dyDescent="0.3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e">
        <f>VLOOKUP('Customer Info'!B1196,'Customer Info'!B1196:B1695,1,0)</f>
        <v>#N/A</v>
      </c>
      <c r="H1204" s="6" t="e">
        <f>VLOOKUP('Customer Info'!C1196,'Customer Info'!C1196:C1695,1)</f>
        <v>#N/A</v>
      </c>
      <c r="I1204" s="6" t="e">
        <f>VLOOKUP('Customer Info'!E1196,'Customer Info'!E1196:E1695,1,0)</f>
        <v>#N/A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590</v>
      </c>
      <c r="R1204" s="2" t="s">
        <v>28</v>
      </c>
      <c r="S1204" s="9">
        <f t="shared" si="94"/>
        <v>0.05</v>
      </c>
    </row>
    <row r="1205" spans="1:19" x14ac:dyDescent="0.3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e">
        <f>VLOOKUP('Customer Info'!B1197,'Customer Info'!B1197:B1696,1,0)</f>
        <v>#N/A</v>
      </c>
      <c r="H1205" s="6" t="e">
        <f>VLOOKUP('Customer Info'!C1197,'Customer Info'!C1197:C1696,1)</f>
        <v>#N/A</v>
      </c>
      <c r="I1205" s="6" t="e">
        <f>VLOOKUP('Customer Info'!E1197,'Customer Info'!E1197:E1696,1,0)</f>
        <v>#N/A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1092</v>
      </c>
      <c r="R1205" s="2" t="s">
        <v>50</v>
      </c>
      <c r="S1205" s="9">
        <f t="shared" si="94"/>
        <v>0.05</v>
      </c>
    </row>
    <row r="1206" spans="1:19" x14ac:dyDescent="0.3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e">
        <f>VLOOKUP('Customer Info'!B1198,'Customer Info'!B1198:B1697,1,0)</f>
        <v>#N/A</v>
      </c>
      <c r="H1206" s="6" t="e">
        <f>VLOOKUP('Customer Info'!C1198,'Customer Info'!C1198:C1697,1)</f>
        <v>#N/A</v>
      </c>
      <c r="I1206" s="6" t="e">
        <f>VLOOKUP('Customer Info'!E1198,'Customer Info'!E1198:E1697,1,0)</f>
        <v>#N/A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1170</v>
      </c>
      <c r="R1206" s="2" t="s">
        <v>50</v>
      </c>
      <c r="S1206" s="9">
        <f t="shared" si="94"/>
        <v>0.05</v>
      </c>
    </row>
    <row r="1207" spans="1:19" x14ac:dyDescent="0.3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e">
        <f>VLOOKUP('Customer Info'!B1199,'Customer Info'!B1199:B1698,1,0)</f>
        <v>#N/A</v>
      </c>
      <c r="H1207" s="6" t="e">
        <f>VLOOKUP('Customer Info'!C1199,'Customer Info'!C1199:C1698,1)</f>
        <v>#N/A</v>
      </c>
      <c r="I1207" s="6" t="e">
        <f>VLOOKUP('Customer Info'!E1199,'Customer Info'!E1199:E1698,1,0)</f>
        <v>#N/A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616</v>
      </c>
      <c r="R1207" s="2" t="s">
        <v>50</v>
      </c>
      <c r="S1207" s="9">
        <f t="shared" si="94"/>
        <v>0.05</v>
      </c>
    </row>
    <row r="1208" spans="1:19" x14ac:dyDescent="0.3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e">
        <f>VLOOKUP('Customer Info'!B1200,'Customer Info'!B1200:B1699,1,0)</f>
        <v>#N/A</v>
      </c>
      <c r="H1208" s="6" t="e">
        <f>VLOOKUP('Customer Info'!C1200,'Customer Info'!C1200:C1699,1)</f>
        <v>#N/A</v>
      </c>
      <c r="I1208" s="6" t="e">
        <f>VLOOKUP('Customer Info'!E1200,'Customer Info'!E1200:E1699,1,0)</f>
        <v>#N/A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420</v>
      </c>
      <c r="R1208" s="2" t="s">
        <v>28</v>
      </c>
      <c r="S1208" s="9">
        <f t="shared" si="94"/>
        <v>0.05</v>
      </c>
    </row>
    <row r="1209" spans="1:19" x14ac:dyDescent="0.3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e">
        <f>VLOOKUP('Customer Info'!B1201,'Customer Info'!B1201:B1700,1,0)</f>
        <v>#N/A</v>
      </c>
      <c r="H1209" s="6" t="e">
        <f>VLOOKUP('Customer Info'!C1201,'Customer Info'!C1201:C1700,1)</f>
        <v>#N/A</v>
      </c>
      <c r="I1209" s="6" t="e">
        <f>VLOOKUP('Customer Info'!E1201,'Customer Info'!E1201:E1700,1,0)</f>
        <v>#N/A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99</v>
      </c>
      <c r="R1209" s="2" t="s">
        <v>50</v>
      </c>
      <c r="S1209" s="9">
        <f t="shared" si="94"/>
        <v>0.02</v>
      </c>
    </row>
    <row r="1210" spans="1:19" x14ac:dyDescent="0.3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e">
        <f>VLOOKUP('Customer Info'!B1202,'Customer Info'!B1202:B1701,1,0)</f>
        <v>#N/A</v>
      </c>
      <c r="H1210" s="6" t="e">
        <f>VLOOKUP('Customer Info'!C1202,'Customer Info'!C1202:C1701,1)</f>
        <v>#N/A</v>
      </c>
      <c r="I1210" s="6" t="e">
        <f>VLOOKUP('Customer Info'!E1202,'Customer Info'!E1202:E1701,1,0)</f>
        <v>#N/A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195</v>
      </c>
      <c r="R1210" s="2" t="s">
        <v>50</v>
      </c>
      <c r="S1210" s="9">
        <f t="shared" si="94"/>
        <v>0.02</v>
      </c>
    </row>
    <row r="1211" spans="1:19" x14ac:dyDescent="0.3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e">
        <f>VLOOKUP('Customer Info'!B1203,'Customer Info'!B1203:B1702,1,0)</f>
        <v>#N/A</v>
      </c>
      <c r="H1211" s="6" t="e">
        <f>VLOOKUP('Customer Info'!C1203,'Customer Info'!C1203:C1702,1)</f>
        <v>#N/A</v>
      </c>
      <c r="I1211" s="6" t="e">
        <f>VLOOKUP('Customer Info'!E1203,'Customer Info'!E1203:E1702,1,0)</f>
        <v>#N/A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90</v>
      </c>
      <c r="R1211" s="2" t="s">
        <v>56</v>
      </c>
      <c r="S1211" s="9">
        <f t="shared" si="94"/>
        <v>0.02</v>
      </c>
    </row>
    <row r="1212" spans="1:19" x14ac:dyDescent="0.3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e">
        <f>VLOOKUP('Customer Info'!B1204,'Customer Info'!B1204:B1703,1,0)</f>
        <v>#N/A</v>
      </c>
      <c r="H1212" s="6" t="e">
        <f>VLOOKUP('Customer Info'!C1204,'Customer Info'!C1204:C1703,1)</f>
        <v>#N/A</v>
      </c>
      <c r="I1212" s="6" t="e">
        <f>VLOOKUP('Customer Info'!E1204,'Customer Info'!E1204:E1703,1,0)</f>
        <v>#N/A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116</v>
      </c>
      <c r="R1212" s="2" t="s">
        <v>28</v>
      </c>
      <c r="S1212" s="9">
        <f t="shared" si="94"/>
        <v>0.05</v>
      </c>
    </row>
    <row r="1213" spans="1:19" x14ac:dyDescent="0.3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e">
        <f>VLOOKUP('Customer Info'!B1205,'Customer Info'!B1205:B1704,1,0)</f>
        <v>#N/A</v>
      </c>
      <c r="H1213" s="6" t="e">
        <f>VLOOKUP('Customer Info'!C1205,'Customer Info'!C1205:C1704,1)</f>
        <v>#N/A</v>
      </c>
      <c r="I1213" s="6" t="e">
        <f>VLOOKUP('Customer Info'!E1205,'Customer Info'!E1205:E1704,1,0)</f>
        <v>#N/A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1116</v>
      </c>
      <c r="R1213" s="2" t="s">
        <v>28</v>
      </c>
      <c r="S1213" s="9">
        <f t="shared" si="94"/>
        <v>0.05</v>
      </c>
    </row>
    <row r="1214" spans="1:19" x14ac:dyDescent="0.3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e">
        <f>VLOOKUP('Customer Info'!B1206,'Customer Info'!B1206:B1705,1,0)</f>
        <v>#N/A</v>
      </c>
      <c r="H1214" s="6" t="e">
        <f>VLOOKUP('Customer Info'!C1206,'Customer Info'!C1206:C1705,1)</f>
        <v>#N/A</v>
      </c>
      <c r="I1214" s="6" t="e">
        <f>VLOOKUP('Customer Info'!E1206,'Customer Info'!E1206:E1705,1,0)</f>
        <v>#N/A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3510</v>
      </c>
      <c r="R1214" s="2" t="s">
        <v>28</v>
      </c>
      <c r="S1214" s="9">
        <f t="shared" si="94"/>
        <v>7.0000000000000007E-2</v>
      </c>
    </row>
    <row r="1215" spans="1:19" x14ac:dyDescent="0.3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e">
        <f>VLOOKUP('Customer Info'!B1207,'Customer Info'!B1207:B1706,1,0)</f>
        <v>#N/A</v>
      </c>
      <c r="H1215" s="6" t="e">
        <f>VLOOKUP('Customer Info'!C1207,'Customer Info'!C1207:C1706,1)</f>
        <v>#N/A</v>
      </c>
      <c r="I1215" s="6" t="e">
        <f>VLOOKUP('Customer Info'!E1207,'Customer Info'!E1207:E1706,1,0)</f>
        <v>#N/A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404</v>
      </c>
      <c r="R1215" s="2" t="s">
        <v>28</v>
      </c>
      <c r="S1215" s="9">
        <f t="shared" si="94"/>
        <v>0.05</v>
      </c>
    </row>
    <row r="1216" spans="1:19" x14ac:dyDescent="0.3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e">
        <f>VLOOKUP('Customer Info'!B1208,'Customer Info'!B1208:B1707,1,0)</f>
        <v>#N/A</v>
      </c>
      <c r="H1216" s="6" t="e">
        <f>VLOOKUP('Customer Info'!C1208,'Customer Info'!C1208:C1707,1)</f>
        <v>#N/A</v>
      </c>
      <c r="I1216" s="6" t="e">
        <f>VLOOKUP('Customer Info'!E1208,'Customer Info'!E1208:E1707,1,0)</f>
        <v>#N/A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45</v>
      </c>
      <c r="R1216" s="2" t="s">
        <v>50</v>
      </c>
      <c r="S1216" s="9">
        <f t="shared" si="94"/>
        <v>0.02</v>
      </c>
    </row>
    <row r="1217" spans="1:19" x14ac:dyDescent="0.3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e">
        <f>VLOOKUP('Customer Info'!B1209,'Customer Info'!B1209:B1708,1,0)</f>
        <v>#N/A</v>
      </c>
      <c r="H1217" s="6" t="e">
        <f>VLOOKUP('Customer Info'!C1209,'Customer Info'!C1209:C1708,1)</f>
        <v>#N/A</v>
      </c>
      <c r="I1217" s="6" t="e">
        <f>VLOOKUP('Customer Info'!E1209,'Customer Info'!E1209:E1708,1,0)</f>
        <v>#N/A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91</v>
      </c>
      <c r="R1217" s="2" t="s">
        <v>26</v>
      </c>
      <c r="S1217" s="9">
        <f t="shared" si="94"/>
        <v>0.02</v>
      </c>
    </row>
    <row r="1218" spans="1:19" x14ac:dyDescent="0.3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e">
        <f>VLOOKUP('Customer Info'!B1210,'Customer Info'!B1210:B1709,1,0)</f>
        <v>#N/A</v>
      </c>
      <c r="H1218" s="6" t="e">
        <f>VLOOKUP('Customer Info'!C1210,'Customer Info'!C1210:C1709,1)</f>
        <v>#N/A</v>
      </c>
      <c r="I1218" s="6" t="e">
        <f>VLOOKUP('Customer Info'!E1210,'Customer Info'!E1210:E1709,1,0)</f>
        <v>#N/A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16</v>
      </c>
      <c r="R1218" s="2" t="s">
        <v>50</v>
      </c>
      <c r="S1218" s="9">
        <f t="shared" si="94"/>
        <v>0.02</v>
      </c>
    </row>
    <row r="1219" spans="1:19" x14ac:dyDescent="0.3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e">
        <f>VLOOKUP('Customer Info'!B1211,'Customer Info'!B1211:B1710,1,0)</f>
        <v>#N/A</v>
      </c>
      <c r="H1219" s="6" t="e">
        <f>VLOOKUP('Customer Info'!C1211,'Customer Info'!C1211:C1710,1)</f>
        <v>#N/A</v>
      </c>
      <c r="I1219" s="6" t="e">
        <f>VLOOKUP('Customer Info'!E1211,'Customer Info'!E1211:E1710,1,0)</f>
        <v>#N/A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198</v>
      </c>
      <c r="R1219" s="2" t="s">
        <v>28</v>
      </c>
      <c r="S1219" s="9">
        <f t="shared" si="94"/>
        <v>0.02</v>
      </c>
    </row>
    <row r="1220" spans="1:19" x14ac:dyDescent="0.3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e">
        <f>VLOOKUP('Customer Info'!B1212,'Customer Info'!B1212:B1711,1,0)</f>
        <v>#N/A</v>
      </c>
      <c r="H1220" s="6" t="e">
        <f>VLOOKUP('Customer Info'!C1212,'Customer Info'!C1212:C1711,1)</f>
        <v>#N/A</v>
      </c>
      <c r="I1220" s="6" t="e">
        <f>VLOOKUP('Customer Info'!E1212,'Customer Info'!E1212:E1711,1,0)</f>
        <v>#N/A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1444</v>
      </c>
      <c r="R1220" s="2" t="s">
        <v>28</v>
      </c>
      <c r="S1220" s="9">
        <f t="shared" si="94"/>
        <v>7.0000000000000007E-2</v>
      </c>
    </row>
    <row r="1221" spans="1:19" x14ac:dyDescent="0.3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e">
        <f>VLOOKUP('Customer Info'!B1213,'Customer Info'!B1213:B1712,1,0)</f>
        <v>#N/A</v>
      </c>
      <c r="H1221" s="6" t="e">
        <f>VLOOKUP('Customer Info'!C1213,'Customer Info'!C1213:C1712,1)</f>
        <v>#N/A</v>
      </c>
      <c r="I1221" s="6" t="e">
        <f>VLOOKUP('Customer Info'!E1213,'Customer Info'!E1213:E1712,1,0)</f>
        <v>#N/A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40</v>
      </c>
      <c r="R1221" s="2" t="s">
        <v>50</v>
      </c>
      <c r="S1221" s="9">
        <f t="shared" si="94"/>
        <v>0.02</v>
      </c>
    </row>
    <row r="1222" spans="1:19" x14ac:dyDescent="0.3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e">
        <f>VLOOKUP('Customer Info'!B1214,'Customer Info'!B1214:B1713,1,0)</f>
        <v>#N/A</v>
      </c>
      <c r="H1222" s="6" t="e">
        <f>VLOOKUP('Customer Info'!C1214,'Customer Info'!C1214:C1713,1)</f>
        <v>#N/A</v>
      </c>
      <c r="I1222" s="6" t="e">
        <f>VLOOKUP('Customer Info'!E1214,'Customer Info'!E1214:E1713,1,0)</f>
        <v>#N/A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850</v>
      </c>
      <c r="R1222" s="2" t="s">
        <v>26</v>
      </c>
      <c r="S1222" s="9">
        <f t="shared" si="94"/>
        <v>0.05</v>
      </c>
    </row>
    <row r="1223" spans="1:19" x14ac:dyDescent="0.3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e">
        <f>VLOOKUP('Customer Info'!B1215,'Customer Info'!B1215:B1714,1,0)</f>
        <v>#N/A</v>
      </c>
      <c r="H1223" s="6" t="e">
        <f>VLOOKUP('Customer Info'!C1215,'Customer Info'!C1215:C1714,1)</f>
        <v>#N/A</v>
      </c>
      <c r="I1223" s="6" t="e">
        <f>VLOOKUP('Customer Info'!E1215,'Customer Info'!E1215:E1714,1,0)</f>
        <v>#N/A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82</v>
      </c>
      <c r="R1223" s="2" t="s">
        <v>50</v>
      </c>
      <c r="S1223" s="9">
        <f t="shared" si="94"/>
        <v>0.02</v>
      </c>
    </row>
    <row r="1224" spans="1:19" x14ac:dyDescent="0.3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e">
        <f>VLOOKUP('Customer Info'!B1216,'Customer Info'!B1216:B1715,1,0)</f>
        <v>#N/A</v>
      </c>
      <c r="H1224" s="6" t="e">
        <f>VLOOKUP('Customer Info'!C1216,'Customer Info'!C1216:C1715,1)</f>
        <v>#N/A</v>
      </c>
      <c r="I1224" s="6" t="e">
        <f>VLOOKUP('Customer Info'!E1216,'Customer Info'!E1216:E1715,1,0)</f>
        <v>#N/A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14</v>
      </c>
      <c r="R1224" s="2" t="s">
        <v>50</v>
      </c>
      <c r="S1224" s="9">
        <f t="shared" si="94"/>
        <v>0.02</v>
      </c>
    </row>
    <row r="1225" spans="1:19" x14ac:dyDescent="0.3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e">
        <f>VLOOKUP('Customer Info'!B1217,'Customer Info'!B1217:B1716,1,0)</f>
        <v>#N/A</v>
      </c>
      <c r="H1225" s="6" t="e">
        <f>VLOOKUP('Customer Info'!C1217,'Customer Info'!C1217:C1716,1)</f>
        <v>#N/A</v>
      </c>
      <c r="I1225" s="6" t="e">
        <f>VLOOKUP('Customer Info'!E1217,'Customer Info'!E1217:E1716,1,0)</f>
        <v>#N/A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8</v>
      </c>
      <c r="R1225" s="2" t="s">
        <v>26</v>
      </c>
      <c r="S1225" s="9">
        <f t="shared" si="94"/>
        <v>0.02</v>
      </c>
    </row>
    <row r="1226" spans="1:19" x14ac:dyDescent="0.3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e">
        <f>VLOOKUP('Customer Info'!B1218,'Customer Info'!B1218:B1717,1,0)</f>
        <v>#N/A</v>
      </c>
      <c r="H1226" s="6" t="e">
        <f>VLOOKUP('Customer Info'!C1218,'Customer Info'!C1218:C1717,1)</f>
        <v>#N/A</v>
      </c>
      <c r="I1226" s="6" t="e">
        <f>VLOOKUP('Customer Info'!E1218,'Customer Info'!E1218:E1717,1,0)</f>
        <v>#N/A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36</v>
      </c>
      <c r="R1226" s="2" t="s">
        <v>50</v>
      </c>
      <c r="S1226" s="9">
        <f t="shared" si="94"/>
        <v>0.02</v>
      </c>
    </row>
    <row r="1227" spans="1:19" x14ac:dyDescent="0.3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e">
        <f>VLOOKUP('Customer Info'!B1219,'Customer Info'!B1219:B1718,1,0)</f>
        <v>#N/A</v>
      </c>
      <c r="H1227" s="6" t="e">
        <f>VLOOKUP('Customer Info'!C1219,'Customer Info'!C1219:C1718,1)</f>
        <v>#N/A</v>
      </c>
      <c r="I1227" s="6" t="e">
        <f>VLOOKUP('Customer Info'!E1219,'Customer Info'!E1219:E1718,1,0)</f>
        <v>#N/A</v>
      </c>
      <c r="J1227" s="2">
        <v>1399</v>
      </c>
      <c r="K1227" s="2">
        <v>1308</v>
      </c>
      <c r="L1227" s="2">
        <v>1</v>
      </c>
      <c r="M1227" s="7">
        <f t="shared" ref="M1227:M1290" si="95">(K1227*L1227)</f>
        <v>1308</v>
      </c>
      <c r="N1227" s="7">
        <f t="shared" ref="N1227:N1290" si="96">(J1227*L1227)</f>
        <v>1399</v>
      </c>
      <c r="O1227" s="2">
        <v>56</v>
      </c>
      <c r="P1227" s="8">
        <f t="shared" ref="P1227:P1290" si="97">(N1227+O1227)</f>
        <v>1455</v>
      </c>
      <c r="Q1227" s="8">
        <f t="shared" ref="Q1227:Q1290" si="98">(N1227-M1227)</f>
        <v>91</v>
      </c>
      <c r="R1227" s="2" t="s">
        <v>50</v>
      </c>
      <c r="S1227" s="9">
        <f t="shared" ref="S1227:S1290" si="99">_xlfn.IFS(P1227&gt;250000,0.15,P1227&gt;100000,0.12,P1227&gt;50000,0.09,P1227&gt;25000,0.07,P1227&gt;5000,0.05,
 TRUE,0.02)</f>
        <v>0.02</v>
      </c>
    </row>
    <row r="1228" spans="1:19" x14ac:dyDescent="0.3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e">
        <f>VLOOKUP('Customer Info'!B1220,'Customer Info'!B1220:B1719,1,0)</f>
        <v>#N/A</v>
      </c>
      <c r="H1228" s="6" t="e">
        <f>VLOOKUP('Customer Info'!C1220,'Customer Info'!C1220:C1719,1)</f>
        <v>#N/A</v>
      </c>
      <c r="I1228" s="6" t="e">
        <f>VLOOKUP('Customer Info'!E1220,'Customer Info'!E1220:E1719,1,0)</f>
        <v>#N/A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118</v>
      </c>
      <c r="R1228" s="2" t="s">
        <v>28</v>
      </c>
      <c r="S1228" s="9">
        <f t="shared" si="99"/>
        <v>0.02</v>
      </c>
    </row>
    <row r="1229" spans="1:19" x14ac:dyDescent="0.3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e">
        <f>VLOOKUP('Customer Info'!B1221,'Customer Info'!B1221:B1720,1,0)</f>
        <v>#N/A</v>
      </c>
      <c r="H1229" s="6" t="e">
        <f>VLOOKUP('Customer Info'!C1221,'Customer Info'!C1221:C1720,1)</f>
        <v>#N/A</v>
      </c>
      <c r="I1229" s="6" t="e">
        <f>VLOOKUP('Customer Info'!E1221,'Customer Info'!E1221:E1720,1,0)</f>
        <v>#N/A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18</v>
      </c>
      <c r="R1229" s="2" t="s">
        <v>28</v>
      </c>
      <c r="S1229" s="9">
        <f t="shared" si="99"/>
        <v>0.02</v>
      </c>
    </row>
    <row r="1230" spans="1:19" x14ac:dyDescent="0.3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e">
        <f>VLOOKUP('Customer Info'!B1222,'Customer Info'!B1222:B1721,1,0)</f>
        <v>#N/A</v>
      </c>
      <c r="H1230" s="6" t="e">
        <f>VLOOKUP('Customer Info'!C1222,'Customer Info'!C1222:C1721,1)</f>
        <v>#N/A</v>
      </c>
      <c r="I1230" s="6" t="e">
        <f>VLOOKUP('Customer Info'!E1222,'Customer Info'!E1222:E1721,1,0)</f>
        <v>#N/A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316</v>
      </c>
      <c r="R1230" s="2" t="s">
        <v>26</v>
      </c>
      <c r="S1230" s="9">
        <f t="shared" si="99"/>
        <v>0.05</v>
      </c>
    </row>
    <row r="1231" spans="1:19" x14ac:dyDescent="0.3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e">
        <f>VLOOKUP('Customer Info'!B1223,'Customer Info'!B1223:B1722,1,0)</f>
        <v>#N/A</v>
      </c>
      <c r="H1231" s="6" t="e">
        <f>VLOOKUP('Customer Info'!C1223,'Customer Info'!C1223:C1722,1)</f>
        <v>#N/A</v>
      </c>
      <c r="I1231" s="6" t="e">
        <f>VLOOKUP('Customer Info'!E1223,'Customer Info'!E1223:E1722,1,0)</f>
        <v>#N/A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590</v>
      </c>
      <c r="R1231" s="2" t="s">
        <v>28</v>
      </c>
      <c r="S1231" s="9">
        <f t="shared" si="99"/>
        <v>0.05</v>
      </c>
    </row>
    <row r="1232" spans="1:19" x14ac:dyDescent="0.3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e">
        <f>VLOOKUP('Customer Info'!B1224,'Customer Info'!B1224:B1723,1,0)</f>
        <v>#N/A</v>
      </c>
      <c r="H1232" s="6" t="e">
        <f>VLOOKUP('Customer Info'!C1224,'Customer Info'!C1224:C1723,1)</f>
        <v>#N/A</v>
      </c>
      <c r="I1232" s="6" t="e">
        <f>VLOOKUP('Customer Info'!E1224,'Customer Info'!E1224:E1723,1,0)</f>
        <v>#N/A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40</v>
      </c>
      <c r="R1232" s="2" t="s">
        <v>28</v>
      </c>
      <c r="S1232" s="9">
        <f t="shared" si="99"/>
        <v>0.02</v>
      </c>
    </row>
    <row r="1233" spans="1:19" x14ac:dyDescent="0.3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e">
        <f>VLOOKUP('Customer Info'!B1225,'Customer Info'!B1225:B1724,1,0)</f>
        <v>#N/A</v>
      </c>
      <c r="H1233" s="6" t="e">
        <f>VLOOKUP('Customer Info'!C1225,'Customer Info'!C1225:C1724,1)</f>
        <v>#N/A</v>
      </c>
      <c r="I1233" s="6" t="e">
        <f>VLOOKUP('Customer Info'!E1225,'Customer Info'!E1225:E1724,1,0)</f>
        <v>#N/A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50</v>
      </c>
      <c r="R1233" s="2" t="s">
        <v>56</v>
      </c>
      <c r="S1233" s="9">
        <f t="shared" si="99"/>
        <v>0.02</v>
      </c>
    </row>
    <row r="1234" spans="1:19" x14ac:dyDescent="0.3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e">
        <f>VLOOKUP('Customer Info'!B1226,'Customer Info'!B1226:B1725,1,0)</f>
        <v>#N/A</v>
      </c>
      <c r="H1234" s="6" t="e">
        <f>VLOOKUP('Customer Info'!C1226,'Customer Info'!C1226:C1725,1)</f>
        <v>#N/A</v>
      </c>
      <c r="I1234" s="6" t="e">
        <f>VLOOKUP('Customer Info'!E1226,'Customer Info'!E1226:E1725,1,0)</f>
        <v>#N/A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18</v>
      </c>
      <c r="R1234" s="2" t="s">
        <v>28</v>
      </c>
      <c r="S1234" s="9">
        <f t="shared" si="99"/>
        <v>0.02</v>
      </c>
    </row>
    <row r="1235" spans="1:19" x14ac:dyDescent="0.3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e">
        <f>VLOOKUP('Customer Info'!B1227,'Customer Info'!B1227:B1726,1,0)</f>
        <v>#N/A</v>
      </c>
      <c r="H1235" s="6" t="e">
        <f>VLOOKUP('Customer Info'!C1227,'Customer Info'!C1227:C1726,1)</f>
        <v>#N/A</v>
      </c>
      <c r="I1235" s="6" t="e">
        <f>VLOOKUP('Customer Info'!E1227,'Customer Info'!E1227:E1726,1,0)</f>
        <v>#N/A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686</v>
      </c>
      <c r="R1235" s="2" t="s">
        <v>50</v>
      </c>
      <c r="S1235" s="9">
        <f t="shared" si="99"/>
        <v>0.05</v>
      </c>
    </row>
    <row r="1236" spans="1:19" x14ac:dyDescent="0.3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e">
        <f>VLOOKUP('Customer Info'!B1228,'Customer Info'!B1228:B1727,1,0)</f>
        <v>#N/A</v>
      </c>
      <c r="H1236" s="6" t="e">
        <f>VLOOKUP('Customer Info'!C1228,'Customer Info'!C1228:C1727,1)</f>
        <v>#N/A</v>
      </c>
      <c r="I1236" s="6" t="e">
        <f>VLOOKUP('Customer Info'!E1228,'Customer Info'!E1228:E1727,1,0)</f>
        <v>#N/A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2004</v>
      </c>
      <c r="R1236" s="2" t="s">
        <v>28</v>
      </c>
      <c r="S1236" s="9">
        <f t="shared" si="99"/>
        <v>0.05</v>
      </c>
    </row>
    <row r="1237" spans="1:19" x14ac:dyDescent="0.3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e">
        <f>VLOOKUP('Customer Info'!B1229,'Customer Info'!B1229:B1728,1,0)</f>
        <v>#N/A</v>
      </c>
      <c r="H1237" s="6" t="e">
        <f>VLOOKUP('Customer Info'!C1229,'Customer Info'!C1229:C1728,1)</f>
        <v>#N/A</v>
      </c>
      <c r="I1237" s="6" t="e">
        <f>VLOOKUP('Customer Info'!E1229,'Customer Info'!E1229:E1728,1,0)</f>
        <v>#N/A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738</v>
      </c>
      <c r="R1237" s="2" t="s">
        <v>28</v>
      </c>
      <c r="S1237" s="9">
        <f t="shared" si="99"/>
        <v>0.05</v>
      </c>
    </row>
    <row r="1238" spans="1:19" x14ac:dyDescent="0.3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e">
        <f>VLOOKUP('Customer Info'!B1230,'Customer Info'!B1230:B1729,1,0)</f>
        <v>#N/A</v>
      </c>
      <c r="H1238" s="6" t="e">
        <f>VLOOKUP('Customer Info'!C1230,'Customer Info'!C1230:C1729,1)</f>
        <v>#N/A</v>
      </c>
      <c r="I1238" s="6" t="e">
        <f>VLOOKUP('Customer Info'!E1230,'Customer Info'!E1230:E1729,1,0)</f>
        <v>#N/A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321</v>
      </c>
      <c r="R1238" s="2" t="s">
        <v>28</v>
      </c>
      <c r="S1238" s="9">
        <f t="shared" si="99"/>
        <v>0.02</v>
      </c>
    </row>
    <row r="1239" spans="1:19" x14ac:dyDescent="0.3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e">
        <f>VLOOKUP('Customer Info'!B1231,'Customer Info'!B1231:B1730,1,0)</f>
        <v>#N/A</v>
      </c>
      <c r="H1239" s="6" t="e">
        <f>VLOOKUP('Customer Info'!C1231,'Customer Info'!C1231:C1730,1)</f>
        <v>#N/A</v>
      </c>
      <c r="I1239" s="6" t="e">
        <f>VLOOKUP('Customer Info'!E1231,'Customer Info'!E1231:E1730,1,0)</f>
        <v>#N/A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104</v>
      </c>
      <c r="R1239" s="2" t="s">
        <v>26</v>
      </c>
      <c r="S1239" s="9">
        <f t="shared" si="99"/>
        <v>0.02</v>
      </c>
    </row>
    <row r="1240" spans="1:19" x14ac:dyDescent="0.3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e">
        <f>VLOOKUP('Customer Info'!B1232,'Customer Info'!B1232:B1731,1,0)</f>
        <v>#N/A</v>
      </c>
      <c r="H1240" s="6" t="e">
        <f>VLOOKUP('Customer Info'!C1232,'Customer Info'!C1232:C1731,1)</f>
        <v>#N/A</v>
      </c>
      <c r="I1240" s="6" t="e">
        <f>VLOOKUP('Customer Info'!E1232,'Customer Info'!E1232:E1731,1,0)</f>
        <v>#N/A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94</v>
      </c>
      <c r="R1240" s="2" t="s">
        <v>28</v>
      </c>
      <c r="S1240" s="9">
        <f t="shared" si="99"/>
        <v>0.02</v>
      </c>
    </row>
    <row r="1241" spans="1:19" x14ac:dyDescent="0.3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e">
        <f>VLOOKUP('Customer Info'!B1233,'Customer Info'!B1233:B1732,1,0)</f>
        <v>#N/A</v>
      </c>
      <c r="H1241" s="6" t="e">
        <f>VLOOKUP('Customer Info'!C1233,'Customer Info'!C1233:C1732,1)</f>
        <v>#N/A</v>
      </c>
      <c r="I1241" s="6" t="e">
        <f>VLOOKUP('Customer Info'!E1233,'Customer Info'!E1233:E1732,1,0)</f>
        <v>#N/A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918</v>
      </c>
      <c r="R1241" s="2" t="s">
        <v>28</v>
      </c>
      <c r="S1241" s="9">
        <f t="shared" si="99"/>
        <v>7.0000000000000007E-2</v>
      </c>
    </row>
    <row r="1242" spans="1:19" x14ac:dyDescent="0.3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e">
        <f>VLOOKUP('Customer Info'!B1234,'Customer Info'!B1234:B1733,1,0)</f>
        <v>#N/A</v>
      </c>
      <c r="H1242" s="6" t="e">
        <f>VLOOKUP('Customer Info'!C1234,'Customer Info'!C1234:C1733,1)</f>
        <v>#N/A</v>
      </c>
      <c r="I1242" s="6" t="e">
        <f>VLOOKUP('Customer Info'!E1234,'Customer Info'!E1234:E1733,1,0)</f>
        <v>#N/A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91</v>
      </c>
      <c r="R1242" s="2" t="s">
        <v>28</v>
      </c>
      <c r="S1242" s="9">
        <f t="shared" si="99"/>
        <v>0.02</v>
      </c>
    </row>
    <row r="1243" spans="1:19" x14ac:dyDescent="0.3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e">
        <f>VLOOKUP('Customer Info'!B1235,'Customer Info'!B1235:B1734,1,0)</f>
        <v>#N/A</v>
      </c>
      <c r="H1243" s="6" t="e">
        <f>VLOOKUP('Customer Info'!C1235,'Customer Info'!C1235:C1734,1)</f>
        <v>#N/A</v>
      </c>
      <c r="I1243" s="6" t="e">
        <f>VLOOKUP('Customer Info'!E1235,'Customer Info'!E1235:E1734,1,0)</f>
        <v>#N/A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286</v>
      </c>
      <c r="R1243" s="2" t="s">
        <v>28</v>
      </c>
      <c r="S1243" s="9">
        <f t="shared" si="99"/>
        <v>0.05</v>
      </c>
    </row>
    <row r="1244" spans="1:19" x14ac:dyDescent="0.3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e">
        <f>VLOOKUP('Customer Info'!B1236,'Customer Info'!B1236:B1735,1,0)</f>
        <v>#N/A</v>
      </c>
      <c r="H1244" s="6" t="e">
        <f>VLOOKUP('Customer Info'!C1236,'Customer Info'!C1236:C1735,1)</f>
        <v>#N/A</v>
      </c>
      <c r="I1244" s="6" t="e">
        <f>VLOOKUP('Customer Info'!E1236,'Customer Info'!E1236:E1735,1,0)</f>
        <v>#N/A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20</v>
      </c>
      <c r="R1244" s="2" t="s">
        <v>50</v>
      </c>
      <c r="S1244" s="9">
        <f t="shared" si="99"/>
        <v>0.02</v>
      </c>
    </row>
    <row r="1245" spans="1:19" x14ac:dyDescent="0.3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e">
        <f>VLOOKUP('Customer Info'!B1237,'Customer Info'!B1237:B1736,1,0)</f>
        <v>#N/A</v>
      </c>
      <c r="H1245" s="6" t="e">
        <f>VLOOKUP('Customer Info'!C1237,'Customer Info'!C1237:C1736,1)</f>
        <v>#N/A</v>
      </c>
      <c r="I1245" s="6" t="e">
        <f>VLOOKUP('Customer Info'!E1237,'Customer Info'!E1237:E1736,1,0)</f>
        <v>#N/A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1974</v>
      </c>
      <c r="R1245" s="2" t="s">
        <v>50</v>
      </c>
      <c r="S1245" s="9">
        <f t="shared" si="99"/>
        <v>7.0000000000000007E-2</v>
      </c>
    </row>
    <row r="1246" spans="1:19" x14ac:dyDescent="0.3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e">
        <f>VLOOKUP('Customer Info'!B1238,'Customer Info'!B1238:B1737,1,0)</f>
        <v>#N/A</v>
      </c>
      <c r="H1246" s="6" t="e">
        <f>VLOOKUP('Customer Info'!C1238,'Customer Info'!C1238:C1737,1)</f>
        <v>#N/A</v>
      </c>
      <c r="I1246" s="6" t="e">
        <f>VLOOKUP('Customer Info'!E1238,'Customer Info'!E1238:E1737,1,0)</f>
        <v>#N/A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182</v>
      </c>
      <c r="R1246" s="2" t="s">
        <v>28</v>
      </c>
      <c r="S1246" s="9">
        <f t="shared" si="99"/>
        <v>0.02</v>
      </c>
    </row>
    <row r="1247" spans="1:19" x14ac:dyDescent="0.3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e">
        <f>VLOOKUP('Customer Info'!B1239,'Customer Info'!B1239:B1738,1,0)</f>
        <v>#N/A</v>
      </c>
      <c r="H1247" s="6" t="e">
        <f>VLOOKUP('Customer Info'!C1239,'Customer Info'!C1239:C1738,1)</f>
        <v>#N/A</v>
      </c>
      <c r="I1247" s="6" t="e">
        <f>VLOOKUP('Customer Info'!E1239,'Customer Info'!E1239:E1738,1,0)</f>
        <v>#N/A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12</v>
      </c>
      <c r="R1247" s="2" t="s">
        <v>28</v>
      </c>
      <c r="S1247" s="9">
        <f t="shared" si="99"/>
        <v>0.02</v>
      </c>
    </row>
    <row r="1248" spans="1:19" x14ac:dyDescent="0.3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e">
        <f>VLOOKUP('Customer Info'!B1240,'Customer Info'!B1240:B1739,1,0)</f>
        <v>#N/A</v>
      </c>
      <c r="H1248" s="6" t="e">
        <f>VLOOKUP('Customer Info'!C1240,'Customer Info'!C1240:C1739,1)</f>
        <v>#N/A</v>
      </c>
      <c r="I1248" s="6" t="e">
        <f>VLOOKUP('Customer Info'!E1240,'Customer Info'!E1240:E1739,1,0)</f>
        <v>#N/A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336</v>
      </c>
      <c r="R1248" s="2" t="s">
        <v>50</v>
      </c>
      <c r="S1248" s="9">
        <f t="shared" si="99"/>
        <v>0.02</v>
      </c>
    </row>
    <row r="1249" spans="1:19" x14ac:dyDescent="0.3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e">
        <f>VLOOKUP('Customer Info'!B1241,'Customer Info'!B1241:B1740,1,0)</f>
        <v>#N/A</v>
      </c>
      <c r="H1249" s="6" t="e">
        <f>VLOOKUP('Customer Info'!C1241,'Customer Info'!C1241:C1740,1)</f>
        <v>#N/A</v>
      </c>
      <c r="I1249" s="6" t="e">
        <f>VLOOKUP('Customer Info'!E1241,'Customer Info'!E1241:E1740,1,0)</f>
        <v>#N/A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44</v>
      </c>
      <c r="R1249" s="2" t="s">
        <v>50</v>
      </c>
      <c r="S1249" s="9">
        <f t="shared" si="99"/>
        <v>0.02</v>
      </c>
    </row>
    <row r="1250" spans="1:19" x14ac:dyDescent="0.3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e">
        <f>VLOOKUP('Customer Info'!B1242,'Customer Info'!B1242:B1741,1,0)</f>
        <v>#N/A</v>
      </c>
      <c r="H1250" s="6" t="e">
        <f>VLOOKUP('Customer Info'!C1242,'Customer Info'!C1242:C1741,1)</f>
        <v>#N/A</v>
      </c>
      <c r="I1250" s="6" t="e">
        <f>VLOOKUP('Customer Info'!E1242,'Customer Info'!E1242:E1741,1,0)</f>
        <v>#N/A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316</v>
      </c>
      <c r="R1250" s="2" t="s">
        <v>50</v>
      </c>
      <c r="S1250" s="9">
        <f t="shared" si="99"/>
        <v>0.05</v>
      </c>
    </row>
    <row r="1251" spans="1:19" x14ac:dyDescent="0.3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e">
        <f>VLOOKUP('Customer Info'!B1243,'Customer Info'!B1243:B1742,1,0)</f>
        <v>#N/A</v>
      </c>
      <c r="H1251" s="6" t="e">
        <f>VLOOKUP('Customer Info'!C1243,'Customer Info'!C1243:C1742,1)</f>
        <v>#N/A</v>
      </c>
      <c r="I1251" s="6" t="e">
        <f>VLOOKUP('Customer Info'!E1243,'Customer Info'!E1243:E1742,1,0)</f>
        <v>#N/A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282</v>
      </c>
      <c r="R1251" s="2" t="s">
        <v>50</v>
      </c>
      <c r="S1251" s="9">
        <f t="shared" si="99"/>
        <v>0.02</v>
      </c>
    </row>
    <row r="1252" spans="1:19" x14ac:dyDescent="0.3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e">
        <f>VLOOKUP('Customer Info'!B1244,'Customer Info'!B1244:B1743,1,0)</f>
        <v>#N/A</v>
      </c>
      <c r="H1252" s="6" t="e">
        <f>VLOOKUP('Customer Info'!C1244,'Customer Info'!C1244:C1743,1)</f>
        <v>#N/A</v>
      </c>
      <c r="I1252" s="6" t="e">
        <f>VLOOKUP('Customer Info'!E1244,'Customer Info'!E1244:E1743,1,0)</f>
        <v>#N/A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234</v>
      </c>
      <c r="R1252" s="2" t="s">
        <v>26</v>
      </c>
      <c r="S1252" s="9">
        <f t="shared" si="99"/>
        <v>0.02</v>
      </c>
    </row>
    <row r="1253" spans="1:19" x14ac:dyDescent="0.3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e">
        <f>VLOOKUP('Customer Info'!B1245,'Customer Info'!B1245:B1744,1,0)</f>
        <v>#N/A</v>
      </c>
      <c r="H1253" s="6" t="e">
        <f>VLOOKUP('Customer Info'!C1245,'Customer Info'!C1245:C1744,1)</f>
        <v>#N/A</v>
      </c>
      <c r="I1253" s="6" t="e">
        <f>VLOOKUP('Customer Info'!E1245,'Customer Info'!E1245:E1744,1,0)</f>
        <v>#N/A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5</v>
      </c>
      <c r="R1253" s="2" t="s">
        <v>28</v>
      </c>
      <c r="S1253" s="9">
        <f t="shared" si="99"/>
        <v>0.02</v>
      </c>
    </row>
    <row r="1254" spans="1:19" x14ac:dyDescent="0.3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e">
        <f>VLOOKUP('Customer Info'!B1246,'Customer Info'!B1246:B1745,1,0)</f>
        <v>#N/A</v>
      </c>
      <c r="H1254" s="6" t="e">
        <f>VLOOKUP('Customer Info'!C1246,'Customer Info'!C1246:C1745,1)</f>
        <v>#N/A</v>
      </c>
      <c r="I1254" s="6" t="e">
        <f>VLOOKUP('Customer Info'!E1246,'Customer Info'!E1246:E1745,1,0)</f>
        <v>#N/A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5</v>
      </c>
      <c r="R1254" s="2" t="s">
        <v>28</v>
      </c>
      <c r="S1254" s="9">
        <f t="shared" si="99"/>
        <v>0.02</v>
      </c>
    </row>
    <row r="1255" spans="1:19" x14ac:dyDescent="0.3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e">
        <f>VLOOKUP('Customer Info'!B1247,'Customer Info'!B1247:B1746,1,0)</f>
        <v>#N/A</v>
      </c>
      <c r="H1255" s="6" t="e">
        <f>VLOOKUP('Customer Info'!C1247,'Customer Info'!C1247:C1746,1)</f>
        <v>#N/A</v>
      </c>
      <c r="I1255" s="6" t="e">
        <f>VLOOKUP('Customer Info'!E1247,'Customer Info'!E1247:E1746,1,0)</f>
        <v>#N/A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180</v>
      </c>
      <c r="R1255" s="2" t="s">
        <v>28</v>
      </c>
      <c r="S1255" s="9">
        <f t="shared" si="99"/>
        <v>0.02</v>
      </c>
    </row>
    <row r="1256" spans="1:19" x14ac:dyDescent="0.3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e">
        <f>VLOOKUP('Customer Info'!B1248,'Customer Info'!B1248:B1747,1,0)</f>
        <v>#N/A</v>
      </c>
      <c r="H1256" s="6" t="e">
        <f>VLOOKUP('Customer Info'!C1248,'Customer Info'!C1248:C1747,1)</f>
        <v>#N/A</v>
      </c>
      <c r="I1256" s="6" t="e">
        <f>VLOOKUP('Customer Info'!E1248,'Customer Info'!E1248:E1747,1,0)</f>
        <v>#N/A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2080</v>
      </c>
      <c r="R1256" s="2" t="s">
        <v>28</v>
      </c>
      <c r="S1256" s="9">
        <f t="shared" si="99"/>
        <v>7.0000000000000007E-2</v>
      </c>
    </row>
    <row r="1257" spans="1:19" x14ac:dyDescent="0.3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e">
        <f>VLOOKUP('Customer Info'!B1249,'Customer Info'!B1249:B1748,1,0)</f>
        <v>#N/A</v>
      </c>
      <c r="H1257" s="6" t="e">
        <f>VLOOKUP('Customer Info'!C1249,'Customer Info'!C1249:C1748,1)</f>
        <v>#N/A</v>
      </c>
      <c r="I1257" s="6" t="e">
        <f>VLOOKUP('Customer Info'!E1249,'Customer Info'!E1249:E1748,1,0)</f>
        <v>#N/A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84</v>
      </c>
      <c r="R1257" s="2" t="s">
        <v>50</v>
      </c>
      <c r="S1257" s="9">
        <f t="shared" si="99"/>
        <v>0.02</v>
      </c>
    </row>
    <row r="1258" spans="1:19" x14ac:dyDescent="0.3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e">
        <f>VLOOKUP('Customer Info'!B1250,'Customer Info'!B1250:B1749,1,0)</f>
        <v>#N/A</v>
      </c>
      <c r="H1258" s="6" t="e">
        <f>VLOOKUP('Customer Info'!C1250,'Customer Info'!C1250:C1749,1)</f>
        <v>#N/A</v>
      </c>
      <c r="I1258" s="6" t="e">
        <f>VLOOKUP('Customer Info'!E1250,'Customer Info'!E1250:E1749,1,0)</f>
        <v>#N/A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160</v>
      </c>
      <c r="R1258" s="2" t="s">
        <v>50</v>
      </c>
      <c r="S1258" s="9">
        <f t="shared" si="99"/>
        <v>0.02</v>
      </c>
    </row>
    <row r="1259" spans="1:19" x14ac:dyDescent="0.3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e">
        <f>VLOOKUP('Customer Info'!B1251,'Customer Info'!B1251:B1750,1,0)</f>
        <v>#N/A</v>
      </c>
      <c r="H1259" s="6" t="e">
        <f>VLOOKUP('Customer Info'!C1251,'Customer Info'!C1251:C1750,1)</f>
        <v>#N/A</v>
      </c>
      <c r="I1259" s="6" t="e">
        <f>VLOOKUP('Customer Info'!E1251,'Customer Info'!E1251:E1750,1,0)</f>
        <v>#N/A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58</v>
      </c>
      <c r="R1259" s="2" t="s">
        <v>28</v>
      </c>
      <c r="S1259" s="9">
        <f t="shared" si="99"/>
        <v>0.02</v>
      </c>
    </row>
    <row r="1260" spans="1:19" x14ac:dyDescent="0.3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e">
        <f>VLOOKUP('Customer Info'!B1252,'Customer Info'!B1252:B1751,1,0)</f>
        <v>#N/A</v>
      </c>
      <c r="H1260" s="6" t="e">
        <f>VLOOKUP('Customer Info'!C1252,'Customer Info'!C1252:C1751,1)</f>
        <v>#N/A</v>
      </c>
      <c r="I1260" s="6" t="e">
        <f>VLOOKUP('Customer Info'!E1252,'Customer Info'!E1252:E1751,1,0)</f>
        <v>#N/A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120</v>
      </c>
      <c r="R1260" s="2" t="s">
        <v>50</v>
      </c>
      <c r="S1260" s="9">
        <f t="shared" si="99"/>
        <v>0.02</v>
      </c>
    </row>
    <row r="1261" spans="1:19" x14ac:dyDescent="0.3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e">
        <f>VLOOKUP('Customer Info'!B1253,'Customer Info'!B1253:B1752,1,0)</f>
        <v>#N/A</v>
      </c>
      <c r="H1261" s="6" t="e">
        <f>VLOOKUP('Customer Info'!C1253,'Customer Info'!C1253:C1752,1)</f>
        <v>#N/A</v>
      </c>
      <c r="I1261" s="6" t="e">
        <f>VLOOKUP('Customer Info'!E1253,'Customer Info'!E1253:E1752,1,0)</f>
        <v>#N/A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125</v>
      </c>
      <c r="R1261" s="2" t="s">
        <v>28</v>
      </c>
      <c r="S1261" s="9">
        <f t="shared" si="99"/>
        <v>0.02</v>
      </c>
    </row>
    <row r="1262" spans="1:19" x14ac:dyDescent="0.3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e">
        <f>VLOOKUP('Customer Info'!B1254,'Customer Info'!B1254:B1753,1,0)</f>
        <v>#N/A</v>
      </c>
      <c r="H1262" s="6" t="e">
        <f>VLOOKUP('Customer Info'!C1254,'Customer Info'!C1254:C1753,1)</f>
        <v>#N/A</v>
      </c>
      <c r="I1262" s="6" t="e">
        <f>VLOOKUP('Customer Info'!E1254,'Customer Info'!E1254:E1753,1,0)</f>
        <v>#N/A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300</v>
      </c>
      <c r="R1262" s="2" t="s">
        <v>28</v>
      </c>
      <c r="S1262" s="9">
        <f t="shared" si="99"/>
        <v>0.05</v>
      </c>
    </row>
    <row r="1263" spans="1:19" x14ac:dyDescent="0.3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e">
        <f>VLOOKUP('Customer Info'!B1255,'Customer Info'!B1255:B1754,1,0)</f>
        <v>#N/A</v>
      </c>
      <c r="H1263" s="6" t="e">
        <f>VLOOKUP('Customer Info'!C1255,'Customer Info'!C1255:C1754,1)</f>
        <v>#N/A</v>
      </c>
      <c r="I1263" s="6" t="e">
        <f>VLOOKUP('Customer Info'!E1255,'Customer Info'!E1255:E1754,1,0)</f>
        <v>#N/A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696</v>
      </c>
      <c r="R1263" s="2" t="s">
        <v>26</v>
      </c>
      <c r="S1263" s="9">
        <f t="shared" si="99"/>
        <v>0.05</v>
      </c>
    </row>
    <row r="1264" spans="1:19" x14ac:dyDescent="0.3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e">
        <f>VLOOKUP('Customer Info'!B1256,'Customer Info'!B1256:B1755,1,0)</f>
        <v>#N/A</v>
      </c>
      <c r="H1264" s="6" t="e">
        <f>VLOOKUP('Customer Info'!C1256,'Customer Info'!C1256:C1755,1)</f>
        <v>#N/A</v>
      </c>
      <c r="I1264" s="6" t="e">
        <f>VLOOKUP('Customer Info'!E1256,'Customer Info'!E1256:E1755,1,0)</f>
        <v>#N/A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77</v>
      </c>
      <c r="R1264" s="2" t="s">
        <v>26</v>
      </c>
      <c r="S1264" s="9">
        <f t="shared" si="99"/>
        <v>0.02</v>
      </c>
    </row>
    <row r="1265" spans="1:19" x14ac:dyDescent="0.3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e">
        <f>VLOOKUP('Customer Info'!B1257,'Customer Info'!B1257:B1756,1,0)</f>
        <v>#N/A</v>
      </c>
      <c r="H1265" s="6" t="e">
        <f>VLOOKUP('Customer Info'!C1257,'Customer Info'!C1257:C1756,1)</f>
        <v>#N/A</v>
      </c>
      <c r="I1265" s="6" t="e">
        <f>VLOOKUP('Customer Info'!E1257,'Customer Info'!E1257:E1756,1,0)</f>
        <v>#N/A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296</v>
      </c>
      <c r="R1265" s="2" t="s">
        <v>26</v>
      </c>
      <c r="S1265" s="9">
        <f t="shared" si="99"/>
        <v>0.02</v>
      </c>
    </row>
    <row r="1266" spans="1:19" x14ac:dyDescent="0.3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e">
        <f>VLOOKUP('Customer Info'!B1258,'Customer Info'!B1258:B1757,1,0)</f>
        <v>#N/A</v>
      </c>
      <c r="H1266" s="6" t="e">
        <f>VLOOKUP('Customer Info'!C1258,'Customer Info'!C1258:C1757,1)</f>
        <v>#N/A</v>
      </c>
      <c r="I1266" s="6" t="e">
        <f>VLOOKUP('Customer Info'!E1258,'Customer Info'!E1258:E1757,1,0)</f>
        <v>#N/A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219</v>
      </c>
      <c r="R1266" s="2" t="s">
        <v>50</v>
      </c>
      <c r="S1266" s="9">
        <f t="shared" si="99"/>
        <v>0.02</v>
      </c>
    </row>
    <row r="1267" spans="1:19" x14ac:dyDescent="0.3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e">
        <f>VLOOKUP('Customer Info'!B1259,'Customer Info'!B1259:B1758,1,0)</f>
        <v>#N/A</v>
      </c>
      <c r="H1267" s="6" t="e">
        <f>VLOOKUP('Customer Info'!C1259,'Customer Info'!C1259:C1758,1)</f>
        <v>#N/A</v>
      </c>
      <c r="I1267" s="6" t="e">
        <f>VLOOKUP('Customer Info'!E1259,'Customer Info'!E1259:E1758,1,0)</f>
        <v>#N/A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470</v>
      </c>
      <c r="R1267" s="2" t="s">
        <v>28</v>
      </c>
      <c r="S1267" s="9">
        <f t="shared" si="99"/>
        <v>0.05</v>
      </c>
    </row>
    <row r="1268" spans="1:19" x14ac:dyDescent="0.3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e">
        <f>VLOOKUP('Customer Info'!B1260,'Customer Info'!B1260:B1759,1,0)</f>
        <v>#N/A</v>
      </c>
      <c r="H1268" s="6" t="e">
        <f>VLOOKUP('Customer Info'!C1260,'Customer Info'!C1260:C1759,1)</f>
        <v>#N/A</v>
      </c>
      <c r="I1268" s="6" t="e">
        <f>VLOOKUP('Customer Info'!E1260,'Customer Info'!E1260:E1759,1,0)</f>
        <v>#N/A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12040</v>
      </c>
      <c r="R1268" s="2" t="s">
        <v>28</v>
      </c>
      <c r="S1268" s="9">
        <f t="shared" si="99"/>
        <v>0.12</v>
      </c>
    </row>
    <row r="1269" spans="1:19" x14ac:dyDescent="0.3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e">
        <f>VLOOKUP('Customer Info'!B1261,'Customer Info'!B1261:B1760,1,0)</f>
        <v>#N/A</v>
      </c>
      <c r="H1269" s="6" t="e">
        <f>VLOOKUP('Customer Info'!C1261,'Customer Info'!C1261:C1760,1)</f>
        <v>#N/A</v>
      </c>
      <c r="I1269" s="6" t="e">
        <f>VLOOKUP('Customer Info'!E1261,'Customer Info'!E1261:E1760,1,0)</f>
        <v>#N/A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57</v>
      </c>
      <c r="R1269" s="2" t="s">
        <v>28</v>
      </c>
      <c r="S1269" s="9">
        <f t="shared" si="99"/>
        <v>0.02</v>
      </c>
    </row>
    <row r="1270" spans="1:19" x14ac:dyDescent="0.3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e">
        <f>VLOOKUP('Customer Info'!B1262,'Customer Info'!B1262:B1761,1,0)</f>
        <v>#N/A</v>
      </c>
      <c r="H1270" s="6" t="e">
        <f>VLOOKUP('Customer Info'!C1262,'Customer Info'!C1262:C1761,1)</f>
        <v>#N/A</v>
      </c>
      <c r="I1270" s="6" t="e">
        <f>VLOOKUP('Customer Info'!E1262,'Customer Info'!E1262:E1761,1,0)</f>
        <v>#N/A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223</v>
      </c>
      <c r="R1270" s="2" t="s">
        <v>28</v>
      </c>
      <c r="S1270" s="9">
        <f t="shared" si="99"/>
        <v>0.02</v>
      </c>
    </row>
    <row r="1271" spans="1:19" x14ac:dyDescent="0.3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e">
        <f>VLOOKUP('Customer Info'!B1263,'Customer Info'!B1263:B1762,1,0)</f>
        <v>#N/A</v>
      </c>
      <c r="H1271" s="6" t="e">
        <f>VLOOKUP('Customer Info'!C1263,'Customer Info'!C1263:C1762,1)</f>
        <v>#N/A</v>
      </c>
      <c r="I1271" s="6" t="e">
        <f>VLOOKUP('Customer Info'!E1263,'Customer Info'!E1263:E1762,1,0)</f>
        <v>#N/A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216</v>
      </c>
      <c r="R1271" s="2" t="s">
        <v>28</v>
      </c>
      <c r="S1271" s="9">
        <f t="shared" si="99"/>
        <v>0.02</v>
      </c>
    </row>
    <row r="1272" spans="1:19" x14ac:dyDescent="0.3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e">
        <f>VLOOKUP('Customer Info'!B1264,'Customer Info'!B1264:B1763,1,0)</f>
        <v>#N/A</v>
      </c>
      <c r="H1272" s="6" t="e">
        <f>VLOOKUP('Customer Info'!C1264,'Customer Info'!C1264:C1763,1)</f>
        <v>#N/A</v>
      </c>
      <c r="I1272" s="6" t="e">
        <f>VLOOKUP('Customer Info'!E1264,'Customer Info'!E1264:E1763,1,0)</f>
        <v>#N/A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1710</v>
      </c>
      <c r="R1272" s="2" t="s">
        <v>50</v>
      </c>
      <c r="S1272" s="9">
        <f t="shared" si="99"/>
        <v>7.0000000000000007E-2</v>
      </c>
    </row>
    <row r="1273" spans="1:19" x14ac:dyDescent="0.3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e">
        <f>VLOOKUP('Customer Info'!B1265,'Customer Info'!B1265:B1764,1,0)</f>
        <v>#N/A</v>
      </c>
      <c r="H1273" s="6" t="e">
        <f>VLOOKUP('Customer Info'!C1265,'Customer Info'!C1265:C1764,1)</f>
        <v>#N/A</v>
      </c>
      <c r="I1273" s="6" t="e">
        <f>VLOOKUP('Customer Info'!E1265,'Customer Info'!E1265:E1764,1,0)</f>
        <v>#N/A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288</v>
      </c>
      <c r="R1273" s="2" t="s">
        <v>28</v>
      </c>
      <c r="S1273" s="9">
        <f t="shared" si="99"/>
        <v>0.02</v>
      </c>
    </row>
    <row r="1274" spans="1:19" x14ac:dyDescent="0.3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e">
        <f>VLOOKUP('Customer Info'!B1266,'Customer Info'!B1266:B1765,1,0)</f>
        <v>#N/A</v>
      </c>
      <c r="H1274" s="6" t="e">
        <f>VLOOKUP('Customer Info'!C1266,'Customer Info'!C1266:C1765,1)</f>
        <v>#N/A</v>
      </c>
      <c r="I1274" s="6" t="e">
        <f>VLOOKUP('Customer Info'!E1266,'Customer Info'!E1266:E1765,1,0)</f>
        <v>#N/A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258</v>
      </c>
      <c r="R1274" s="2" t="s">
        <v>50</v>
      </c>
      <c r="S1274" s="9">
        <f t="shared" si="99"/>
        <v>0.02</v>
      </c>
    </row>
    <row r="1275" spans="1:19" x14ac:dyDescent="0.3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e">
        <f>VLOOKUP('Customer Info'!B1267,'Customer Info'!B1267:B1766,1,0)</f>
        <v>#N/A</v>
      </c>
      <c r="H1275" s="6" t="e">
        <f>VLOOKUP('Customer Info'!C1267,'Customer Info'!C1267:C1766,1)</f>
        <v>#N/A</v>
      </c>
      <c r="I1275" s="6" t="e">
        <f>VLOOKUP('Customer Info'!E1267,'Customer Info'!E1267:E1766,1,0)</f>
        <v>#N/A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652</v>
      </c>
      <c r="R1275" s="2" t="s">
        <v>28</v>
      </c>
      <c r="S1275" s="9">
        <f t="shared" si="99"/>
        <v>0.05</v>
      </c>
    </row>
    <row r="1276" spans="1:19" x14ac:dyDescent="0.3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e">
        <f>VLOOKUP('Customer Info'!B1268,'Customer Info'!B1268:B1767,1,0)</f>
        <v>#N/A</v>
      </c>
      <c r="H1276" s="6" t="e">
        <f>VLOOKUP('Customer Info'!C1268,'Customer Info'!C1268:C1767,1)</f>
        <v>#N/A</v>
      </c>
      <c r="I1276" s="6" t="e">
        <f>VLOOKUP('Customer Info'!E1268,'Customer Info'!E1268:E1767,1,0)</f>
        <v>#N/A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262</v>
      </c>
      <c r="R1276" s="2" t="s">
        <v>50</v>
      </c>
      <c r="S1276" s="9">
        <f t="shared" si="99"/>
        <v>0.05</v>
      </c>
    </row>
    <row r="1277" spans="1:19" x14ac:dyDescent="0.3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e">
        <f>VLOOKUP('Customer Info'!B1269,'Customer Info'!B1269:B1768,1,0)</f>
        <v>#N/A</v>
      </c>
      <c r="H1277" s="6" t="e">
        <f>VLOOKUP('Customer Info'!C1269,'Customer Info'!C1269:C1768,1)</f>
        <v>#N/A</v>
      </c>
      <c r="I1277" s="6" t="e">
        <f>VLOOKUP('Customer Info'!E1269,'Customer Info'!E1269:E1768,1,0)</f>
        <v>#N/A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10</v>
      </c>
      <c r="R1277" s="2" t="s">
        <v>50</v>
      </c>
      <c r="S1277" s="9">
        <f t="shared" si="99"/>
        <v>0.02</v>
      </c>
    </row>
    <row r="1278" spans="1:19" x14ac:dyDescent="0.3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e">
        <f>VLOOKUP('Customer Info'!B1270,'Customer Info'!B1270:B1769,1,0)</f>
        <v>#N/A</v>
      </c>
      <c r="H1278" s="6" t="e">
        <f>VLOOKUP('Customer Info'!C1270,'Customer Info'!C1270:C1769,1)</f>
        <v>#N/A</v>
      </c>
      <c r="I1278" s="6" t="e">
        <f>VLOOKUP('Customer Info'!E1270,'Customer Info'!E1270:E1769,1,0)</f>
        <v>#N/A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110</v>
      </c>
      <c r="R1278" s="2" t="s">
        <v>50</v>
      </c>
      <c r="S1278" s="9">
        <f t="shared" si="99"/>
        <v>0.02</v>
      </c>
    </row>
    <row r="1279" spans="1:19" x14ac:dyDescent="0.3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e">
        <f>VLOOKUP('Customer Info'!B1271,'Customer Info'!B1271:B1770,1,0)</f>
        <v>#N/A</v>
      </c>
      <c r="H1279" s="6" t="e">
        <f>VLOOKUP('Customer Info'!C1271,'Customer Info'!C1271:C1770,1)</f>
        <v>#N/A</v>
      </c>
      <c r="I1279" s="6" t="e">
        <f>VLOOKUP('Customer Info'!E1271,'Customer Info'!E1271:E1770,1,0)</f>
        <v>#N/A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1590</v>
      </c>
      <c r="R1279" s="2" t="s">
        <v>28</v>
      </c>
      <c r="S1279" s="9">
        <f t="shared" si="99"/>
        <v>7.0000000000000007E-2</v>
      </c>
    </row>
    <row r="1280" spans="1:19" x14ac:dyDescent="0.3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e">
        <f>VLOOKUP('Customer Info'!B1272,'Customer Info'!B1272:B1771,1,0)</f>
        <v>#N/A</v>
      </c>
      <c r="H1280" s="6" t="e">
        <f>VLOOKUP('Customer Info'!C1272,'Customer Info'!C1272:C1771,1)</f>
        <v>#N/A</v>
      </c>
      <c r="I1280" s="6" t="e">
        <f>VLOOKUP('Customer Info'!E1272,'Customer Info'!E1272:E1771,1,0)</f>
        <v>#N/A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16</v>
      </c>
      <c r="R1280" s="2" t="s">
        <v>56</v>
      </c>
      <c r="S1280" s="9">
        <f t="shared" si="99"/>
        <v>0.02</v>
      </c>
    </row>
    <row r="1281" spans="1:19" x14ac:dyDescent="0.3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e">
        <f>VLOOKUP('Customer Info'!B1273,'Customer Info'!B1273:B1772,1,0)</f>
        <v>#N/A</v>
      </c>
      <c r="H1281" s="6" t="e">
        <f>VLOOKUP('Customer Info'!C1273,'Customer Info'!C1273:C1772,1)</f>
        <v>#N/A</v>
      </c>
      <c r="I1281" s="6" t="e">
        <f>VLOOKUP('Customer Info'!E1273,'Customer Info'!E1273:E1772,1,0)</f>
        <v>#N/A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72</v>
      </c>
      <c r="R1281" s="2" t="s">
        <v>50</v>
      </c>
      <c r="S1281" s="9">
        <f t="shared" si="99"/>
        <v>0.02</v>
      </c>
    </row>
    <row r="1282" spans="1:19" x14ac:dyDescent="0.3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e">
        <f>VLOOKUP('Customer Info'!B1274,'Customer Info'!B1274:B1773,1,0)</f>
        <v>#N/A</v>
      </c>
      <c r="H1282" s="6" t="e">
        <f>VLOOKUP('Customer Info'!C1274,'Customer Info'!C1274:C1773,1)</f>
        <v>#N/A</v>
      </c>
      <c r="I1282" s="6" t="e">
        <f>VLOOKUP('Customer Info'!E1274,'Customer Info'!E1274:E1773,1,0)</f>
        <v>#N/A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9792</v>
      </c>
      <c r="R1282" s="2" t="s">
        <v>28</v>
      </c>
      <c r="S1282" s="9">
        <f t="shared" si="99"/>
        <v>0.12</v>
      </c>
    </row>
    <row r="1283" spans="1:19" x14ac:dyDescent="0.3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e">
        <f>VLOOKUP('Customer Info'!B1275,'Customer Info'!B1275:B1774,1,0)</f>
        <v>#N/A</v>
      </c>
      <c r="H1283" s="6" t="e">
        <f>VLOOKUP('Customer Info'!C1275,'Customer Info'!C1275:C1774,1)</f>
        <v>#N/A</v>
      </c>
      <c r="I1283" s="6" t="e">
        <f>VLOOKUP('Customer Info'!E1275,'Customer Info'!E1275:E1774,1,0)</f>
        <v>#N/A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920</v>
      </c>
      <c r="R1283" s="2" t="s">
        <v>28</v>
      </c>
      <c r="S1283" s="9">
        <f t="shared" si="99"/>
        <v>0.05</v>
      </c>
    </row>
    <row r="1284" spans="1:19" x14ac:dyDescent="0.3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e">
        <f>VLOOKUP('Customer Info'!B1276,'Customer Info'!B1276:B1775,1,0)</f>
        <v>#N/A</v>
      </c>
      <c r="H1284" s="6" t="e">
        <f>VLOOKUP('Customer Info'!C1276,'Customer Info'!C1276:C1775,1)</f>
        <v>#N/A</v>
      </c>
      <c r="I1284" s="6" t="e">
        <f>VLOOKUP('Customer Info'!E1276,'Customer Info'!E1276:E1775,1,0)</f>
        <v>#N/A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796</v>
      </c>
      <c r="R1284" s="2" t="s">
        <v>28</v>
      </c>
      <c r="S1284" s="9">
        <f t="shared" si="99"/>
        <v>0.05</v>
      </c>
    </row>
    <row r="1285" spans="1:19" x14ac:dyDescent="0.3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e">
        <f>VLOOKUP('Customer Info'!B1277,'Customer Info'!B1277:B1776,1,0)</f>
        <v>#N/A</v>
      </c>
      <c r="H1285" s="6" t="e">
        <f>VLOOKUP('Customer Info'!C1277,'Customer Info'!C1277:C1776,1)</f>
        <v>#N/A</v>
      </c>
      <c r="I1285" s="6" t="e">
        <f>VLOOKUP('Customer Info'!E1277,'Customer Info'!E1277:E1776,1,0)</f>
        <v>#N/A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142</v>
      </c>
      <c r="R1285" s="2" t="s">
        <v>50</v>
      </c>
      <c r="S1285" s="9">
        <f t="shared" si="99"/>
        <v>0.02</v>
      </c>
    </row>
    <row r="1286" spans="1:19" x14ac:dyDescent="0.3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e">
        <f>VLOOKUP('Customer Info'!B1278,'Customer Info'!B1278:B1777,1,0)</f>
        <v>#N/A</v>
      </c>
      <c r="H1286" s="6" t="e">
        <f>VLOOKUP('Customer Info'!C1278,'Customer Info'!C1278:C1777,1)</f>
        <v>#N/A</v>
      </c>
      <c r="I1286" s="6" t="e">
        <f>VLOOKUP('Customer Info'!E1278,'Customer Info'!E1278:E1777,1,0)</f>
        <v>#N/A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234</v>
      </c>
      <c r="R1286" s="2" t="s">
        <v>28</v>
      </c>
      <c r="S1286" s="9">
        <f t="shared" si="99"/>
        <v>0.02</v>
      </c>
    </row>
    <row r="1287" spans="1:19" x14ac:dyDescent="0.3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e">
        <f>VLOOKUP('Customer Info'!B1279,'Customer Info'!B1279:B1778,1,0)</f>
        <v>#N/A</v>
      </c>
      <c r="H1287" s="6" t="e">
        <f>VLOOKUP('Customer Info'!C1279,'Customer Info'!C1279:C1778,1)</f>
        <v>#N/A</v>
      </c>
      <c r="I1287" s="6" t="e">
        <f>VLOOKUP('Customer Info'!E1279,'Customer Info'!E1279:E1778,1,0)</f>
        <v>#N/A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1328</v>
      </c>
      <c r="R1287" s="2" t="s">
        <v>56</v>
      </c>
      <c r="S1287" s="9">
        <f t="shared" si="99"/>
        <v>0.05</v>
      </c>
    </row>
    <row r="1288" spans="1:19" x14ac:dyDescent="0.3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e">
        <f>VLOOKUP('Customer Info'!B1280,'Customer Info'!B1280:B1779,1,0)</f>
        <v>#N/A</v>
      </c>
      <c r="H1288" s="6" t="e">
        <f>VLOOKUP('Customer Info'!C1280,'Customer Info'!C1280:C1779,1)</f>
        <v>#N/A</v>
      </c>
      <c r="I1288" s="6" t="e">
        <f>VLOOKUP('Customer Info'!E1280,'Customer Info'!E1280:E1779,1,0)</f>
        <v>#N/A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320</v>
      </c>
      <c r="R1288" s="2" t="s">
        <v>28</v>
      </c>
      <c r="S1288" s="9">
        <f t="shared" si="99"/>
        <v>0.05</v>
      </c>
    </row>
    <row r="1289" spans="1:19" x14ac:dyDescent="0.3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e">
        <f>VLOOKUP('Customer Info'!B1281,'Customer Info'!B1281:B1780,1,0)</f>
        <v>#N/A</v>
      </c>
      <c r="H1289" s="6" t="e">
        <f>VLOOKUP('Customer Info'!C1281,'Customer Info'!C1281:C1780,1)</f>
        <v>#N/A</v>
      </c>
      <c r="I1289" s="6" t="e">
        <f>VLOOKUP('Customer Info'!E1281,'Customer Info'!E1281:E1780,1,0)</f>
        <v>#N/A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292</v>
      </c>
      <c r="R1289" s="2" t="s">
        <v>28</v>
      </c>
      <c r="S1289" s="9">
        <f t="shared" si="99"/>
        <v>0.02</v>
      </c>
    </row>
    <row r="1290" spans="1:19" x14ac:dyDescent="0.3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e">
        <f>VLOOKUP('Customer Info'!B1282,'Customer Info'!B1282:B1781,1,0)</f>
        <v>#N/A</v>
      </c>
      <c r="H1290" s="6" t="e">
        <f>VLOOKUP('Customer Info'!C1282,'Customer Info'!C1282:C1781,1)</f>
        <v>#N/A</v>
      </c>
      <c r="I1290" s="6" t="e">
        <f>VLOOKUP('Customer Info'!E1282,'Customer Info'!E1282:E1781,1,0)</f>
        <v>#N/A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258</v>
      </c>
      <c r="R1290" s="2" t="s">
        <v>28</v>
      </c>
      <c r="S1290" s="9">
        <f t="shared" si="99"/>
        <v>0.02</v>
      </c>
    </row>
    <row r="1291" spans="1:19" x14ac:dyDescent="0.3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e">
        <f>VLOOKUP('Customer Info'!B1283,'Customer Info'!B1283:B1782,1,0)</f>
        <v>#N/A</v>
      </c>
      <c r="H1291" s="6" t="e">
        <f>VLOOKUP('Customer Info'!C1283,'Customer Info'!C1283:C1782,1)</f>
        <v>#N/A</v>
      </c>
      <c r="I1291" s="6" t="e">
        <f>VLOOKUP('Customer Info'!E1283,'Customer Info'!E1283:E1782,1,0)</f>
        <v>#N/A</v>
      </c>
      <c r="J1291" s="2">
        <v>2540</v>
      </c>
      <c r="K1291" s="2">
        <v>2397</v>
      </c>
      <c r="L1291" s="2">
        <v>2</v>
      </c>
      <c r="M1291" s="7">
        <f t="shared" ref="M1291:M1354" si="100">(K1291*L1291)</f>
        <v>4794</v>
      </c>
      <c r="N1291" s="7">
        <f t="shared" ref="N1291:N1354" si="101">(J1291*L1291)</f>
        <v>5080</v>
      </c>
      <c r="O1291" s="2">
        <v>38</v>
      </c>
      <c r="P1291" s="8">
        <f t="shared" ref="P1291:P1354" si="102">(N1291+O1291)</f>
        <v>5118</v>
      </c>
      <c r="Q1291" s="8">
        <f t="shared" ref="Q1291:Q1354" si="103">(N1291-M1291)</f>
        <v>286</v>
      </c>
      <c r="R1291" s="2" t="s">
        <v>28</v>
      </c>
      <c r="S1291" s="9">
        <f t="shared" ref="S1291:S1354" si="104">_xlfn.IFS(P1291&gt;250000,0.15,P1291&gt;100000,0.12,P1291&gt;50000,0.09,P1291&gt;25000,0.07,P1291&gt;5000,0.05,
 TRUE,0.02)</f>
        <v>0.05</v>
      </c>
    </row>
    <row r="1292" spans="1:19" x14ac:dyDescent="0.3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e">
        <f>VLOOKUP('Customer Info'!B1284,'Customer Info'!B1284:B1783,1,0)</f>
        <v>#N/A</v>
      </c>
      <c r="H1292" s="6" t="e">
        <f>VLOOKUP('Customer Info'!C1284,'Customer Info'!C1284:C1783,1)</f>
        <v>#N/A</v>
      </c>
      <c r="I1292" s="6" t="e">
        <f>VLOOKUP('Customer Info'!E1284,'Customer Info'!E1284:E1783,1,0)</f>
        <v>#N/A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210</v>
      </c>
      <c r="R1292" s="2" t="s">
        <v>28</v>
      </c>
      <c r="S1292" s="9">
        <f t="shared" si="104"/>
        <v>0.05</v>
      </c>
    </row>
    <row r="1293" spans="1:19" x14ac:dyDescent="0.3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e">
        <f>VLOOKUP('Customer Info'!B1285,'Customer Info'!B1285:B1784,1,0)</f>
        <v>#N/A</v>
      </c>
      <c r="H1293" s="6" t="e">
        <f>VLOOKUP('Customer Info'!C1285,'Customer Info'!C1285:C1784,1)</f>
        <v>#N/A</v>
      </c>
      <c r="I1293" s="6" t="e">
        <f>VLOOKUP('Customer Info'!E1285,'Customer Info'!E1285:E1784,1,0)</f>
        <v>#N/A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3648</v>
      </c>
      <c r="R1293" s="2" t="s">
        <v>26</v>
      </c>
      <c r="S1293" s="9">
        <f t="shared" si="104"/>
        <v>7.0000000000000007E-2</v>
      </c>
    </row>
    <row r="1294" spans="1:19" x14ac:dyDescent="0.3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e">
        <f>VLOOKUP('Customer Info'!B1286,'Customer Info'!B1286:B1785,1,0)</f>
        <v>#N/A</v>
      </c>
      <c r="H1294" s="6" t="e">
        <f>VLOOKUP('Customer Info'!C1286,'Customer Info'!C1286:C1785,1)</f>
        <v>#N/A</v>
      </c>
      <c r="I1294" s="6" t="e">
        <f>VLOOKUP('Customer Info'!E1286,'Customer Info'!E1286:E1785,1,0)</f>
        <v>#N/A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114</v>
      </c>
      <c r="R1294" s="2" t="s">
        <v>28</v>
      </c>
      <c r="S1294" s="9">
        <f t="shared" si="104"/>
        <v>0.05</v>
      </c>
    </row>
    <row r="1295" spans="1:19" x14ac:dyDescent="0.3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e">
        <f>VLOOKUP('Customer Info'!B1287,'Customer Info'!B1287:B1786,1,0)</f>
        <v>#N/A</v>
      </c>
      <c r="H1295" s="6" t="e">
        <f>VLOOKUP('Customer Info'!C1287,'Customer Info'!C1287:C1786,1)</f>
        <v>#N/A</v>
      </c>
      <c r="I1295" s="6" t="e">
        <f>VLOOKUP('Customer Info'!E1287,'Customer Info'!E1287:E1786,1,0)</f>
        <v>#N/A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30</v>
      </c>
      <c r="R1295" s="2" t="s">
        <v>28</v>
      </c>
      <c r="S1295" s="9">
        <f t="shared" si="104"/>
        <v>0.02</v>
      </c>
    </row>
    <row r="1296" spans="1:19" x14ac:dyDescent="0.3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e">
        <f>VLOOKUP('Customer Info'!B1288,'Customer Info'!B1288:B1787,1,0)</f>
        <v>#N/A</v>
      </c>
      <c r="H1296" s="6" t="e">
        <f>VLOOKUP('Customer Info'!C1288,'Customer Info'!C1288:C1787,1)</f>
        <v>#N/A</v>
      </c>
      <c r="I1296" s="6" t="e">
        <f>VLOOKUP('Customer Info'!E1288,'Customer Info'!E1288:E1787,1,0)</f>
        <v>#N/A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954</v>
      </c>
      <c r="R1296" s="2" t="s">
        <v>26</v>
      </c>
      <c r="S1296" s="9">
        <f t="shared" si="104"/>
        <v>7.0000000000000007E-2</v>
      </c>
    </row>
    <row r="1297" spans="1:19" x14ac:dyDescent="0.3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e">
        <f>VLOOKUP('Customer Info'!B1289,'Customer Info'!B1289:B1788,1,0)</f>
        <v>#N/A</v>
      </c>
      <c r="H1297" s="6" t="e">
        <f>VLOOKUP('Customer Info'!C1289,'Customer Info'!C1289:C1788,1)</f>
        <v>#N/A</v>
      </c>
      <c r="I1297" s="6" t="e">
        <f>VLOOKUP('Customer Info'!E1289,'Customer Info'!E1289:E1788,1,0)</f>
        <v>#N/A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1974</v>
      </c>
      <c r="R1297" s="2" t="s">
        <v>50</v>
      </c>
      <c r="S1297" s="9">
        <f t="shared" si="104"/>
        <v>7.0000000000000007E-2</v>
      </c>
    </row>
    <row r="1298" spans="1:19" x14ac:dyDescent="0.3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e">
        <f>VLOOKUP('Customer Info'!B1290,'Customer Info'!B1290:B1789,1,0)</f>
        <v>#N/A</v>
      </c>
      <c r="H1298" s="6" t="e">
        <f>VLOOKUP('Customer Info'!C1290,'Customer Info'!C1290:C1789,1)</f>
        <v>#N/A</v>
      </c>
      <c r="I1298" s="6" t="e">
        <f>VLOOKUP('Customer Info'!E1290,'Customer Info'!E1290:E1789,1,0)</f>
        <v>#N/A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354</v>
      </c>
      <c r="R1298" s="2" t="s">
        <v>28</v>
      </c>
      <c r="S1298" s="9">
        <f t="shared" si="104"/>
        <v>0.02</v>
      </c>
    </row>
    <row r="1299" spans="1:19" x14ac:dyDescent="0.3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e">
        <f>VLOOKUP('Customer Info'!B1291,'Customer Info'!B1291:B1790,1,0)</f>
        <v>#N/A</v>
      </c>
      <c r="H1299" s="6" t="e">
        <f>VLOOKUP('Customer Info'!C1291,'Customer Info'!C1291:C1790,1)</f>
        <v>#N/A</v>
      </c>
      <c r="I1299" s="6" t="e">
        <f>VLOOKUP('Customer Info'!E1291,'Customer Info'!E1291:E1790,1,0)</f>
        <v>#N/A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98</v>
      </c>
      <c r="R1299" s="2" t="s">
        <v>28</v>
      </c>
      <c r="S1299" s="9">
        <f t="shared" si="104"/>
        <v>0.02</v>
      </c>
    </row>
    <row r="1300" spans="1:19" x14ac:dyDescent="0.3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e">
        <f>VLOOKUP('Customer Info'!B1292,'Customer Info'!B1292:B1791,1,0)</f>
        <v>#N/A</v>
      </c>
      <c r="H1300" s="6" t="e">
        <f>VLOOKUP('Customer Info'!C1292,'Customer Info'!C1292:C1791,1)</f>
        <v>#N/A</v>
      </c>
      <c r="I1300" s="6" t="e">
        <f>VLOOKUP('Customer Info'!E1292,'Customer Info'!E1292:E1791,1,0)</f>
        <v>#N/A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396</v>
      </c>
      <c r="R1300" s="2" t="s">
        <v>50</v>
      </c>
      <c r="S1300" s="9">
        <f t="shared" si="104"/>
        <v>0.05</v>
      </c>
    </row>
    <row r="1301" spans="1:19" x14ac:dyDescent="0.3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e">
        <f>VLOOKUP('Customer Info'!B1293,'Customer Info'!B1293:B1792,1,0)</f>
        <v>#N/A</v>
      </c>
      <c r="H1301" s="6" t="e">
        <f>VLOOKUP('Customer Info'!C1293,'Customer Info'!C1293:C1792,1)</f>
        <v>#N/A</v>
      </c>
      <c r="I1301" s="6" t="e">
        <f>VLOOKUP('Customer Info'!E1293,'Customer Info'!E1293:E1792,1,0)</f>
        <v>#N/A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176</v>
      </c>
      <c r="R1301" s="2" t="s">
        <v>50</v>
      </c>
      <c r="S1301" s="9">
        <f t="shared" si="104"/>
        <v>0.02</v>
      </c>
    </row>
    <row r="1302" spans="1:19" x14ac:dyDescent="0.3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e">
        <f>VLOOKUP('Customer Info'!B1294,'Customer Info'!B1294:B1793,1,0)</f>
        <v>#N/A</v>
      </c>
      <c r="H1302" s="6" t="e">
        <f>VLOOKUP('Customer Info'!C1294,'Customer Info'!C1294:C1793,1)</f>
        <v>#N/A</v>
      </c>
      <c r="I1302" s="6" t="e">
        <f>VLOOKUP('Customer Info'!E1294,'Customer Info'!E1294:E1793,1,0)</f>
        <v>#N/A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75</v>
      </c>
      <c r="R1302" s="2" t="s">
        <v>28</v>
      </c>
      <c r="S1302" s="9">
        <f t="shared" si="104"/>
        <v>0.02</v>
      </c>
    </row>
    <row r="1303" spans="1:19" x14ac:dyDescent="0.3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e">
        <f>VLOOKUP('Customer Info'!B1295,'Customer Info'!B1295:B1794,1,0)</f>
        <v>#N/A</v>
      </c>
      <c r="H1303" s="6" t="e">
        <f>VLOOKUP('Customer Info'!C1295,'Customer Info'!C1295:C1794,1)</f>
        <v>#N/A</v>
      </c>
      <c r="I1303" s="6" t="e">
        <f>VLOOKUP('Customer Info'!E1295,'Customer Info'!E1295:E1794,1,0)</f>
        <v>#N/A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618</v>
      </c>
      <c r="R1303" s="2" t="s">
        <v>50</v>
      </c>
      <c r="S1303" s="9">
        <f t="shared" si="104"/>
        <v>0.05</v>
      </c>
    </row>
    <row r="1304" spans="1:19" x14ac:dyDescent="0.3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e">
        <f>VLOOKUP('Customer Info'!B1296,'Customer Info'!B1296:B1795,1,0)</f>
        <v>#N/A</v>
      </c>
      <c r="H1304" s="6" t="e">
        <f>VLOOKUP('Customer Info'!C1296,'Customer Info'!C1296:C1795,1)</f>
        <v>#N/A</v>
      </c>
      <c r="I1304" s="6" t="e">
        <f>VLOOKUP('Customer Info'!E1296,'Customer Info'!E1296:E1795,1,0)</f>
        <v>#N/A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132</v>
      </c>
      <c r="R1304" s="2" t="s">
        <v>28</v>
      </c>
      <c r="S1304" s="9">
        <f t="shared" si="104"/>
        <v>0.02</v>
      </c>
    </row>
    <row r="1305" spans="1:19" x14ac:dyDescent="0.3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e">
        <f>VLOOKUP('Customer Info'!B1297,'Customer Info'!B1297:B1796,1,0)</f>
        <v>#N/A</v>
      </c>
      <c r="H1305" s="6" t="e">
        <f>VLOOKUP('Customer Info'!C1297,'Customer Info'!C1297:C1796,1)</f>
        <v>#N/A</v>
      </c>
      <c r="I1305" s="6" t="e">
        <f>VLOOKUP('Customer Info'!E1297,'Customer Info'!E1297:E1796,1,0)</f>
        <v>#N/A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4138</v>
      </c>
      <c r="R1305" s="2" t="s">
        <v>28</v>
      </c>
      <c r="S1305" s="9">
        <f t="shared" si="104"/>
        <v>0.09</v>
      </c>
    </row>
    <row r="1306" spans="1:19" x14ac:dyDescent="0.3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e">
        <f>VLOOKUP('Customer Info'!B1298,'Customer Info'!B1298:B1797,1,0)</f>
        <v>#N/A</v>
      </c>
      <c r="H1306" s="6" t="e">
        <f>VLOOKUP('Customer Info'!C1298,'Customer Info'!C1298:C1797,1)</f>
        <v>#N/A</v>
      </c>
      <c r="I1306" s="6" t="e">
        <f>VLOOKUP('Customer Info'!E1298,'Customer Info'!E1298:E1797,1,0)</f>
        <v>#N/A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8116</v>
      </c>
      <c r="R1306" s="2" t="s">
        <v>26</v>
      </c>
      <c r="S1306" s="9">
        <f t="shared" si="104"/>
        <v>0.12</v>
      </c>
    </row>
    <row r="1307" spans="1:19" x14ac:dyDescent="0.3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e">
        <f>VLOOKUP('Customer Info'!B1299,'Customer Info'!B1299:B1798,1,0)</f>
        <v>#N/A</v>
      </c>
      <c r="H1307" s="6" t="e">
        <f>VLOOKUP('Customer Info'!C1299,'Customer Info'!C1299:C1798,1)</f>
        <v>#N/A</v>
      </c>
      <c r="I1307" s="6" t="e">
        <f>VLOOKUP('Customer Info'!E1299,'Customer Info'!E1299:E1798,1,0)</f>
        <v>#N/A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600</v>
      </c>
      <c r="R1307" s="2" t="s">
        <v>28</v>
      </c>
      <c r="S1307" s="9">
        <f t="shared" si="104"/>
        <v>0.05</v>
      </c>
    </row>
    <row r="1308" spans="1:19" x14ac:dyDescent="0.3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e">
        <f>VLOOKUP('Customer Info'!B1300,'Customer Info'!B1300:B1799,1,0)</f>
        <v>#N/A</v>
      </c>
      <c r="H1308" s="6" t="e">
        <f>VLOOKUP('Customer Info'!C1300,'Customer Info'!C1300:C1799,1)</f>
        <v>#N/A</v>
      </c>
      <c r="I1308" s="6" t="e">
        <f>VLOOKUP('Customer Info'!E1300,'Customer Info'!E1300:E1799,1,0)</f>
        <v>#N/A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12</v>
      </c>
      <c r="R1308" s="2" t="s">
        <v>56</v>
      </c>
      <c r="S1308" s="9">
        <f t="shared" si="104"/>
        <v>0.02</v>
      </c>
    </row>
    <row r="1309" spans="1:19" x14ac:dyDescent="0.3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e">
        <f>VLOOKUP('Customer Info'!B1301,'Customer Info'!B1301:B1800,1,0)</f>
        <v>#N/A</v>
      </c>
      <c r="H1309" s="6" t="e">
        <f>VLOOKUP('Customer Info'!C1301,'Customer Info'!C1301:C1800,1)</f>
        <v>#N/A</v>
      </c>
      <c r="I1309" s="6" t="e">
        <f>VLOOKUP('Customer Info'!E1301,'Customer Info'!E1301:E1800,1,0)</f>
        <v>#N/A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48</v>
      </c>
      <c r="R1309" s="2" t="s">
        <v>26</v>
      </c>
      <c r="S1309" s="9">
        <f t="shared" si="104"/>
        <v>0.02</v>
      </c>
    </row>
    <row r="1310" spans="1:19" x14ac:dyDescent="0.3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e">
        <f>VLOOKUP('Customer Info'!B1302,'Customer Info'!B1302:B1801,1,0)</f>
        <v>#N/A</v>
      </c>
      <c r="H1310" s="6" t="e">
        <f>VLOOKUP('Customer Info'!C1302,'Customer Info'!C1302:C1801,1)</f>
        <v>#N/A</v>
      </c>
      <c r="I1310" s="6" t="e">
        <f>VLOOKUP('Customer Info'!E1302,'Customer Info'!E1302:E1801,1,0)</f>
        <v>#N/A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75</v>
      </c>
      <c r="R1310" s="2" t="s">
        <v>50</v>
      </c>
      <c r="S1310" s="9">
        <f t="shared" si="104"/>
        <v>0.02</v>
      </c>
    </row>
    <row r="1311" spans="1:19" x14ac:dyDescent="0.3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e">
        <f>VLOOKUP('Customer Info'!B1303,'Customer Info'!B1303:B1802,1,0)</f>
        <v>#N/A</v>
      </c>
      <c r="H1311" s="6" t="e">
        <f>VLOOKUP('Customer Info'!C1303,'Customer Info'!C1303:C1802,1)</f>
        <v>#N/A</v>
      </c>
      <c r="I1311" s="6" t="e">
        <f>VLOOKUP('Customer Info'!E1303,'Customer Info'!E1303:E1802,1,0)</f>
        <v>#N/A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466</v>
      </c>
      <c r="R1311" s="2" t="s">
        <v>26</v>
      </c>
      <c r="S1311" s="9">
        <f t="shared" si="104"/>
        <v>0.05</v>
      </c>
    </row>
    <row r="1312" spans="1:19" x14ac:dyDescent="0.3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e">
        <f>VLOOKUP('Customer Info'!B1304,'Customer Info'!B1304:B1803,1,0)</f>
        <v>#N/A</v>
      </c>
      <c r="H1312" s="6" t="e">
        <f>VLOOKUP('Customer Info'!C1304,'Customer Info'!C1304:C1803,1)</f>
        <v>#N/A</v>
      </c>
      <c r="I1312" s="6" t="e">
        <f>VLOOKUP('Customer Info'!E1304,'Customer Info'!E1304:E1803,1,0)</f>
        <v>#N/A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72</v>
      </c>
      <c r="R1312" s="2" t="s">
        <v>28</v>
      </c>
      <c r="S1312" s="9">
        <f t="shared" si="104"/>
        <v>0.02</v>
      </c>
    </row>
    <row r="1313" spans="1:19" x14ac:dyDescent="0.3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e">
        <f>VLOOKUP('Customer Info'!B1305,'Customer Info'!B1305:B1804,1,0)</f>
        <v>#N/A</v>
      </c>
      <c r="H1313" s="6" t="e">
        <f>VLOOKUP('Customer Info'!C1305,'Customer Info'!C1305:C1804,1)</f>
        <v>#N/A</v>
      </c>
      <c r="I1313" s="6" t="e">
        <f>VLOOKUP('Customer Info'!E1305,'Customer Info'!E1305:E1804,1,0)</f>
        <v>#N/A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910</v>
      </c>
      <c r="R1313" s="2" t="s">
        <v>28</v>
      </c>
      <c r="S1313" s="9">
        <f t="shared" si="104"/>
        <v>0.05</v>
      </c>
    </row>
    <row r="1314" spans="1:19" x14ac:dyDescent="0.3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e">
        <f>VLOOKUP('Customer Info'!B1306,'Customer Info'!B1306:B1805,1,0)</f>
        <v>#N/A</v>
      </c>
      <c r="H1314" s="6" t="e">
        <f>VLOOKUP('Customer Info'!C1306,'Customer Info'!C1306:C1805,1)</f>
        <v>#N/A</v>
      </c>
      <c r="I1314" s="6" t="e">
        <f>VLOOKUP('Customer Info'!E1306,'Customer Info'!E1306:E1805,1,0)</f>
        <v>#N/A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108</v>
      </c>
      <c r="R1314" s="2" t="s">
        <v>50</v>
      </c>
      <c r="S1314" s="9">
        <f t="shared" si="104"/>
        <v>0.02</v>
      </c>
    </row>
    <row r="1315" spans="1:19" x14ac:dyDescent="0.3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e">
        <f>VLOOKUP('Customer Info'!B1307,'Customer Info'!B1307:B1806,1,0)</f>
        <v>#N/A</v>
      </c>
      <c r="H1315" s="6" t="e">
        <f>VLOOKUP('Customer Info'!C1307,'Customer Info'!C1307:C1806,1)</f>
        <v>#N/A</v>
      </c>
      <c r="I1315" s="6" t="e">
        <f>VLOOKUP('Customer Info'!E1307,'Customer Info'!E1307:E1806,1,0)</f>
        <v>#N/A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2544</v>
      </c>
      <c r="R1315" s="2" t="s">
        <v>50</v>
      </c>
      <c r="S1315" s="9">
        <f t="shared" si="104"/>
        <v>0.09</v>
      </c>
    </row>
    <row r="1316" spans="1:19" x14ac:dyDescent="0.3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e">
        <f>VLOOKUP('Customer Info'!B1308,'Customer Info'!B1308:B1807,1,0)</f>
        <v>#N/A</v>
      </c>
      <c r="H1316" s="6" t="e">
        <f>VLOOKUP('Customer Info'!C1308,'Customer Info'!C1308:C1807,1)</f>
        <v>#N/A</v>
      </c>
      <c r="I1316" s="6" t="e">
        <f>VLOOKUP('Customer Info'!E1308,'Customer Info'!E1308:E1807,1,0)</f>
        <v>#N/A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181</v>
      </c>
      <c r="R1316" s="2" t="s">
        <v>50</v>
      </c>
      <c r="S1316" s="9">
        <f t="shared" si="104"/>
        <v>0.05</v>
      </c>
    </row>
    <row r="1317" spans="1:19" x14ac:dyDescent="0.3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e">
        <f>VLOOKUP('Customer Info'!B1309,'Customer Info'!B1309:B1808,1,0)</f>
        <v>#N/A</v>
      </c>
      <c r="H1317" s="6" t="e">
        <f>VLOOKUP('Customer Info'!C1309,'Customer Info'!C1309:C1808,1)</f>
        <v>#N/A</v>
      </c>
      <c r="I1317" s="6" t="e">
        <f>VLOOKUP('Customer Info'!E1309,'Customer Info'!E1309:E1808,1,0)</f>
        <v>#N/A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104</v>
      </c>
      <c r="R1317" s="2" t="s">
        <v>50</v>
      </c>
      <c r="S1317" s="9">
        <f t="shared" si="104"/>
        <v>0.02</v>
      </c>
    </row>
    <row r="1318" spans="1:19" x14ac:dyDescent="0.3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e">
        <f>VLOOKUP('Customer Info'!B1310,'Customer Info'!B1310:B1809,1,0)</f>
        <v>#N/A</v>
      </c>
      <c r="H1318" s="6" t="e">
        <f>VLOOKUP('Customer Info'!C1310,'Customer Info'!C1310:C1809,1)</f>
        <v>#N/A</v>
      </c>
      <c r="I1318" s="6" t="e">
        <f>VLOOKUP('Customer Info'!E1310,'Customer Info'!E1310:E1809,1,0)</f>
        <v>#N/A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25</v>
      </c>
      <c r="R1318" s="2" t="s">
        <v>28</v>
      </c>
      <c r="S1318" s="9">
        <f t="shared" si="104"/>
        <v>0.02</v>
      </c>
    </row>
    <row r="1319" spans="1:19" x14ac:dyDescent="0.3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e">
        <f>VLOOKUP('Customer Info'!B1311,'Customer Info'!B1311:B1810,1,0)</f>
        <v>#N/A</v>
      </c>
      <c r="H1319" s="6" t="e">
        <f>VLOOKUP('Customer Info'!C1311,'Customer Info'!C1311:C1810,1)</f>
        <v>#N/A</v>
      </c>
      <c r="I1319" s="6" t="e">
        <f>VLOOKUP('Customer Info'!E1311,'Customer Info'!E1311:E1810,1,0)</f>
        <v>#N/A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72</v>
      </c>
      <c r="R1319" s="2" t="s">
        <v>28</v>
      </c>
      <c r="S1319" s="9">
        <f t="shared" si="104"/>
        <v>0.02</v>
      </c>
    </row>
    <row r="1320" spans="1:19" x14ac:dyDescent="0.3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e">
        <f>VLOOKUP('Customer Info'!B1312,'Customer Info'!B1312:B1811,1,0)</f>
        <v>#N/A</v>
      </c>
      <c r="H1320" s="6" t="e">
        <f>VLOOKUP('Customer Info'!C1312,'Customer Info'!C1312:C1811,1)</f>
        <v>#N/A</v>
      </c>
      <c r="I1320" s="6" t="e">
        <f>VLOOKUP('Customer Info'!E1312,'Customer Info'!E1312:E1811,1,0)</f>
        <v>#N/A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-2</v>
      </c>
      <c r="R1320" s="2" t="s">
        <v>50</v>
      </c>
      <c r="S1320" s="9">
        <f t="shared" si="104"/>
        <v>0.05</v>
      </c>
    </row>
    <row r="1321" spans="1:19" x14ac:dyDescent="0.3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e">
        <f>VLOOKUP('Customer Info'!B1313,'Customer Info'!B1313:B1812,1,0)</f>
        <v>#N/A</v>
      </c>
      <c r="H1321" s="6" t="e">
        <f>VLOOKUP('Customer Info'!C1313,'Customer Info'!C1313:C1812,1)</f>
        <v>#N/A</v>
      </c>
      <c r="I1321" s="6" t="e">
        <f>VLOOKUP('Customer Info'!E1313,'Customer Info'!E1313:E1812,1,0)</f>
        <v>#N/A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15</v>
      </c>
      <c r="R1321" s="2" t="s">
        <v>50</v>
      </c>
      <c r="S1321" s="9">
        <f t="shared" si="104"/>
        <v>0.02</v>
      </c>
    </row>
    <row r="1322" spans="1:19" x14ac:dyDescent="0.3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e">
        <f>VLOOKUP('Customer Info'!B1314,'Customer Info'!B1314:B1813,1,0)</f>
        <v>#N/A</v>
      </c>
      <c r="H1322" s="6" t="e">
        <f>VLOOKUP('Customer Info'!C1314,'Customer Info'!C1314:C1813,1)</f>
        <v>#N/A</v>
      </c>
      <c r="I1322" s="6" t="e">
        <f>VLOOKUP('Customer Info'!E1314,'Customer Info'!E1314:E1813,1,0)</f>
        <v>#N/A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28</v>
      </c>
      <c r="R1322" s="2" t="s">
        <v>50</v>
      </c>
      <c r="S1322" s="9">
        <f t="shared" si="104"/>
        <v>0.02</v>
      </c>
    </row>
    <row r="1323" spans="1:19" x14ac:dyDescent="0.3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e">
        <f>VLOOKUP('Customer Info'!B1315,'Customer Info'!B1315:B1814,1,0)</f>
        <v>#N/A</v>
      </c>
      <c r="H1323" s="6" t="e">
        <f>VLOOKUP('Customer Info'!C1315,'Customer Info'!C1315:C1814,1)</f>
        <v>#N/A</v>
      </c>
      <c r="I1323" s="6" t="e">
        <f>VLOOKUP('Customer Info'!E1315,'Customer Info'!E1315:E1814,1,0)</f>
        <v>#N/A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160</v>
      </c>
      <c r="R1323" s="2" t="s">
        <v>28</v>
      </c>
      <c r="S1323" s="9">
        <f t="shared" si="104"/>
        <v>0.02</v>
      </c>
    </row>
    <row r="1324" spans="1:19" x14ac:dyDescent="0.3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e">
        <f>VLOOKUP('Customer Info'!B1316,'Customer Info'!B1316:B1815,1,0)</f>
        <v>#N/A</v>
      </c>
      <c r="H1324" s="6" t="e">
        <f>VLOOKUP('Customer Info'!C1316,'Customer Info'!C1316:C1815,1)</f>
        <v>#N/A</v>
      </c>
      <c r="I1324" s="6" t="e">
        <f>VLOOKUP('Customer Info'!E1316,'Customer Info'!E1316:E1815,1,0)</f>
        <v>#N/A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540</v>
      </c>
      <c r="R1324" s="2" t="s">
        <v>26</v>
      </c>
      <c r="S1324" s="9">
        <f t="shared" si="104"/>
        <v>0.05</v>
      </c>
    </row>
    <row r="1325" spans="1:19" x14ac:dyDescent="0.3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e">
        <f>VLOOKUP('Customer Info'!B1317,'Customer Info'!B1317:B1816,1,0)</f>
        <v>#N/A</v>
      </c>
      <c r="H1325" s="6" t="e">
        <f>VLOOKUP('Customer Info'!C1317,'Customer Info'!C1317:C1816,1)</f>
        <v>#N/A</v>
      </c>
      <c r="I1325" s="6" t="e">
        <f>VLOOKUP('Customer Info'!E1317,'Customer Info'!E1317:E1816,1,0)</f>
        <v>#N/A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180</v>
      </c>
      <c r="R1325" s="2" t="s">
        <v>50</v>
      </c>
      <c r="S1325" s="9">
        <f t="shared" si="104"/>
        <v>0.02</v>
      </c>
    </row>
    <row r="1326" spans="1:19" x14ac:dyDescent="0.3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e">
        <f>VLOOKUP('Customer Info'!B1318,'Customer Info'!B1318:B1817,1,0)</f>
        <v>#N/A</v>
      </c>
      <c r="H1326" s="6" t="e">
        <f>VLOOKUP('Customer Info'!C1318,'Customer Info'!C1318:C1817,1)</f>
        <v>#N/A</v>
      </c>
      <c r="I1326" s="6" t="e">
        <f>VLOOKUP('Customer Info'!E1318,'Customer Info'!E1318:E1817,1,0)</f>
        <v>#N/A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246</v>
      </c>
      <c r="R1326" s="2" t="s">
        <v>50</v>
      </c>
      <c r="S1326" s="9">
        <f t="shared" si="104"/>
        <v>0.02</v>
      </c>
    </row>
    <row r="1327" spans="1:19" x14ac:dyDescent="0.3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e">
        <f>VLOOKUP('Customer Info'!B1319,'Customer Info'!B1319:B1818,1,0)</f>
        <v>#N/A</v>
      </c>
      <c r="H1327" s="6" t="e">
        <f>VLOOKUP('Customer Info'!C1319,'Customer Info'!C1319:C1818,1)</f>
        <v>#N/A</v>
      </c>
      <c r="I1327" s="6" t="e">
        <f>VLOOKUP('Customer Info'!E1319,'Customer Info'!E1319:E1818,1,0)</f>
        <v>#N/A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333</v>
      </c>
      <c r="R1327" s="2" t="s">
        <v>28</v>
      </c>
      <c r="S1327" s="9">
        <f t="shared" si="104"/>
        <v>0.02</v>
      </c>
    </row>
    <row r="1328" spans="1:19" x14ac:dyDescent="0.3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e">
        <f>VLOOKUP('Customer Info'!B1320,'Customer Info'!B1320:B1819,1,0)</f>
        <v>#N/A</v>
      </c>
      <c r="H1328" s="6" t="e">
        <f>VLOOKUP('Customer Info'!C1320,'Customer Info'!C1320:C1819,1)</f>
        <v>#N/A</v>
      </c>
      <c r="I1328" s="6" t="e">
        <f>VLOOKUP('Customer Info'!E1320,'Customer Info'!E1320:E1819,1,0)</f>
        <v>#N/A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391</v>
      </c>
      <c r="R1328" s="2" t="s">
        <v>26</v>
      </c>
      <c r="S1328" s="9">
        <f t="shared" si="104"/>
        <v>0.02</v>
      </c>
    </row>
    <row r="1329" spans="1:19" x14ac:dyDescent="0.3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e">
        <f>VLOOKUP('Customer Info'!B1321,'Customer Info'!B1321:B1820,1,0)</f>
        <v>#N/A</v>
      </c>
      <c r="H1329" s="6" t="e">
        <f>VLOOKUP('Customer Info'!C1321,'Customer Info'!C1321:C1820,1)</f>
        <v>#N/A</v>
      </c>
      <c r="I1329" s="6" t="e">
        <f>VLOOKUP('Customer Info'!E1321,'Customer Info'!E1321:E1820,1,0)</f>
        <v>#N/A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966</v>
      </c>
      <c r="R1329" s="2" t="s">
        <v>50</v>
      </c>
      <c r="S1329" s="9">
        <f t="shared" si="104"/>
        <v>0.05</v>
      </c>
    </row>
    <row r="1330" spans="1:19" x14ac:dyDescent="0.3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e">
        <f>VLOOKUP('Customer Info'!B1322,'Customer Info'!B1322:B1821,1,0)</f>
        <v>#N/A</v>
      </c>
      <c r="H1330" s="6" t="e">
        <f>VLOOKUP('Customer Info'!C1322,'Customer Info'!C1322:C1821,1)</f>
        <v>#N/A</v>
      </c>
      <c r="I1330" s="6" t="e">
        <f>VLOOKUP('Customer Info'!E1322,'Customer Info'!E1322:E1821,1,0)</f>
        <v>#N/A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722</v>
      </c>
      <c r="R1330" s="2" t="s">
        <v>28</v>
      </c>
      <c r="S1330" s="9">
        <f t="shared" si="104"/>
        <v>0.05</v>
      </c>
    </row>
    <row r="1331" spans="1:19" x14ac:dyDescent="0.3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e">
        <f>VLOOKUP('Customer Info'!B1323,'Customer Info'!B1323:B1822,1,0)</f>
        <v>#N/A</v>
      </c>
      <c r="H1331" s="6" t="e">
        <f>VLOOKUP('Customer Info'!C1323,'Customer Info'!C1323:C1822,1)</f>
        <v>#N/A</v>
      </c>
      <c r="I1331" s="6" t="e">
        <f>VLOOKUP('Customer Info'!E1323,'Customer Info'!E1323:E1822,1,0)</f>
        <v>#N/A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582</v>
      </c>
      <c r="R1331" s="2" t="s">
        <v>26</v>
      </c>
      <c r="S1331" s="9">
        <f t="shared" si="104"/>
        <v>0.05</v>
      </c>
    </row>
    <row r="1332" spans="1:19" x14ac:dyDescent="0.3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e">
        <f>VLOOKUP('Customer Info'!B1324,'Customer Info'!B1324:B1823,1,0)</f>
        <v>#N/A</v>
      </c>
      <c r="H1332" s="6" t="e">
        <f>VLOOKUP('Customer Info'!C1324,'Customer Info'!C1324:C1823,1)</f>
        <v>#N/A</v>
      </c>
      <c r="I1332" s="6" t="e">
        <f>VLOOKUP('Customer Info'!E1324,'Customer Info'!E1324:E1823,1,0)</f>
        <v>#N/A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297</v>
      </c>
      <c r="R1332" s="2" t="s">
        <v>28</v>
      </c>
      <c r="S1332" s="9">
        <f t="shared" si="104"/>
        <v>0.02</v>
      </c>
    </row>
    <row r="1333" spans="1:19" x14ac:dyDescent="0.3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e">
        <f>VLOOKUP('Customer Info'!B1325,'Customer Info'!B1325:B1824,1,0)</f>
        <v>#N/A</v>
      </c>
      <c r="H1333" s="6" t="e">
        <f>VLOOKUP('Customer Info'!C1325,'Customer Info'!C1325:C1824,1)</f>
        <v>#N/A</v>
      </c>
      <c r="I1333" s="6" t="e">
        <f>VLOOKUP('Customer Info'!E1325,'Customer Info'!E1325:E1824,1,0)</f>
        <v>#N/A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390</v>
      </c>
      <c r="R1333" s="2" t="s">
        <v>28</v>
      </c>
      <c r="S1333" s="9">
        <f t="shared" si="104"/>
        <v>0.02</v>
      </c>
    </row>
    <row r="1334" spans="1:19" x14ac:dyDescent="0.3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e">
        <f>VLOOKUP('Customer Info'!B1326,'Customer Info'!B1326:B1825,1,0)</f>
        <v>#N/A</v>
      </c>
      <c r="H1334" s="6" t="e">
        <f>VLOOKUP('Customer Info'!C1326,'Customer Info'!C1326:C1825,1)</f>
        <v>#N/A</v>
      </c>
      <c r="I1334" s="6" t="e">
        <f>VLOOKUP('Customer Info'!E1326,'Customer Info'!E1326:E1825,1,0)</f>
        <v>#N/A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197</v>
      </c>
      <c r="R1334" s="2" t="s">
        <v>50</v>
      </c>
      <c r="S1334" s="9">
        <f t="shared" si="104"/>
        <v>0.05</v>
      </c>
    </row>
    <row r="1335" spans="1:19" x14ac:dyDescent="0.3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e">
        <f>VLOOKUP('Customer Info'!B1327,'Customer Info'!B1327:B1826,1,0)</f>
        <v>#N/A</v>
      </c>
      <c r="H1335" s="6" t="e">
        <f>VLOOKUP('Customer Info'!C1327,'Customer Info'!C1327:C1826,1)</f>
        <v>#N/A</v>
      </c>
      <c r="I1335" s="6" t="e">
        <f>VLOOKUP('Customer Info'!E1327,'Customer Info'!E1327:E1826,1,0)</f>
        <v>#N/A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690</v>
      </c>
      <c r="R1335" s="2" t="s">
        <v>28</v>
      </c>
      <c r="S1335" s="9">
        <f t="shared" si="104"/>
        <v>0.05</v>
      </c>
    </row>
    <row r="1336" spans="1:19" x14ac:dyDescent="0.3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e">
        <f>VLOOKUP('Customer Info'!B1328,'Customer Info'!B1328:B1827,1,0)</f>
        <v>#N/A</v>
      </c>
      <c r="H1336" s="6" t="e">
        <f>VLOOKUP('Customer Info'!C1328,'Customer Info'!C1328:C1827,1)</f>
        <v>#N/A</v>
      </c>
      <c r="I1336" s="6" t="e">
        <f>VLOOKUP('Customer Info'!E1328,'Customer Info'!E1328:E1827,1,0)</f>
        <v>#N/A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450</v>
      </c>
      <c r="R1336" s="2" t="s">
        <v>56</v>
      </c>
      <c r="S1336" s="9">
        <f t="shared" si="104"/>
        <v>0.02</v>
      </c>
    </row>
    <row r="1337" spans="1:19" x14ac:dyDescent="0.3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e">
        <f>VLOOKUP('Customer Info'!B1329,'Customer Info'!B1329:B1828,1,0)</f>
        <v>#N/A</v>
      </c>
      <c r="H1337" s="6" t="e">
        <f>VLOOKUP('Customer Info'!C1329,'Customer Info'!C1329:C1828,1)</f>
        <v>#N/A</v>
      </c>
      <c r="I1337" s="6" t="e">
        <f>VLOOKUP('Customer Info'!E1329,'Customer Info'!E1329:E1828,1,0)</f>
        <v>#N/A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365</v>
      </c>
      <c r="R1337" s="2" t="s">
        <v>28</v>
      </c>
      <c r="S1337" s="9">
        <f t="shared" si="104"/>
        <v>0.02</v>
      </c>
    </row>
    <row r="1338" spans="1:19" x14ac:dyDescent="0.3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e">
        <f>VLOOKUP('Customer Info'!B1330,'Customer Info'!B1330:B1829,1,0)</f>
        <v>#N/A</v>
      </c>
      <c r="H1338" s="6" t="e">
        <f>VLOOKUP('Customer Info'!C1330,'Customer Info'!C1330:C1829,1)</f>
        <v>#N/A</v>
      </c>
      <c r="I1338" s="6" t="e">
        <f>VLOOKUP('Customer Info'!E1330,'Customer Info'!E1330:E1829,1,0)</f>
        <v>#N/A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5</v>
      </c>
      <c r="R1338" s="2" t="s">
        <v>28</v>
      </c>
      <c r="S1338" s="9">
        <f t="shared" si="104"/>
        <v>0.02</v>
      </c>
    </row>
    <row r="1339" spans="1:19" x14ac:dyDescent="0.3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e">
        <f>VLOOKUP('Customer Info'!B1331,'Customer Info'!B1331:B1830,1,0)</f>
        <v>#N/A</v>
      </c>
      <c r="H1339" s="6" t="e">
        <f>VLOOKUP('Customer Info'!C1331,'Customer Info'!C1331:C1830,1)</f>
        <v>#N/A</v>
      </c>
      <c r="I1339" s="6" t="e">
        <f>VLOOKUP('Customer Info'!E1331,'Customer Info'!E1331:E1830,1,0)</f>
        <v>#N/A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656</v>
      </c>
      <c r="R1339" s="2" t="s">
        <v>26</v>
      </c>
      <c r="S1339" s="9">
        <f t="shared" si="104"/>
        <v>0.05</v>
      </c>
    </row>
    <row r="1340" spans="1:19" x14ac:dyDescent="0.3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e">
        <f>VLOOKUP('Customer Info'!B1332,'Customer Info'!B1332:B1831,1,0)</f>
        <v>#N/A</v>
      </c>
      <c r="H1340" s="6" t="e">
        <f>VLOOKUP('Customer Info'!C1332,'Customer Info'!C1332:C1831,1)</f>
        <v>#N/A</v>
      </c>
      <c r="I1340" s="6" t="e">
        <f>VLOOKUP('Customer Info'!E1332,'Customer Info'!E1332:E1831,1,0)</f>
        <v>#N/A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147</v>
      </c>
      <c r="R1340" s="2" t="s">
        <v>50</v>
      </c>
      <c r="S1340" s="9">
        <f t="shared" si="104"/>
        <v>0.05</v>
      </c>
    </row>
    <row r="1341" spans="1:19" x14ac:dyDescent="0.3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e">
        <f>VLOOKUP('Customer Info'!B1333,'Customer Info'!B1333:B1832,1,0)</f>
        <v>#N/A</v>
      </c>
      <c r="H1341" s="6" t="e">
        <f>VLOOKUP('Customer Info'!C1333,'Customer Info'!C1333:C1832,1)</f>
        <v>#N/A</v>
      </c>
      <c r="I1341" s="6" t="e">
        <f>VLOOKUP('Customer Info'!E1333,'Customer Info'!E1333:E1832,1,0)</f>
        <v>#N/A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10</v>
      </c>
      <c r="R1341" s="2" t="s">
        <v>28</v>
      </c>
      <c r="S1341" s="9">
        <f t="shared" si="104"/>
        <v>0.02</v>
      </c>
    </row>
    <row r="1342" spans="1:19" x14ac:dyDescent="0.3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e">
        <f>VLOOKUP('Customer Info'!B1334,'Customer Info'!B1334:B1833,1,0)</f>
        <v>#N/A</v>
      </c>
      <c r="H1342" s="6" t="e">
        <f>VLOOKUP('Customer Info'!C1334,'Customer Info'!C1334:C1833,1)</f>
        <v>#N/A</v>
      </c>
      <c r="I1342" s="6" t="e">
        <f>VLOOKUP('Customer Info'!E1334,'Customer Info'!E1334:E1833,1,0)</f>
        <v>#N/A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736</v>
      </c>
      <c r="R1342" s="2" t="s">
        <v>50</v>
      </c>
      <c r="S1342" s="9">
        <f t="shared" si="104"/>
        <v>0.05</v>
      </c>
    </row>
    <row r="1343" spans="1:19" x14ac:dyDescent="0.3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e">
        <f>VLOOKUP('Customer Info'!B1335,'Customer Info'!B1335:B1834,1,0)</f>
        <v>#N/A</v>
      </c>
      <c r="H1343" s="6" t="e">
        <f>VLOOKUP('Customer Info'!C1335,'Customer Info'!C1335:C1834,1)</f>
        <v>#N/A</v>
      </c>
      <c r="I1343" s="6" t="e">
        <f>VLOOKUP('Customer Info'!E1335,'Customer Info'!E1335:E1834,1,0)</f>
        <v>#N/A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525</v>
      </c>
      <c r="R1343" s="2" t="s">
        <v>28</v>
      </c>
      <c r="S1343" s="9">
        <f t="shared" si="104"/>
        <v>0.05</v>
      </c>
    </row>
    <row r="1344" spans="1:19" x14ac:dyDescent="0.3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e">
        <f>VLOOKUP('Customer Info'!B1336,'Customer Info'!B1336:B1835,1,0)</f>
        <v>#N/A</v>
      </c>
      <c r="H1344" s="6" t="e">
        <f>VLOOKUP('Customer Info'!C1336,'Customer Info'!C1336:C1835,1)</f>
        <v>#N/A</v>
      </c>
      <c r="I1344" s="6" t="e">
        <f>VLOOKUP('Customer Info'!E1336,'Customer Info'!E1336:E1835,1,0)</f>
        <v>#N/A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164</v>
      </c>
      <c r="R1344" s="2" t="s">
        <v>50</v>
      </c>
      <c r="S1344" s="9">
        <f t="shared" si="104"/>
        <v>0.02</v>
      </c>
    </row>
    <row r="1345" spans="1:19" x14ac:dyDescent="0.3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e">
        <f>VLOOKUP('Customer Info'!B1337,'Customer Info'!B1337:B1836,1,0)</f>
        <v>#N/A</v>
      </c>
      <c r="H1345" s="6" t="e">
        <f>VLOOKUP('Customer Info'!C1337,'Customer Info'!C1337:C1836,1)</f>
        <v>#N/A</v>
      </c>
      <c r="I1345" s="6" t="e">
        <f>VLOOKUP('Customer Info'!E1337,'Customer Info'!E1337:E1836,1,0)</f>
        <v>#N/A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2826</v>
      </c>
      <c r="R1345" s="2" t="s">
        <v>50</v>
      </c>
      <c r="S1345" s="9">
        <f t="shared" si="104"/>
        <v>7.0000000000000007E-2</v>
      </c>
    </row>
    <row r="1346" spans="1:19" x14ac:dyDescent="0.3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e">
        <f>VLOOKUP('Customer Info'!B1338,'Customer Info'!B1338:B1837,1,0)</f>
        <v>#N/A</v>
      </c>
      <c r="H1346" s="6" t="e">
        <f>VLOOKUP('Customer Info'!C1338,'Customer Info'!C1338:C1837,1)</f>
        <v>#N/A</v>
      </c>
      <c r="I1346" s="6" t="e">
        <f>VLOOKUP('Customer Info'!E1338,'Customer Info'!E1338:E1837,1,0)</f>
        <v>#N/A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132</v>
      </c>
      <c r="R1346" s="2" t="s">
        <v>50</v>
      </c>
      <c r="S1346" s="9">
        <f t="shared" si="104"/>
        <v>0.02</v>
      </c>
    </row>
    <row r="1347" spans="1:19" x14ac:dyDescent="0.3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e">
        <f>VLOOKUP('Customer Info'!B1339,'Customer Info'!B1339:B1838,1,0)</f>
        <v>#N/A</v>
      </c>
      <c r="H1347" s="6" t="e">
        <f>VLOOKUP('Customer Info'!C1339,'Customer Info'!C1339:C1838,1)</f>
        <v>#N/A</v>
      </c>
      <c r="I1347" s="6" t="e">
        <f>VLOOKUP('Customer Info'!E1339,'Customer Info'!E1339:E1838,1,0)</f>
        <v>#N/A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17</v>
      </c>
      <c r="R1347" s="2" t="s">
        <v>28</v>
      </c>
      <c r="S1347" s="9">
        <f t="shared" si="104"/>
        <v>0.02</v>
      </c>
    </row>
    <row r="1348" spans="1:19" x14ac:dyDescent="0.3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e">
        <f>VLOOKUP('Customer Info'!B1340,'Customer Info'!B1340:B1839,1,0)</f>
        <v>#N/A</v>
      </c>
      <c r="H1348" s="6" t="e">
        <f>VLOOKUP('Customer Info'!C1340,'Customer Info'!C1340:C1839,1)</f>
        <v>#N/A</v>
      </c>
      <c r="I1348" s="6" t="e">
        <f>VLOOKUP('Customer Info'!E1340,'Customer Info'!E1340:E1839,1,0)</f>
        <v>#N/A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504</v>
      </c>
      <c r="R1348" s="2" t="s">
        <v>50</v>
      </c>
      <c r="S1348" s="9">
        <f t="shared" si="104"/>
        <v>0.05</v>
      </c>
    </row>
    <row r="1349" spans="1:19" x14ac:dyDescent="0.3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e">
        <f>VLOOKUP('Customer Info'!B1341,'Customer Info'!B1341:B1840,1,0)</f>
        <v>#N/A</v>
      </c>
      <c r="H1349" s="6" t="e">
        <f>VLOOKUP('Customer Info'!C1341,'Customer Info'!C1341:C1840,1)</f>
        <v>#N/A</v>
      </c>
      <c r="I1349" s="6" t="e">
        <f>VLOOKUP('Customer Info'!E1341,'Customer Info'!E1341:E1840,1,0)</f>
        <v>#N/A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90</v>
      </c>
      <c r="R1349" s="2" t="s">
        <v>28</v>
      </c>
      <c r="S1349" s="9">
        <f t="shared" si="104"/>
        <v>0.02</v>
      </c>
    </row>
    <row r="1350" spans="1:19" x14ac:dyDescent="0.3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e">
        <f>VLOOKUP('Customer Info'!B1342,'Customer Info'!B1342:B1841,1,0)</f>
        <v>#N/A</v>
      </c>
      <c r="H1350" s="6" t="e">
        <f>VLOOKUP('Customer Info'!C1342,'Customer Info'!C1342:C1841,1)</f>
        <v>#N/A</v>
      </c>
      <c r="I1350" s="6" t="e">
        <f>VLOOKUP('Customer Info'!E1342,'Customer Info'!E1342:E1841,1,0)</f>
        <v>#N/A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116</v>
      </c>
      <c r="R1350" s="2" t="s">
        <v>28</v>
      </c>
      <c r="S1350" s="9">
        <f t="shared" si="104"/>
        <v>0.02</v>
      </c>
    </row>
    <row r="1351" spans="1:19" x14ac:dyDescent="0.3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e">
        <f>VLOOKUP('Customer Info'!B1343,'Customer Info'!B1343:B1842,1,0)</f>
        <v>#N/A</v>
      </c>
      <c r="H1351" s="6" t="e">
        <f>VLOOKUP('Customer Info'!C1343,'Customer Info'!C1343:C1842,1)</f>
        <v>#N/A</v>
      </c>
      <c r="I1351" s="6" t="e">
        <f>VLOOKUP('Customer Info'!E1343,'Customer Info'!E1343:E1842,1,0)</f>
        <v>#N/A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550</v>
      </c>
      <c r="R1351" s="2" t="s">
        <v>28</v>
      </c>
      <c r="S1351" s="9">
        <f t="shared" si="104"/>
        <v>0.05</v>
      </c>
    </row>
    <row r="1352" spans="1:19" x14ac:dyDescent="0.3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e">
        <f>VLOOKUP('Customer Info'!B1344,'Customer Info'!B1344:B1843,1,0)</f>
        <v>#N/A</v>
      </c>
      <c r="H1352" s="6" t="e">
        <f>VLOOKUP('Customer Info'!C1344,'Customer Info'!C1344:C1843,1)</f>
        <v>#N/A</v>
      </c>
      <c r="I1352" s="6" t="e">
        <f>VLOOKUP('Customer Info'!E1344,'Customer Info'!E1344:E1843,1,0)</f>
        <v>#N/A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1280</v>
      </c>
      <c r="R1352" s="2" t="s">
        <v>28</v>
      </c>
      <c r="S1352" s="9">
        <f t="shared" si="104"/>
        <v>0.05</v>
      </c>
    </row>
    <row r="1353" spans="1:19" x14ac:dyDescent="0.3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e">
        <f>VLOOKUP('Customer Info'!B1345,'Customer Info'!B1345:B1844,1,0)</f>
        <v>#N/A</v>
      </c>
      <c r="H1353" s="6" t="e">
        <f>VLOOKUP('Customer Info'!C1345,'Customer Info'!C1345:C1844,1)</f>
        <v>#N/A</v>
      </c>
      <c r="I1353" s="6" t="e">
        <f>VLOOKUP('Customer Info'!E1345,'Customer Info'!E1345:E1844,1,0)</f>
        <v>#N/A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1548</v>
      </c>
      <c r="R1353" s="2" t="s">
        <v>50</v>
      </c>
      <c r="S1353" s="9">
        <f t="shared" si="104"/>
        <v>0.05</v>
      </c>
    </row>
    <row r="1354" spans="1:19" x14ac:dyDescent="0.3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e">
        <f>VLOOKUP('Customer Info'!B1346,'Customer Info'!B1346:B1845,1,0)</f>
        <v>#N/A</v>
      </c>
      <c r="H1354" s="6" t="e">
        <f>VLOOKUP('Customer Info'!C1346,'Customer Info'!C1346:C1845,1)</f>
        <v>#N/A</v>
      </c>
      <c r="I1354" s="6" t="e">
        <f>VLOOKUP('Customer Info'!E1346,'Customer Info'!E1346:E1845,1,0)</f>
        <v>#N/A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108</v>
      </c>
      <c r="R1354" s="2" t="s">
        <v>28</v>
      </c>
      <c r="S1354" s="9">
        <f t="shared" si="104"/>
        <v>0.02</v>
      </c>
    </row>
    <row r="1355" spans="1:19" x14ac:dyDescent="0.3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e">
        <f>VLOOKUP('Customer Info'!B1347,'Customer Info'!B1347:B1846,1,0)</f>
        <v>#N/A</v>
      </c>
      <c r="H1355" s="6" t="e">
        <f>VLOOKUP('Customer Info'!C1347,'Customer Info'!C1347:C1846,1)</f>
        <v>#N/A</v>
      </c>
      <c r="I1355" s="6" t="e">
        <f>VLOOKUP('Customer Info'!E1347,'Customer Info'!E1347:E1846,1,0)</f>
        <v>#N/A</v>
      </c>
      <c r="J1355" s="2">
        <v>1358</v>
      </c>
      <c r="K1355" s="2">
        <v>1257</v>
      </c>
      <c r="L1355" s="2">
        <v>2</v>
      </c>
      <c r="M1355" s="7">
        <f t="shared" ref="M1355:M1418" si="105">(K1355*L1355)</f>
        <v>2514</v>
      </c>
      <c r="N1355" s="7">
        <f t="shared" ref="N1355:N1418" si="106">(J1355*L1355)</f>
        <v>2716</v>
      </c>
      <c r="O1355" s="2">
        <v>33</v>
      </c>
      <c r="P1355" s="8">
        <f t="shared" ref="P1355:P1418" si="107">(N1355+O1355)</f>
        <v>2749</v>
      </c>
      <c r="Q1355" s="8">
        <f t="shared" ref="Q1355:Q1418" si="108">(N1355-M1355)</f>
        <v>202</v>
      </c>
      <c r="R1355" s="2" t="s">
        <v>28</v>
      </c>
      <c r="S1355" s="9">
        <f t="shared" ref="S1355:S1418" si="109">_xlfn.IFS(P1355&gt;250000,0.15,P1355&gt;100000,0.12,P1355&gt;50000,0.09,P1355&gt;25000,0.07,P1355&gt;5000,0.05,
 TRUE,0.02)</f>
        <v>0.02</v>
      </c>
    </row>
    <row r="1356" spans="1:19" x14ac:dyDescent="0.3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e">
        <f>VLOOKUP('Customer Info'!B1348,'Customer Info'!B1348:B1847,1,0)</f>
        <v>#N/A</v>
      </c>
      <c r="H1356" s="6" t="e">
        <f>VLOOKUP('Customer Info'!C1348,'Customer Info'!C1348:C1847,1)</f>
        <v>#N/A</v>
      </c>
      <c r="I1356" s="6" t="e">
        <f>VLOOKUP('Customer Info'!E1348,'Customer Info'!E1348:E1847,1,0)</f>
        <v>#N/A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588</v>
      </c>
      <c r="R1356" s="2" t="s">
        <v>50</v>
      </c>
      <c r="S1356" s="9">
        <f t="shared" si="109"/>
        <v>0.05</v>
      </c>
    </row>
    <row r="1357" spans="1:19" x14ac:dyDescent="0.3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e">
        <f>VLOOKUP('Customer Info'!B1349,'Customer Info'!B1349:B1848,1,0)</f>
        <v>#N/A</v>
      </c>
      <c r="H1357" s="6" t="e">
        <f>VLOOKUP('Customer Info'!C1349,'Customer Info'!C1349:C1848,1)</f>
        <v>#N/A</v>
      </c>
      <c r="I1357" s="6" t="e">
        <f>VLOOKUP('Customer Info'!E1349,'Customer Info'!E1349:E1848,1,0)</f>
        <v>#N/A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72</v>
      </c>
      <c r="R1357" s="2" t="s">
        <v>28</v>
      </c>
      <c r="S1357" s="9">
        <f t="shared" si="109"/>
        <v>0.02</v>
      </c>
    </row>
    <row r="1358" spans="1:19" x14ac:dyDescent="0.3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e">
        <f>VLOOKUP('Customer Info'!B1350,'Customer Info'!B1350:B1849,1,0)</f>
        <v>#N/A</v>
      </c>
      <c r="H1358" s="6" t="e">
        <f>VLOOKUP('Customer Info'!C1350,'Customer Info'!C1350:C1849,1)</f>
        <v>#N/A</v>
      </c>
      <c r="I1358" s="6" t="e">
        <f>VLOOKUP('Customer Info'!E1350,'Customer Info'!E1350:E1849,1,0)</f>
        <v>#N/A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354</v>
      </c>
      <c r="R1358" s="2" t="s">
        <v>50</v>
      </c>
      <c r="S1358" s="9">
        <f t="shared" si="109"/>
        <v>0.05</v>
      </c>
    </row>
    <row r="1359" spans="1:19" x14ac:dyDescent="0.3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e">
        <f>VLOOKUP('Customer Info'!B1351,'Customer Info'!B1351:B1850,1,0)</f>
        <v>#N/A</v>
      </c>
      <c r="H1359" s="6" t="e">
        <f>VLOOKUP('Customer Info'!C1351,'Customer Info'!C1351:C1850,1)</f>
        <v>#N/A</v>
      </c>
      <c r="I1359" s="6" t="e">
        <f>VLOOKUP('Customer Info'!E1351,'Customer Info'!E1351:E1850,1,0)</f>
        <v>#N/A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10</v>
      </c>
      <c r="R1359" s="2" t="s">
        <v>28</v>
      </c>
      <c r="S1359" s="9">
        <f t="shared" si="109"/>
        <v>0.02</v>
      </c>
    </row>
    <row r="1360" spans="1:19" x14ac:dyDescent="0.3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e">
        <f>VLOOKUP('Customer Info'!B1352,'Customer Info'!B1352:B1851,1,0)</f>
        <v>#N/A</v>
      </c>
      <c r="H1360" s="6" t="e">
        <f>VLOOKUP('Customer Info'!C1352,'Customer Info'!C1352:C1851,1)</f>
        <v>#N/A</v>
      </c>
      <c r="I1360" s="6" t="e">
        <f>VLOOKUP('Customer Info'!E1352,'Customer Info'!E1352:E1851,1,0)</f>
        <v>#N/A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288</v>
      </c>
      <c r="R1360" s="2" t="s">
        <v>50</v>
      </c>
      <c r="S1360" s="9">
        <f t="shared" si="109"/>
        <v>0.02</v>
      </c>
    </row>
    <row r="1361" spans="1:19" x14ac:dyDescent="0.3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e">
        <f>VLOOKUP('Customer Info'!B1353,'Customer Info'!B1353:B1852,1,0)</f>
        <v>#N/A</v>
      </c>
      <c r="H1361" s="6" t="e">
        <f>VLOOKUP('Customer Info'!C1353,'Customer Info'!C1353:C1852,1)</f>
        <v>#N/A</v>
      </c>
      <c r="I1361" s="6" t="e">
        <f>VLOOKUP('Customer Info'!E1353,'Customer Info'!E1353:E1852,1,0)</f>
        <v>#N/A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44</v>
      </c>
      <c r="R1361" s="2" t="s">
        <v>50</v>
      </c>
      <c r="S1361" s="9">
        <f t="shared" si="109"/>
        <v>0.02</v>
      </c>
    </row>
    <row r="1362" spans="1:19" x14ac:dyDescent="0.3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e">
        <f>VLOOKUP('Customer Info'!B1354,'Customer Info'!B1354:B1853,1,0)</f>
        <v>#N/A</v>
      </c>
      <c r="H1362" s="6" t="e">
        <f>VLOOKUP('Customer Info'!C1354,'Customer Info'!C1354:C1853,1)</f>
        <v>#N/A</v>
      </c>
      <c r="I1362" s="6" t="e">
        <f>VLOOKUP('Customer Info'!E1354,'Customer Info'!E1354:E1853,1,0)</f>
        <v>#N/A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705</v>
      </c>
      <c r="R1362" s="2" t="s">
        <v>28</v>
      </c>
      <c r="S1362" s="9">
        <f t="shared" si="109"/>
        <v>0.05</v>
      </c>
    </row>
    <row r="1363" spans="1:19" x14ac:dyDescent="0.3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e">
        <f>VLOOKUP('Customer Info'!B1355,'Customer Info'!B1355:B1854,1,0)</f>
        <v>#N/A</v>
      </c>
      <c r="H1363" s="6" t="e">
        <f>VLOOKUP('Customer Info'!C1355,'Customer Info'!C1355:C1854,1)</f>
        <v>#N/A</v>
      </c>
      <c r="I1363" s="6" t="e">
        <f>VLOOKUP('Customer Info'!E1355,'Customer Info'!E1355:E1854,1,0)</f>
        <v>#N/A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284</v>
      </c>
      <c r="R1363" s="2" t="s">
        <v>28</v>
      </c>
      <c r="S1363" s="9">
        <f t="shared" si="109"/>
        <v>0.02</v>
      </c>
    </row>
    <row r="1364" spans="1:19" x14ac:dyDescent="0.3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e">
        <f>VLOOKUP('Customer Info'!B1356,'Customer Info'!B1356:B1855,1,0)</f>
        <v>#N/A</v>
      </c>
      <c r="H1364" s="6" t="e">
        <f>VLOOKUP('Customer Info'!C1356,'Customer Info'!C1356:C1855,1)</f>
        <v>#N/A</v>
      </c>
      <c r="I1364" s="6" t="e">
        <f>VLOOKUP('Customer Info'!E1356,'Customer Info'!E1356:E1855,1,0)</f>
        <v>#N/A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84</v>
      </c>
      <c r="R1364" s="2" t="s">
        <v>28</v>
      </c>
      <c r="S1364" s="9">
        <f t="shared" si="109"/>
        <v>0.02</v>
      </c>
    </row>
    <row r="1365" spans="1:19" x14ac:dyDescent="0.3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e">
        <f>VLOOKUP('Customer Info'!B1357,'Customer Info'!B1357:B1856,1,0)</f>
        <v>#N/A</v>
      </c>
      <c r="H1365" s="6" t="e">
        <f>VLOOKUP('Customer Info'!C1357,'Customer Info'!C1357:C1856,1)</f>
        <v>#N/A</v>
      </c>
      <c r="I1365" s="6" t="e">
        <f>VLOOKUP('Customer Info'!E1357,'Customer Info'!E1357:E1856,1,0)</f>
        <v>#N/A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72</v>
      </c>
      <c r="R1365" s="2" t="s">
        <v>50</v>
      </c>
      <c r="S1365" s="9">
        <f t="shared" si="109"/>
        <v>0.02</v>
      </c>
    </row>
    <row r="1366" spans="1:19" x14ac:dyDescent="0.3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e">
        <f>VLOOKUP('Customer Info'!B1358,'Customer Info'!B1358:B1857,1,0)</f>
        <v>#N/A</v>
      </c>
      <c r="H1366" s="6" t="e">
        <f>VLOOKUP('Customer Info'!C1358,'Customer Info'!C1358:C1857,1)</f>
        <v>#N/A</v>
      </c>
      <c r="I1366" s="6" t="e">
        <f>VLOOKUP('Customer Info'!E1358,'Customer Info'!E1358:E1857,1,0)</f>
        <v>#N/A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24</v>
      </c>
      <c r="R1366" s="2" t="s">
        <v>26</v>
      </c>
      <c r="S1366" s="9">
        <f t="shared" si="109"/>
        <v>0.02</v>
      </c>
    </row>
    <row r="1367" spans="1:19" x14ac:dyDescent="0.3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e">
        <f>VLOOKUP('Customer Info'!B1359,'Customer Info'!B1359:B1858,1,0)</f>
        <v>#N/A</v>
      </c>
      <c r="H1367" s="6" t="e">
        <f>VLOOKUP('Customer Info'!C1359,'Customer Info'!C1359:C1858,1)</f>
        <v>#N/A</v>
      </c>
      <c r="I1367" s="6" t="e">
        <f>VLOOKUP('Customer Info'!E1359,'Customer Info'!E1359:E1858,1,0)</f>
        <v>#N/A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11304</v>
      </c>
      <c r="R1367" s="2" t="s">
        <v>28</v>
      </c>
      <c r="S1367" s="9">
        <f t="shared" si="109"/>
        <v>0.12</v>
      </c>
    </row>
    <row r="1368" spans="1:19" x14ac:dyDescent="0.3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e">
        <f>VLOOKUP('Customer Info'!B1360,'Customer Info'!B1360:B1859,1,0)</f>
        <v>#N/A</v>
      </c>
      <c r="H1368" s="6" t="e">
        <f>VLOOKUP('Customer Info'!C1360,'Customer Info'!C1360:C1859,1)</f>
        <v>#N/A</v>
      </c>
      <c r="I1368" s="6" t="e">
        <f>VLOOKUP('Customer Info'!E1360,'Customer Info'!E1360:E1859,1,0)</f>
        <v>#N/A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872</v>
      </c>
      <c r="R1368" s="2" t="s">
        <v>28</v>
      </c>
      <c r="S1368" s="9">
        <f t="shared" si="109"/>
        <v>0.05</v>
      </c>
    </row>
    <row r="1369" spans="1:19" x14ac:dyDescent="0.3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e">
        <f>VLOOKUP('Customer Info'!B1361,'Customer Info'!B1361:B1860,1,0)</f>
        <v>#N/A</v>
      </c>
      <c r="H1369" s="6" t="e">
        <f>VLOOKUP('Customer Info'!C1361,'Customer Info'!C1361:C1860,1)</f>
        <v>#N/A</v>
      </c>
      <c r="I1369" s="6" t="e">
        <f>VLOOKUP('Customer Info'!E1361,'Customer Info'!E1361:E1860,1,0)</f>
        <v>#N/A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31</v>
      </c>
      <c r="R1369" s="2" t="s">
        <v>50</v>
      </c>
      <c r="S1369" s="9">
        <f t="shared" si="109"/>
        <v>0.02</v>
      </c>
    </row>
    <row r="1370" spans="1:19" x14ac:dyDescent="0.3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e">
        <f>VLOOKUP('Customer Info'!B1362,'Customer Info'!B1362:B1861,1,0)</f>
        <v>#N/A</v>
      </c>
      <c r="H1370" s="6" t="e">
        <f>VLOOKUP('Customer Info'!C1362,'Customer Info'!C1362:C1861,1)</f>
        <v>#N/A</v>
      </c>
      <c r="I1370" s="6" t="e">
        <f>VLOOKUP('Customer Info'!E1362,'Customer Info'!E1362:E1861,1,0)</f>
        <v>#N/A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72</v>
      </c>
      <c r="R1370" s="2" t="s">
        <v>28</v>
      </c>
      <c r="S1370" s="9">
        <f t="shared" si="109"/>
        <v>0.02</v>
      </c>
    </row>
    <row r="1371" spans="1:19" x14ac:dyDescent="0.3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e">
        <f>VLOOKUP('Customer Info'!B1363,'Customer Info'!B1363:B1862,1,0)</f>
        <v>#N/A</v>
      </c>
      <c r="H1371" s="6" t="e">
        <f>VLOOKUP('Customer Info'!C1363,'Customer Info'!C1363:C1862,1)</f>
        <v>#N/A</v>
      </c>
      <c r="I1371" s="6" t="e">
        <f>VLOOKUP('Customer Info'!E1363,'Customer Info'!E1363:E1862,1,0)</f>
        <v>#N/A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72</v>
      </c>
      <c r="R1371" s="2" t="s">
        <v>28</v>
      </c>
      <c r="S1371" s="9">
        <f t="shared" si="109"/>
        <v>0.02</v>
      </c>
    </row>
    <row r="1372" spans="1:19" x14ac:dyDescent="0.3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e">
        <f>VLOOKUP('Customer Info'!B1364,'Customer Info'!B1364:B1863,1,0)</f>
        <v>#N/A</v>
      </c>
      <c r="H1372" s="6" t="e">
        <f>VLOOKUP('Customer Info'!C1364,'Customer Info'!C1364:C1863,1)</f>
        <v>#N/A</v>
      </c>
      <c r="I1372" s="6" t="e">
        <f>VLOOKUP('Customer Info'!E1364,'Customer Info'!E1364:E1863,1,0)</f>
        <v>#N/A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882</v>
      </c>
      <c r="R1372" s="2" t="s">
        <v>28</v>
      </c>
      <c r="S1372" s="9">
        <f t="shared" si="109"/>
        <v>0.05</v>
      </c>
    </row>
    <row r="1373" spans="1:19" x14ac:dyDescent="0.3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e">
        <f>VLOOKUP('Customer Info'!B1365,'Customer Info'!B1365:B1864,1,0)</f>
        <v>#N/A</v>
      </c>
      <c r="H1373" s="6" t="e">
        <f>VLOOKUP('Customer Info'!C1365,'Customer Info'!C1365:C1864,1)</f>
        <v>#N/A</v>
      </c>
      <c r="I1373" s="6" t="e">
        <f>VLOOKUP('Customer Info'!E1365,'Customer Info'!E1365:E1864,1,0)</f>
        <v>#N/A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54</v>
      </c>
      <c r="R1373" s="2" t="s">
        <v>50</v>
      </c>
      <c r="S1373" s="9">
        <f t="shared" si="109"/>
        <v>0.02</v>
      </c>
    </row>
    <row r="1374" spans="1:19" x14ac:dyDescent="0.3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e">
        <f>VLOOKUP('Customer Info'!B1366,'Customer Info'!B1366:B1865,1,0)</f>
        <v>#N/A</v>
      </c>
      <c r="H1374" s="6" t="e">
        <f>VLOOKUP('Customer Info'!C1366,'Customer Info'!C1366:C1865,1)</f>
        <v>#N/A</v>
      </c>
      <c r="I1374" s="6" t="e">
        <f>VLOOKUP('Customer Info'!E1366,'Customer Info'!E1366:E1865,1,0)</f>
        <v>#N/A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468</v>
      </c>
      <c r="R1374" s="2" t="s">
        <v>28</v>
      </c>
      <c r="S1374" s="9">
        <f t="shared" si="109"/>
        <v>0.05</v>
      </c>
    </row>
    <row r="1375" spans="1:19" x14ac:dyDescent="0.3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e">
        <f>VLOOKUP('Customer Info'!B1367,'Customer Info'!B1367:B1866,1,0)</f>
        <v>#N/A</v>
      </c>
      <c r="H1375" s="6" t="e">
        <f>VLOOKUP('Customer Info'!C1367,'Customer Info'!C1367:C1866,1)</f>
        <v>#N/A</v>
      </c>
      <c r="I1375" s="6" t="e">
        <f>VLOOKUP('Customer Info'!E1367,'Customer Info'!E1367:E1866,1,0)</f>
        <v>#N/A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628</v>
      </c>
      <c r="R1375" s="2" t="s">
        <v>28</v>
      </c>
      <c r="S1375" s="9">
        <f t="shared" si="109"/>
        <v>0.05</v>
      </c>
    </row>
    <row r="1376" spans="1:19" x14ac:dyDescent="0.3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e">
        <f>VLOOKUP('Customer Info'!B1368,'Customer Info'!B1368:B1867,1,0)</f>
        <v>#N/A</v>
      </c>
      <c r="H1376" s="6" t="e">
        <f>VLOOKUP('Customer Info'!C1368,'Customer Info'!C1368:C1867,1)</f>
        <v>#N/A</v>
      </c>
      <c r="I1376" s="6" t="e">
        <f>VLOOKUP('Customer Info'!E1368,'Customer Info'!E1368:E1867,1,0)</f>
        <v>#N/A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1062</v>
      </c>
      <c r="R1376" s="2" t="s">
        <v>28</v>
      </c>
      <c r="S1376" s="9">
        <f t="shared" si="109"/>
        <v>0.05</v>
      </c>
    </row>
    <row r="1377" spans="1:19" x14ac:dyDescent="0.3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e">
        <f>VLOOKUP('Customer Info'!B1369,'Customer Info'!B1369:B1868,1,0)</f>
        <v>#N/A</v>
      </c>
      <c r="H1377" s="6" t="e">
        <f>VLOOKUP('Customer Info'!C1369,'Customer Info'!C1369:C1868,1)</f>
        <v>#N/A</v>
      </c>
      <c r="I1377" s="6" t="e">
        <f>VLOOKUP('Customer Info'!E1369,'Customer Info'!E1369:E1868,1,0)</f>
        <v>#N/A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84</v>
      </c>
      <c r="R1377" s="2" t="s">
        <v>50</v>
      </c>
      <c r="S1377" s="9">
        <f t="shared" si="109"/>
        <v>0.02</v>
      </c>
    </row>
    <row r="1378" spans="1:19" x14ac:dyDescent="0.3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e">
        <f>VLOOKUP('Customer Info'!B1370,'Customer Info'!B1370:B1869,1,0)</f>
        <v>#N/A</v>
      </c>
      <c r="H1378" s="6" t="e">
        <f>VLOOKUP('Customer Info'!C1370,'Customer Info'!C1370:C1869,1)</f>
        <v>#N/A</v>
      </c>
      <c r="I1378" s="6" t="e">
        <f>VLOOKUP('Customer Info'!E1370,'Customer Info'!E1370:E1869,1,0)</f>
        <v>#N/A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136</v>
      </c>
      <c r="R1378" s="2" t="s">
        <v>28</v>
      </c>
      <c r="S1378" s="9">
        <f t="shared" si="109"/>
        <v>0.02</v>
      </c>
    </row>
    <row r="1379" spans="1:19" x14ac:dyDescent="0.3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e">
        <f>VLOOKUP('Customer Info'!B1371,'Customer Info'!B1371:B1870,1,0)</f>
        <v>#N/A</v>
      </c>
      <c r="H1379" s="6" t="e">
        <f>VLOOKUP('Customer Info'!C1371,'Customer Info'!C1371:C1870,1)</f>
        <v>#N/A</v>
      </c>
      <c r="I1379" s="6" t="e">
        <f>VLOOKUP('Customer Info'!E1371,'Customer Info'!E1371:E1870,1,0)</f>
        <v>#N/A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1188</v>
      </c>
      <c r="R1379" s="2" t="s">
        <v>56</v>
      </c>
      <c r="S1379" s="9">
        <f t="shared" si="109"/>
        <v>0.05</v>
      </c>
    </row>
    <row r="1380" spans="1:19" x14ac:dyDescent="0.3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e">
        <f>VLOOKUP('Customer Info'!B1372,'Customer Info'!B1372:B1871,1,0)</f>
        <v>#N/A</v>
      </c>
      <c r="H1380" s="6" t="e">
        <f>VLOOKUP('Customer Info'!C1372,'Customer Info'!C1372:C1871,1)</f>
        <v>#N/A</v>
      </c>
      <c r="I1380" s="6" t="e">
        <f>VLOOKUP('Customer Info'!E1372,'Customer Info'!E1372:E1871,1,0)</f>
        <v>#N/A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602</v>
      </c>
      <c r="R1380" s="2" t="s">
        <v>50</v>
      </c>
      <c r="S1380" s="9">
        <f t="shared" si="109"/>
        <v>0.05</v>
      </c>
    </row>
    <row r="1381" spans="1:19" x14ac:dyDescent="0.3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e">
        <f>VLOOKUP('Customer Info'!B1373,'Customer Info'!B1373:B1872,1,0)</f>
        <v>#N/A</v>
      </c>
      <c r="H1381" s="6" t="e">
        <f>VLOOKUP('Customer Info'!C1373,'Customer Info'!C1373:C1872,1)</f>
        <v>#N/A</v>
      </c>
      <c r="I1381" s="6" t="e">
        <f>VLOOKUP('Customer Info'!E1373,'Customer Info'!E1373:E1872,1,0)</f>
        <v>#N/A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16</v>
      </c>
      <c r="R1381" s="2" t="s">
        <v>28</v>
      </c>
      <c r="S1381" s="9">
        <f t="shared" si="109"/>
        <v>0.02</v>
      </c>
    </row>
    <row r="1382" spans="1:19" x14ac:dyDescent="0.3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e">
        <f>VLOOKUP('Customer Info'!B1374,'Customer Info'!B1374:B1873,1,0)</f>
        <v>#N/A</v>
      </c>
      <c r="H1382" s="6" t="e">
        <f>VLOOKUP('Customer Info'!C1374,'Customer Info'!C1374:C1873,1)</f>
        <v>#N/A</v>
      </c>
      <c r="I1382" s="6" t="e">
        <f>VLOOKUP('Customer Info'!E1374,'Customer Info'!E1374:E1873,1,0)</f>
        <v>#N/A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384</v>
      </c>
      <c r="R1382" s="2" t="s">
        <v>50</v>
      </c>
      <c r="S1382" s="9">
        <f t="shared" si="109"/>
        <v>0.05</v>
      </c>
    </row>
    <row r="1383" spans="1:19" x14ac:dyDescent="0.3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e">
        <f>VLOOKUP('Customer Info'!B1375,'Customer Info'!B1375:B1874,1,0)</f>
        <v>#N/A</v>
      </c>
      <c r="H1383" s="6" t="e">
        <f>VLOOKUP('Customer Info'!C1375,'Customer Info'!C1375:C1874,1)</f>
        <v>#N/A</v>
      </c>
      <c r="I1383" s="6" t="e">
        <f>VLOOKUP('Customer Info'!E1375,'Customer Info'!E1375:E1874,1,0)</f>
        <v>#N/A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98</v>
      </c>
      <c r="R1383" s="2" t="s">
        <v>28</v>
      </c>
      <c r="S1383" s="9">
        <f t="shared" si="109"/>
        <v>0.05</v>
      </c>
    </row>
    <row r="1384" spans="1:19" x14ac:dyDescent="0.3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e">
        <f>VLOOKUP('Customer Info'!B1376,'Customer Info'!B1376:B1875,1,0)</f>
        <v>#N/A</v>
      </c>
      <c r="H1384" s="6" t="e">
        <f>VLOOKUP('Customer Info'!C1376,'Customer Info'!C1376:C1875,1)</f>
        <v>#N/A</v>
      </c>
      <c r="I1384" s="6" t="e">
        <f>VLOOKUP('Customer Info'!E1376,'Customer Info'!E1376:E1875,1,0)</f>
        <v>#N/A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133</v>
      </c>
      <c r="R1384" s="2" t="s">
        <v>28</v>
      </c>
      <c r="S1384" s="9">
        <f t="shared" si="109"/>
        <v>0.02</v>
      </c>
    </row>
    <row r="1385" spans="1:19" x14ac:dyDescent="0.3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e">
        <f>VLOOKUP('Customer Info'!B1377,'Customer Info'!B1377:B1876,1,0)</f>
        <v>#N/A</v>
      </c>
      <c r="H1385" s="6" t="e">
        <f>VLOOKUP('Customer Info'!C1377,'Customer Info'!C1377:C1876,1)</f>
        <v>#N/A</v>
      </c>
      <c r="I1385" s="6" t="e">
        <f>VLOOKUP('Customer Info'!E1377,'Customer Info'!E1377:E1876,1,0)</f>
        <v>#N/A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77</v>
      </c>
      <c r="R1385" s="2" t="s">
        <v>28</v>
      </c>
      <c r="S1385" s="9">
        <f t="shared" si="109"/>
        <v>0.02</v>
      </c>
    </row>
    <row r="1386" spans="1:19" x14ac:dyDescent="0.3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e">
        <f>VLOOKUP('Customer Info'!B1378,'Customer Info'!B1378:B1877,1,0)</f>
        <v>#N/A</v>
      </c>
      <c r="H1386" s="6" t="e">
        <f>VLOOKUP('Customer Info'!C1378,'Customer Info'!C1378:C1877,1)</f>
        <v>#N/A</v>
      </c>
      <c r="I1386" s="6" t="e">
        <f>VLOOKUP('Customer Info'!E1378,'Customer Info'!E1378:E1877,1,0)</f>
        <v>#N/A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552</v>
      </c>
      <c r="R1386" s="2" t="s">
        <v>28</v>
      </c>
      <c r="S1386" s="9">
        <f t="shared" si="109"/>
        <v>0.05</v>
      </c>
    </row>
    <row r="1387" spans="1:19" x14ac:dyDescent="0.3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e">
        <f>VLOOKUP('Customer Info'!B1379,'Customer Info'!B1379:B1878,1,0)</f>
        <v>#N/A</v>
      </c>
      <c r="H1387" s="6" t="e">
        <f>VLOOKUP('Customer Info'!C1379,'Customer Info'!C1379:C1878,1)</f>
        <v>#N/A</v>
      </c>
      <c r="I1387" s="6" t="e">
        <f>VLOOKUP('Customer Info'!E1379,'Customer Info'!E1379:E1878,1,0)</f>
        <v>#N/A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798</v>
      </c>
      <c r="R1387" s="2" t="s">
        <v>28</v>
      </c>
      <c r="S1387" s="9">
        <f t="shared" si="109"/>
        <v>0.05</v>
      </c>
    </row>
    <row r="1388" spans="1:19" x14ac:dyDescent="0.3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e">
        <f>VLOOKUP('Customer Info'!B1380,'Customer Info'!B1380:B1879,1,0)</f>
        <v>#N/A</v>
      </c>
      <c r="H1388" s="6" t="e">
        <f>VLOOKUP('Customer Info'!C1380,'Customer Info'!C1380:C1879,1)</f>
        <v>#N/A</v>
      </c>
      <c r="I1388" s="6" t="e">
        <f>VLOOKUP('Customer Info'!E1380,'Customer Info'!E1380:E1879,1,0)</f>
        <v>#N/A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6</v>
      </c>
      <c r="R1388" s="2" t="s">
        <v>26</v>
      </c>
      <c r="S1388" s="9">
        <f t="shared" si="109"/>
        <v>0.02</v>
      </c>
    </row>
    <row r="1389" spans="1:19" x14ac:dyDescent="0.3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e">
        <f>VLOOKUP('Customer Info'!B1381,'Customer Info'!B1381:B1880,1,0)</f>
        <v>#N/A</v>
      </c>
      <c r="H1389" s="6" t="e">
        <f>VLOOKUP('Customer Info'!C1381,'Customer Info'!C1381:C1880,1)</f>
        <v>#N/A</v>
      </c>
      <c r="I1389" s="6" t="e">
        <f>VLOOKUP('Customer Info'!E1381,'Customer Info'!E1381:E1880,1,0)</f>
        <v>#N/A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200</v>
      </c>
      <c r="R1389" s="2" t="s">
        <v>28</v>
      </c>
      <c r="S1389" s="9">
        <f t="shared" si="109"/>
        <v>0.02</v>
      </c>
    </row>
    <row r="1390" spans="1:19" x14ac:dyDescent="0.3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e">
        <f>VLOOKUP('Customer Info'!B1382,'Customer Info'!B1382:B1881,1,0)</f>
        <v>#N/A</v>
      </c>
      <c r="H1390" s="6" t="e">
        <f>VLOOKUP('Customer Info'!C1382,'Customer Info'!C1382:C1881,1)</f>
        <v>#N/A</v>
      </c>
      <c r="I1390" s="6" t="e">
        <f>VLOOKUP('Customer Info'!E1382,'Customer Info'!E1382:E1881,1,0)</f>
        <v>#N/A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202</v>
      </c>
      <c r="R1390" s="2" t="s">
        <v>28</v>
      </c>
      <c r="S1390" s="9">
        <f t="shared" si="109"/>
        <v>0.02</v>
      </c>
    </row>
    <row r="1391" spans="1:19" x14ac:dyDescent="0.3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e">
        <f>VLOOKUP('Customer Info'!B1383,'Customer Info'!B1383:B1882,1,0)</f>
        <v>#N/A</v>
      </c>
      <c r="H1391" s="6" t="e">
        <f>VLOOKUP('Customer Info'!C1383,'Customer Info'!C1383:C1882,1)</f>
        <v>#N/A</v>
      </c>
      <c r="I1391" s="6" t="e">
        <f>VLOOKUP('Customer Info'!E1383,'Customer Info'!E1383:E1882,1,0)</f>
        <v>#N/A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168</v>
      </c>
      <c r="R1391" s="2" t="s">
        <v>28</v>
      </c>
      <c r="S1391" s="9">
        <f t="shared" si="109"/>
        <v>0.02</v>
      </c>
    </row>
    <row r="1392" spans="1:19" x14ac:dyDescent="0.3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e">
        <f>VLOOKUP('Customer Info'!B1384,'Customer Info'!B1384:B1883,1,0)</f>
        <v>#N/A</v>
      </c>
      <c r="H1392" s="6" t="e">
        <f>VLOOKUP('Customer Info'!C1384,'Customer Info'!C1384:C1883,1)</f>
        <v>#N/A</v>
      </c>
      <c r="I1392" s="6" t="e">
        <f>VLOOKUP('Customer Info'!E1384,'Customer Info'!E1384:E1883,1,0)</f>
        <v>#N/A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320</v>
      </c>
      <c r="R1392" s="2" t="s">
        <v>50</v>
      </c>
      <c r="S1392" s="9">
        <f t="shared" si="109"/>
        <v>0.02</v>
      </c>
    </row>
    <row r="1393" spans="1:19" x14ac:dyDescent="0.3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e">
        <f>VLOOKUP('Customer Info'!B1385,'Customer Info'!B1385:B1884,1,0)</f>
        <v>#N/A</v>
      </c>
      <c r="H1393" s="6" t="e">
        <f>VLOOKUP('Customer Info'!C1385,'Customer Info'!C1385:C1884,1)</f>
        <v>#N/A</v>
      </c>
      <c r="I1393" s="6" t="e">
        <f>VLOOKUP('Customer Info'!E1385,'Customer Info'!E1385:E1884,1,0)</f>
        <v>#N/A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410</v>
      </c>
      <c r="R1393" s="2" t="s">
        <v>28</v>
      </c>
      <c r="S1393" s="9">
        <f t="shared" si="109"/>
        <v>0.05</v>
      </c>
    </row>
    <row r="1394" spans="1:19" x14ac:dyDescent="0.3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e">
        <f>VLOOKUP('Customer Info'!B1386,'Customer Info'!B1386:B1885,1,0)</f>
        <v>#N/A</v>
      </c>
      <c r="H1394" s="6" t="e">
        <f>VLOOKUP('Customer Info'!C1386,'Customer Info'!C1386:C1885,1)</f>
        <v>#N/A</v>
      </c>
      <c r="I1394" s="6" t="e">
        <f>VLOOKUP('Customer Info'!E1386,'Customer Info'!E1386:E1885,1,0)</f>
        <v>#N/A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858</v>
      </c>
      <c r="R1394" s="2" t="s">
        <v>50</v>
      </c>
      <c r="S1394" s="9">
        <f t="shared" si="109"/>
        <v>0.05</v>
      </c>
    </row>
    <row r="1395" spans="1:19" x14ac:dyDescent="0.3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e">
        <f>VLOOKUP('Customer Info'!B1387,'Customer Info'!B1387:B1886,1,0)</f>
        <v>#N/A</v>
      </c>
      <c r="H1395" s="6" t="e">
        <f>VLOOKUP('Customer Info'!C1387,'Customer Info'!C1387:C1886,1)</f>
        <v>#N/A</v>
      </c>
      <c r="I1395" s="6" t="e">
        <f>VLOOKUP('Customer Info'!E1387,'Customer Info'!E1387:E1886,1,0)</f>
        <v>#N/A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118</v>
      </c>
      <c r="R1395" s="2" t="s">
        <v>50</v>
      </c>
      <c r="S1395" s="9">
        <f t="shared" si="109"/>
        <v>0.02</v>
      </c>
    </row>
    <row r="1396" spans="1:19" x14ac:dyDescent="0.3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e">
        <f>VLOOKUP('Customer Info'!B1388,'Customer Info'!B1388:B1887,1,0)</f>
        <v>#N/A</v>
      </c>
      <c r="H1396" s="6" t="e">
        <f>VLOOKUP('Customer Info'!C1388,'Customer Info'!C1388:C1887,1)</f>
        <v>#N/A</v>
      </c>
      <c r="I1396" s="6" t="e">
        <f>VLOOKUP('Customer Info'!E1388,'Customer Info'!E1388:E1887,1,0)</f>
        <v>#N/A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120</v>
      </c>
      <c r="R1396" s="2" t="s">
        <v>28</v>
      </c>
      <c r="S1396" s="9">
        <f t="shared" si="109"/>
        <v>0.02</v>
      </c>
    </row>
    <row r="1397" spans="1:19" x14ac:dyDescent="0.3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e">
        <f>VLOOKUP('Customer Info'!B1389,'Customer Info'!B1389:B1888,1,0)</f>
        <v>#N/A</v>
      </c>
      <c r="H1397" s="6" t="e">
        <f>VLOOKUP('Customer Info'!C1389,'Customer Info'!C1389:C1888,1)</f>
        <v>#N/A</v>
      </c>
      <c r="I1397" s="6" t="e">
        <f>VLOOKUP('Customer Info'!E1389,'Customer Info'!E1389:E1888,1,0)</f>
        <v>#N/A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432</v>
      </c>
      <c r="R1397" s="2" t="s">
        <v>28</v>
      </c>
      <c r="S1397" s="9">
        <f t="shared" si="109"/>
        <v>0.05</v>
      </c>
    </row>
    <row r="1398" spans="1:19" x14ac:dyDescent="0.3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e">
        <f>VLOOKUP('Customer Info'!B1390,'Customer Info'!B1390:B1889,1,0)</f>
        <v>#N/A</v>
      </c>
      <c r="H1398" s="6" t="e">
        <f>VLOOKUP('Customer Info'!C1390,'Customer Info'!C1390:C1889,1)</f>
        <v>#N/A</v>
      </c>
      <c r="I1398" s="6" t="e">
        <f>VLOOKUP('Customer Info'!E1390,'Customer Info'!E1390:E1889,1,0)</f>
        <v>#N/A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792</v>
      </c>
      <c r="R1398" s="2" t="s">
        <v>26</v>
      </c>
      <c r="S1398" s="9">
        <f t="shared" si="109"/>
        <v>0.05</v>
      </c>
    </row>
    <row r="1399" spans="1:19" x14ac:dyDescent="0.3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e">
        <f>VLOOKUP('Customer Info'!B1391,'Customer Info'!B1391:B1890,1,0)</f>
        <v>#N/A</v>
      </c>
      <c r="H1399" s="6" t="e">
        <f>VLOOKUP('Customer Info'!C1391,'Customer Info'!C1391:C1890,1)</f>
        <v>#N/A</v>
      </c>
      <c r="I1399" s="6" t="e">
        <f>VLOOKUP('Customer Info'!E1391,'Customer Info'!E1391:E1890,1,0)</f>
        <v>#N/A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354</v>
      </c>
      <c r="R1399" s="2" t="s">
        <v>50</v>
      </c>
      <c r="S1399" s="9">
        <f t="shared" si="109"/>
        <v>0.05</v>
      </c>
    </row>
    <row r="1400" spans="1:19" x14ac:dyDescent="0.3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e">
        <f>VLOOKUP('Customer Info'!B1392,'Customer Info'!B1392:B1891,1,0)</f>
        <v>#N/A</v>
      </c>
      <c r="H1400" s="6" t="e">
        <f>VLOOKUP('Customer Info'!C1392,'Customer Info'!C1392:C1891,1)</f>
        <v>#N/A</v>
      </c>
      <c r="I1400" s="6" t="e">
        <f>VLOOKUP('Customer Info'!E1392,'Customer Info'!E1392:E1891,1,0)</f>
        <v>#N/A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2313</v>
      </c>
      <c r="R1400" s="2" t="s">
        <v>26</v>
      </c>
      <c r="S1400" s="9">
        <f t="shared" si="109"/>
        <v>7.0000000000000007E-2</v>
      </c>
    </row>
    <row r="1401" spans="1:19" x14ac:dyDescent="0.3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e">
        <f>VLOOKUP('Customer Info'!B1393,'Customer Info'!B1393:B1892,1,0)</f>
        <v>#N/A</v>
      </c>
      <c r="H1401" s="6" t="e">
        <f>VLOOKUP('Customer Info'!C1393,'Customer Info'!C1393:C1892,1)</f>
        <v>#N/A</v>
      </c>
      <c r="I1401" s="6" t="e">
        <f>VLOOKUP('Customer Info'!E1393,'Customer Info'!E1393:E1892,1,0)</f>
        <v>#N/A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1393</v>
      </c>
      <c r="R1401" s="2" t="s">
        <v>28</v>
      </c>
      <c r="S1401" s="9">
        <f t="shared" si="109"/>
        <v>0.05</v>
      </c>
    </row>
    <row r="1402" spans="1:19" x14ac:dyDescent="0.3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e">
        <f>VLOOKUP('Customer Info'!B1394,'Customer Info'!B1394:B1893,1,0)</f>
        <v>#N/A</v>
      </c>
      <c r="H1402" s="6" t="e">
        <f>VLOOKUP('Customer Info'!C1394,'Customer Info'!C1394:C1893,1)</f>
        <v>#N/A</v>
      </c>
      <c r="I1402" s="6" t="e">
        <f>VLOOKUP('Customer Info'!E1394,'Customer Info'!E1394:E1893,1,0)</f>
        <v>#N/A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118</v>
      </c>
      <c r="R1402" s="2" t="s">
        <v>28</v>
      </c>
      <c r="S1402" s="9">
        <f t="shared" si="109"/>
        <v>0.02</v>
      </c>
    </row>
    <row r="1403" spans="1:19" x14ac:dyDescent="0.3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e">
        <f>VLOOKUP('Customer Info'!B1395,'Customer Info'!B1395:B1894,1,0)</f>
        <v>#N/A</v>
      </c>
      <c r="H1403" s="6" t="e">
        <f>VLOOKUP('Customer Info'!C1395,'Customer Info'!C1395:C1894,1)</f>
        <v>#N/A</v>
      </c>
      <c r="I1403" s="6" t="e">
        <f>VLOOKUP('Customer Info'!E1395,'Customer Info'!E1395:E1894,1,0)</f>
        <v>#N/A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15665</v>
      </c>
      <c r="R1403" s="2" t="s">
        <v>28</v>
      </c>
      <c r="S1403" s="9">
        <f t="shared" si="109"/>
        <v>0.12</v>
      </c>
    </row>
    <row r="1404" spans="1:19" x14ac:dyDescent="0.3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e">
        <f>VLOOKUP('Customer Info'!B1396,'Customer Info'!B1396:B1895,1,0)</f>
        <v>#N/A</v>
      </c>
      <c r="H1404" s="6" t="e">
        <f>VLOOKUP('Customer Info'!C1396,'Customer Info'!C1396:C1895,1)</f>
        <v>#N/A</v>
      </c>
      <c r="I1404" s="6" t="e">
        <f>VLOOKUP('Customer Info'!E1396,'Customer Info'!E1396:E1895,1,0)</f>
        <v>#N/A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70</v>
      </c>
      <c r="R1404" s="2" t="s">
        <v>26</v>
      </c>
      <c r="S1404" s="9">
        <f t="shared" si="109"/>
        <v>0.02</v>
      </c>
    </row>
    <row r="1405" spans="1:19" x14ac:dyDescent="0.3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e">
        <f>VLOOKUP('Customer Info'!B1397,'Customer Info'!B1397:B1896,1,0)</f>
        <v>#N/A</v>
      </c>
      <c r="H1405" s="6" t="e">
        <f>VLOOKUP('Customer Info'!C1397,'Customer Info'!C1397:C1896,1)</f>
        <v>#N/A</v>
      </c>
      <c r="I1405" s="6" t="e">
        <f>VLOOKUP('Customer Info'!E1397,'Customer Info'!E1397:E1896,1,0)</f>
        <v>#N/A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2138</v>
      </c>
      <c r="R1405" s="2" t="s">
        <v>50</v>
      </c>
      <c r="S1405" s="9">
        <f t="shared" si="109"/>
        <v>7.0000000000000007E-2</v>
      </c>
    </row>
    <row r="1406" spans="1:19" x14ac:dyDescent="0.3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e">
        <f>VLOOKUP('Customer Info'!B1398,'Customer Info'!B1398:B1897,1,0)</f>
        <v>#N/A</v>
      </c>
      <c r="H1406" s="6" t="e">
        <f>VLOOKUP('Customer Info'!C1398,'Customer Info'!C1398:C1897,1)</f>
        <v>#N/A</v>
      </c>
      <c r="I1406" s="6" t="e">
        <f>VLOOKUP('Customer Info'!E1398,'Customer Info'!E1398:E1897,1,0)</f>
        <v>#N/A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390</v>
      </c>
      <c r="R1406" s="2" t="s">
        <v>50</v>
      </c>
      <c r="S1406" s="9">
        <f t="shared" si="109"/>
        <v>0.05</v>
      </c>
    </row>
    <row r="1407" spans="1:19" x14ac:dyDescent="0.3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e">
        <f>VLOOKUP('Customer Info'!B1399,'Customer Info'!B1399:B1898,1,0)</f>
        <v>#N/A</v>
      </c>
      <c r="H1407" s="6" t="e">
        <f>VLOOKUP('Customer Info'!C1399,'Customer Info'!C1399:C1898,1)</f>
        <v>#N/A</v>
      </c>
      <c r="I1407" s="6" t="e">
        <f>VLOOKUP('Customer Info'!E1399,'Customer Info'!E1399:E1898,1,0)</f>
        <v>#N/A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1974</v>
      </c>
      <c r="R1407" s="2" t="s">
        <v>28</v>
      </c>
      <c r="S1407" s="9">
        <f t="shared" si="109"/>
        <v>7.0000000000000007E-2</v>
      </c>
    </row>
    <row r="1408" spans="1:19" x14ac:dyDescent="0.3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e">
        <f>VLOOKUP('Customer Info'!B1400,'Customer Info'!B1400:B1899,1,0)</f>
        <v>#N/A</v>
      </c>
      <c r="H1408" s="6" t="e">
        <f>VLOOKUP('Customer Info'!C1400,'Customer Info'!C1400:C1899,1)</f>
        <v>#N/A</v>
      </c>
      <c r="I1408" s="6" t="e">
        <f>VLOOKUP('Customer Info'!E1400,'Customer Info'!E1400:E1899,1,0)</f>
        <v>#N/A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30</v>
      </c>
      <c r="R1408" s="2" t="s">
        <v>28</v>
      </c>
      <c r="S1408" s="9">
        <f t="shared" si="109"/>
        <v>0.02</v>
      </c>
    </row>
    <row r="1409" spans="1:19" x14ac:dyDescent="0.3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e">
        <f>VLOOKUP('Customer Info'!B1401,'Customer Info'!B1401:B1900,1,0)</f>
        <v>#N/A</v>
      </c>
      <c r="H1409" s="6" t="e">
        <f>VLOOKUP('Customer Info'!C1401,'Customer Info'!C1401:C1900,1)</f>
        <v>#N/A</v>
      </c>
      <c r="I1409" s="6" t="e">
        <f>VLOOKUP('Customer Info'!E1401,'Customer Info'!E1401:E1900,1,0)</f>
        <v>#N/A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450</v>
      </c>
      <c r="R1409" s="2" t="s">
        <v>28</v>
      </c>
      <c r="S1409" s="9">
        <f t="shared" si="109"/>
        <v>0.05</v>
      </c>
    </row>
    <row r="1410" spans="1:19" x14ac:dyDescent="0.3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e">
        <f>VLOOKUP('Customer Info'!B1402,'Customer Info'!B1402:B1901,1,0)</f>
        <v>#N/A</v>
      </c>
      <c r="H1410" s="6" t="e">
        <f>VLOOKUP('Customer Info'!C1402,'Customer Info'!C1402:C1901,1)</f>
        <v>#N/A</v>
      </c>
      <c r="I1410" s="6" t="e">
        <f>VLOOKUP('Customer Info'!E1402,'Customer Info'!E1402:E1901,1,0)</f>
        <v>#N/A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132</v>
      </c>
      <c r="R1410" s="2" t="s">
        <v>28</v>
      </c>
      <c r="S1410" s="9">
        <f t="shared" si="109"/>
        <v>0.05</v>
      </c>
    </row>
    <row r="1411" spans="1:19" x14ac:dyDescent="0.3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e">
        <f>VLOOKUP('Customer Info'!B1403,'Customer Info'!B1403:B1902,1,0)</f>
        <v>#N/A</v>
      </c>
      <c r="H1411" s="6" t="e">
        <f>VLOOKUP('Customer Info'!C1403,'Customer Info'!C1403:C1902,1)</f>
        <v>#N/A</v>
      </c>
      <c r="I1411" s="6" t="e">
        <f>VLOOKUP('Customer Info'!E1403,'Customer Info'!E1403:E1902,1,0)</f>
        <v>#N/A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128</v>
      </c>
      <c r="R1411" s="2" t="s">
        <v>50</v>
      </c>
      <c r="S1411" s="9">
        <f t="shared" si="109"/>
        <v>0.02</v>
      </c>
    </row>
    <row r="1412" spans="1:19" x14ac:dyDescent="0.3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e">
        <f>VLOOKUP('Customer Info'!B1404,'Customer Info'!B1404:B1903,1,0)</f>
        <v>#N/A</v>
      </c>
      <c r="H1412" s="6" t="e">
        <f>VLOOKUP('Customer Info'!C1404,'Customer Info'!C1404:C1903,1)</f>
        <v>#N/A</v>
      </c>
      <c r="I1412" s="6" t="e">
        <f>VLOOKUP('Customer Info'!E1404,'Customer Info'!E1404:E1903,1,0)</f>
        <v>#N/A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1083</v>
      </c>
      <c r="R1412" s="2" t="s">
        <v>28</v>
      </c>
      <c r="S1412" s="9">
        <f t="shared" si="109"/>
        <v>0.05</v>
      </c>
    </row>
    <row r="1413" spans="1:19" x14ac:dyDescent="0.3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e">
        <f>VLOOKUP('Customer Info'!B1405,'Customer Info'!B1405:B1904,1,0)</f>
        <v>#N/A</v>
      </c>
      <c r="H1413" s="6" t="e">
        <f>VLOOKUP('Customer Info'!C1405,'Customer Info'!C1405:C1904,1)</f>
        <v>#N/A</v>
      </c>
      <c r="I1413" s="6" t="e">
        <f>VLOOKUP('Customer Info'!E1405,'Customer Info'!E1405:E1904,1,0)</f>
        <v>#N/A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796</v>
      </c>
      <c r="R1413" s="2" t="s">
        <v>28</v>
      </c>
      <c r="S1413" s="9">
        <f t="shared" si="109"/>
        <v>0.05</v>
      </c>
    </row>
    <row r="1414" spans="1:19" x14ac:dyDescent="0.3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e">
        <f>VLOOKUP('Customer Info'!B1406,'Customer Info'!B1406:B1905,1,0)</f>
        <v>#N/A</v>
      </c>
      <c r="H1414" s="6" t="e">
        <f>VLOOKUP('Customer Info'!C1406,'Customer Info'!C1406:C1905,1)</f>
        <v>#N/A</v>
      </c>
      <c r="I1414" s="6" t="e">
        <f>VLOOKUP('Customer Info'!E1406,'Customer Info'!E1406:E1905,1,0)</f>
        <v>#N/A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1095</v>
      </c>
      <c r="R1414" s="2" t="s">
        <v>28</v>
      </c>
      <c r="S1414" s="9">
        <f t="shared" si="109"/>
        <v>0.05</v>
      </c>
    </row>
    <row r="1415" spans="1:19" x14ac:dyDescent="0.3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e">
        <f>VLOOKUP('Customer Info'!B1407,'Customer Info'!B1407:B1906,1,0)</f>
        <v>#N/A</v>
      </c>
      <c r="H1415" s="6" t="e">
        <f>VLOOKUP('Customer Info'!C1407,'Customer Info'!C1407:C1906,1)</f>
        <v>#N/A</v>
      </c>
      <c r="I1415" s="6" t="e">
        <f>VLOOKUP('Customer Info'!E1407,'Customer Info'!E1407:E1906,1,0)</f>
        <v>#N/A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17104</v>
      </c>
      <c r="R1415" s="2" t="s">
        <v>28</v>
      </c>
      <c r="S1415" s="9">
        <f t="shared" si="109"/>
        <v>0.12</v>
      </c>
    </row>
    <row r="1416" spans="1:19" x14ac:dyDescent="0.3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e">
        <f>VLOOKUP('Customer Info'!B1408,'Customer Info'!B1408:B1907,1,0)</f>
        <v>#N/A</v>
      </c>
      <c r="H1416" s="6" t="e">
        <f>VLOOKUP('Customer Info'!C1408,'Customer Info'!C1408:C1907,1)</f>
        <v>#N/A</v>
      </c>
      <c r="I1416" s="6" t="e">
        <f>VLOOKUP('Customer Info'!E1408,'Customer Info'!E1408:E1907,1,0)</f>
        <v>#N/A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288</v>
      </c>
      <c r="R1416" s="2" t="s">
        <v>26</v>
      </c>
      <c r="S1416" s="9">
        <f t="shared" si="109"/>
        <v>0.05</v>
      </c>
    </row>
    <row r="1417" spans="1:19" x14ac:dyDescent="0.3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e">
        <f>VLOOKUP('Customer Info'!B1409,'Customer Info'!B1409:B1908,1,0)</f>
        <v>#N/A</v>
      </c>
      <c r="H1417" s="6" t="e">
        <f>VLOOKUP('Customer Info'!C1409,'Customer Info'!C1409:C1908,1)</f>
        <v>#N/A</v>
      </c>
      <c r="I1417" s="6" t="e">
        <f>VLOOKUP('Customer Info'!E1409,'Customer Info'!E1409:E1908,1,0)</f>
        <v>#N/A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320</v>
      </c>
      <c r="R1417" s="2" t="s">
        <v>56</v>
      </c>
      <c r="S1417" s="9">
        <f t="shared" si="109"/>
        <v>0.05</v>
      </c>
    </row>
    <row r="1418" spans="1:19" x14ac:dyDescent="0.3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e">
        <f>VLOOKUP('Customer Info'!B1410,'Customer Info'!B1410:B1909,1,0)</f>
        <v>#N/A</v>
      </c>
      <c r="H1418" s="6" t="e">
        <f>VLOOKUP('Customer Info'!C1410,'Customer Info'!C1410:C1909,1)</f>
        <v>#N/A</v>
      </c>
      <c r="I1418" s="6" t="e">
        <f>VLOOKUP('Customer Info'!E1410,'Customer Info'!E1410:E1909,1,0)</f>
        <v>#N/A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198</v>
      </c>
      <c r="R1418" s="2" t="s">
        <v>50</v>
      </c>
      <c r="S1418" s="9">
        <f t="shared" si="109"/>
        <v>0.02</v>
      </c>
    </row>
    <row r="1419" spans="1:19" x14ac:dyDescent="0.3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e">
        <f>VLOOKUP('Customer Info'!B1411,'Customer Info'!B1411:B1910,1,0)</f>
        <v>#N/A</v>
      </c>
      <c r="H1419" s="6" t="e">
        <f>VLOOKUP('Customer Info'!C1411,'Customer Info'!C1411:C1910,1)</f>
        <v>#N/A</v>
      </c>
      <c r="I1419" s="6" t="e">
        <f>VLOOKUP('Customer Info'!E1411,'Customer Info'!E1411:E1910,1,0)</f>
        <v>#N/A</v>
      </c>
      <c r="J1419" s="2">
        <v>8889</v>
      </c>
      <c r="K1419" s="2">
        <v>8469</v>
      </c>
      <c r="L1419" s="2">
        <v>2</v>
      </c>
      <c r="M1419" s="7">
        <f t="shared" ref="M1419:M1482" si="110">(K1419*L1419)</f>
        <v>16938</v>
      </c>
      <c r="N1419" s="7">
        <f t="shared" ref="N1419:N1482" si="111">(J1419*L1419)</f>
        <v>17778</v>
      </c>
      <c r="O1419" s="2">
        <v>47</v>
      </c>
      <c r="P1419" s="8">
        <f t="shared" ref="P1419:P1482" si="112">(N1419+O1419)</f>
        <v>17825</v>
      </c>
      <c r="Q1419" s="8">
        <f t="shared" ref="Q1419:Q1482" si="113">(N1419-M1419)</f>
        <v>840</v>
      </c>
      <c r="R1419" s="2" t="s">
        <v>28</v>
      </c>
      <c r="S1419" s="9">
        <f t="shared" ref="S1419:S1482" si="114">_xlfn.IFS(P1419&gt;250000,0.15,P1419&gt;100000,0.12,P1419&gt;50000,0.09,P1419&gt;25000,0.07,P1419&gt;5000,0.05,
 TRUE,0.02)</f>
        <v>0.05</v>
      </c>
    </row>
    <row r="1420" spans="1:19" x14ac:dyDescent="0.3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e">
        <f>VLOOKUP('Customer Info'!B1412,'Customer Info'!B1412:B1911,1,0)</f>
        <v>#N/A</v>
      </c>
      <c r="H1420" s="6" t="e">
        <f>VLOOKUP('Customer Info'!C1412,'Customer Info'!C1412:C1911,1)</f>
        <v>#N/A</v>
      </c>
      <c r="I1420" s="6" t="e">
        <f>VLOOKUP('Customer Info'!E1412,'Customer Info'!E1412:E1911,1,0)</f>
        <v>#N/A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147</v>
      </c>
      <c r="R1420" s="2" t="s">
        <v>50</v>
      </c>
      <c r="S1420" s="9">
        <f t="shared" si="114"/>
        <v>0.02</v>
      </c>
    </row>
    <row r="1421" spans="1:19" x14ac:dyDescent="0.3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e">
        <f>VLOOKUP('Customer Info'!B1413,'Customer Info'!B1413:B1912,1,0)</f>
        <v>#N/A</v>
      </c>
      <c r="H1421" s="6" t="e">
        <f>VLOOKUP('Customer Info'!C1413,'Customer Info'!C1413:C1912,1)</f>
        <v>#N/A</v>
      </c>
      <c r="I1421" s="6" t="e">
        <f>VLOOKUP('Customer Info'!E1413,'Customer Info'!E1413:E1912,1,0)</f>
        <v>#N/A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250</v>
      </c>
      <c r="R1421" s="2" t="s">
        <v>50</v>
      </c>
      <c r="S1421" s="9">
        <f t="shared" si="114"/>
        <v>0.02</v>
      </c>
    </row>
    <row r="1422" spans="1:19" x14ac:dyDescent="0.3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e">
        <f>VLOOKUP('Customer Info'!B1414,'Customer Info'!B1414:B1913,1,0)</f>
        <v>#N/A</v>
      </c>
      <c r="H1422" s="6" t="e">
        <f>VLOOKUP('Customer Info'!C1414,'Customer Info'!C1414:C1913,1)</f>
        <v>#N/A</v>
      </c>
      <c r="I1422" s="6" t="e">
        <f>VLOOKUP('Customer Info'!E1414,'Customer Info'!E1414:E1913,1,0)</f>
        <v>#N/A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1232</v>
      </c>
      <c r="R1422" s="2" t="s">
        <v>28</v>
      </c>
      <c r="S1422" s="9">
        <f t="shared" si="114"/>
        <v>0.05</v>
      </c>
    </row>
    <row r="1423" spans="1:19" x14ac:dyDescent="0.3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e">
        <f>VLOOKUP('Customer Info'!B1415,'Customer Info'!B1415:B1914,1,0)</f>
        <v>#N/A</v>
      </c>
      <c r="H1423" s="6" t="e">
        <f>VLOOKUP('Customer Info'!C1415,'Customer Info'!C1415:C1914,1)</f>
        <v>#N/A</v>
      </c>
      <c r="I1423" s="6" t="e">
        <f>VLOOKUP('Customer Info'!E1415,'Customer Info'!E1415:E1914,1,0)</f>
        <v>#N/A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243</v>
      </c>
      <c r="R1423" s="2" t="s">
        <v>28</v>
      </c>
      <c r="S1423" s="9">
        <f t="shared" si="114"/>
        <v>0.02</v>
      </c>
    </row>
    <row r="1424" spans="1:19" x14ac:dyDescent="0.3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e">
        <f>VLOOKUP('Customer Info'!B1416,'Customer Info'!B1416:B1915,1,0)</f>
        <v>#N/A</v>
      </c>
      <c r="H1424" s="6" t="e">
        <f>VLOOKUP('Customer Info'!C1416,'Customer Info'!C1416:C1915,1)</f>
        <v>#N/A</v>
      </c>
      <c r="I1424" s="6" t="e">
        <f>VLOOKUP('Customer Info'!E1416,'Customer Info'!E1416:E1915,1,0)</f>
        <v>#N/A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232</v>
      </c>
      <c r="R1424" s="2" t="s">
        <v>50</v>
      </c>
      <c r="S1424" s="9">
        <f t="shared" si="114"/>
        <v>0.02</v>
      </c>
    </row>
    <row r="1425" spans="1:19" x14ac:dyDescent="0.3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e">
        <f>VLOOKUP('Customer Info'!B1417,'Customer Info'!B1417:B1916,1,0)</f>
        <v>#N/A</v>
      </c>
      <c r="H1425" s="6" t="e">
        <f>VLOOKUP('Customer Info'!C1417,'Customer Info'!C1417:C1916,1)</f>
        <v>#N/A</v>
      </c>
      <c r="I1425" s="6" t="e">
        <f>VLOOKUP('Customer Info'!E1417,'Customer Info'!E1417:E1916,1,0)</f>
        <v>#N/A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90</v>
      </c>
      <c r="R1425" s="2" t="s">
        <v>50</v>
      </c>
      <c r="S1425" s="9">
        <f t="shared" si="114"/>
        <v>0.05</v>
      </c>
    </row>
    <row r="1426" spans="1:19" x14ac:dyDescent="0.3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e">
        <f>VLOOKUP('Customer Info'!B1418,'Customer Info'!B1418:B1917,1,0)</f>
        <v>#N/A</v>
      </c>
      <c r="H1426" s="6" t="e">
        <f>VLOOKUP('Customer Info'!C1418,'Customer Info'!C1418:C1917,1)</f>
        <v>#N/A</v>
      </c>
      <c r="I1426" s="6" t="e">
        <f>VLOOKUP('Customer Info'!E1418,'Customer Info'!E1418:E1917,1,0)</f>
        <v>#N/A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84</v>
      </c>
      <c r="R1426" s="2" t="s">
        <v>50</v>
      </c>
      <c r="S1426" s="9">
        <f t="shared" si="114"/>
        <v>0.02</v>
      </c>
    </row>
    <row r="1427" spans="1:19" x14ac:dyDescent="0.3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e">
        <f>VLOOKUP('Customer Info'!B1419,'Customer Info'!B1419:B1918,1,0)</f>
        <v>#N/A</v>
      </c>
      <c r="H1427" s="6" t="e">
        <f>VLOOKUP('Customer Info'!C1419,'Customer Info'!C1419:C1918,1)</f>
        <v>#N/A</v>
      </c>
      <c r="I1427" s="6" t="e">
        <f>VLOOKUP('Customer Info'!E1419,'Customer Info'!E1419:E1918,1,0)</f>
        <v>#N/A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2912</v>
      </c>
      <c r="R1427" s="2" t="s">
        <v>28</v>
      </c>
      <c r="S1427" s="9">
        <f t="shared" si="114"/>
        <v>7.0000000000000007E-2</v>
      </c>
    </row>
    <row r="1428" spans="1:19" x14ac:dyDescent="0.3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e">
        <f>VLOOKUP('Customer Info'!B1420,'Customer Info'!B1420:B1919,1,0)</f>
        <v>#N/A</v>
      </c>
      <c r="H1428" s="6" t="e">
        <f>VLOOKUP('Customer Info'!C1420,'Customer Info'!C1420:C1919,1)</f>
        <v>#N/A</v>
      </c>
      <c r="I1428" s="6" t="e">
        <f>VLOOKUP('Customer Info'!E1420,'Customer Info'!E1420:E1919,1,0)</f>
        <v>#N/A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1680</v>
      </c>
      <c r="R1428" s="2" t="s">
        <v>50</v>
      </c>
      <c r="S1428" s="9">
        <f t="shared" si="114"/>
        <v>0.05</v>
      </c>
    </row>
    <row r="1429" spans="1:19" x14ac:dyDescent="0.3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e">
        <f>VLOOKUP('Customer Info'!B1421,'Customer Info'!B1421:B1920,1,0)</f>
        <v>#N/A</v>
      </c>
      <c r="H1429" s="6" t="e">
        <f>VLOOKUP('Customer Info'!C1421,'Customer Info'!C1421:C1920,1)</f>
        <v>#N/A</v>
      </c>
      <c r="I1429" s="6" t="e">
        <f>VLOOKUP('Customer Info'!E1421,'Customer Info'!E1421:E1920,1,0)</f>
        <v>#N/A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34</v>
      </c>
      <c r="R1429" s="2" t="s">
        <v>50</v>
      </c>
      <c r="S1429" s="9">
        <f t="shared" si="114"/>
        <v>0.02</v>
      </c>
    </row>
    <row r="1430" spans="1:19" x14ac:dyDescent="0.3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e">
        <f>VLOOKUP('Customer Info'!B1422,'Customer Info'!B1422:B1921,1,0)</f>
        <v>#N/A</v>
      </c>
      <c r="H1430" s="6" t="e">
        <f>VLOOKUP('Customer Info'!C1422,'Customer Info'!C1422:C1921,1)</f>
        <v>#N/A</v>
      </c>
      <c r="I1430" s="6" t="e">
        <f>VLOOKUP('Customer Info'!E1422,'Customer Info'!E1422:E1921,1,0)</f>
        <v>#N/A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80</v>
      </c>
      <c r="R1430" s="2" t="s">
        <v>28</v>
      </c>
      <c r="S1430" s="9">
        <f t="shared" si="114"/>
        <v>0.02</v>
      </c>
    </row>
    <row r="1431" spans="1:19" x14ac:dyDescent="0.3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e">
        <f>VLOOKUP('Customer Info'!B1423,'Customer Info'!B1423:B1922,1,0)</f>
        <v>#N/A</v>
      </c>
      <c r="H1431" s="6" t="e">
        <f>VLOOKUP('Customer Info'!C1423,'Customer Info'!C1423:C1922,1)</f>
        <v>#N/A</v>
      </c>
      <c r="I1431" s="6" t="e">
        <f>VLOOKUP('Customer Info'!E1423,'Customer Info'!E1423:E1922,1,0)</f>
        <v>#N/A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184</v>
      </c>
      <c r="R1431" s="2" t="s">
        <v>28</v>
      </c>
      <c r="S1431" s="9">
        <f t="shared" si="114"/>
        <v>0.02</v>
      </c>
    </row>
    <row r="1432" spans="1:19" x14ac:dyDescent="0.3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e">
        <f>VLOOKUP('Customer Info'!B1424,'Customer Info'!B1424:B1923,1,0)</f>
        <v>#N/A</v>
      </c>
      <c r="H1432" s="6" t="e">
        <f>VLOOKUP('Customer Info'!C1424,'Customer Info'!C1424:C1923,1)</f>
        <v>#N/A</v>
      </c>
      <c r="I1432" s="6" t="e">
        <f>VLOOKUP('Customer Info'!E1424,'Customer Info'!E1424:E1923,1,0)</f>
        <v>#N/A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39</v>
      </c>
      <c r="R1432" s="2" t="s">
        <v>28</v>
      </c>
      <c r="S1432" s="9">
        <f t="shared" si="114"/>
        <v>0.02</v>
      </c>
    </row>
    <row r="1433" spans="1:19" x14ac:dyDescent="0.3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e">
        <f>VLOOKUP('Customer Info'!B1425,'Customer Info'!B1425:B1924,1,0)</f>
        <v>#N/A</v>
      </c>
      <c r="H1433" s="6" t="e">
        <f>VLOOKUP('Customer Info'!C1425,'Customer Info'!C1425:C1924,1)</f>
        <v>#N/A</v>
      </c>
      <c r="I1433" s="6" t="e">
        <f>VLOOKUP('Customer Info'!E1425,'Customer Info'!E1425:E1924,1,0)</f>
        <v>#N/A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39</v>
      </c>
      <c r="R1433" s="2" t="s">
        <v>26</v>
      </c>
      <c r="S1433" s="9">
        <f t="shared" si="114"/>
        <v>0.02</v>
      </c>
    </row>
    <row r="1434" spans="1:19" x14ac:dyDescent="0.3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e">
        <f>VLOOKUP('Customer Info'!B1426,'Customer Info'!B1426:B1925,1,0)</f>
        <v>#N/A</v>
      </c>
      <c r="H1434" s="6" t="e">
        <f>VLOOKUP('Customer Info'!C1426,'Customer Info'!C1426:C1925,1)</f>
        <v>#N/A</v>
      </c>
      <c r="I1434" s="6" t="e">
        <f>VLOOKUP('Customer Info'!E1426,'Customer Info'!E1426:E1925,1,0)</f>
        <v>#N/A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3040</v>
      </c>
      <c r="R1434" s="2" t="s">
        <v>26</v>
      </c>
      <c r="S1434" s="9">
        <f t="shared" si="114"/>
        <v>7.0000000000000007E-2</v>
      </c>
    </row>
    <row r="1435" spans="1:19" x14ac:dyDescent="0.3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e">
        <f>VLOOKUP('Customer Info'!B1427,'Customer Info'!B1427:B1926,1,0)</f>
        <v>#N/A</v>
      </c>
      <c r="H1435" s="6" t="e">
        <f>VLOOKUP('Customer Info'!C1427,'Customer Info'!C1427:C1926,1)</f>
        <v>#N/A</v>
      </c>
      <c r="I1435" s="6" t="e">
        <f>VLOOKUP('Customer Info'!E1427,'Customer Info'!E1427:E1926,1,0)</f>
        <v>#N/A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519</v>
      </c>
      <c r="R1435" s="2" t="s">
        <v>56</v>
      </c>
      <c r="S1435" s="9">
        <f t="shared" si="114"/>
        <v>0.05</v>
      </c>
    </row>
    <row r="1436" spans="1:19" x14ac:dyDescent="0.3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e">
        <f>VLOOKUP('Customer Info'!B1428,'Customer Info'!B1428:B1927,1,0)</f>
        <v>#N/A</v>
      </c>
      <c r="H1436" s="6" t="e">
        <f>VLOOKUP('Customer Info'!C1428,'Customer Info'!C1428:C1927,1)</f>
        <v>#N/A</v>
      </c>
      <c r="I1436" s="6" t="e">
        <f>VLOOKUP('Customer Info'!E1428,'Customer Info'!E1428:E1927,1,0)</f>
        <v>#N/A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354</v>
      </c>
      <c r="R1436" s="2" t="s">
        <v>28</v>
      </c>
      <c r="S1436" s="9">
        <f t="shared" si="114"/>
        <v>0.02</v>
      </c>
    </row>
    <row r="1437" spans="1:19" x14ac:dyDescent="0.3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e">
        <f>VLOOKUP('Customer Info'!B1429,'Customer Info'!B1429:B1928,1,0)</f>
        <v>#N/A</v>
      </c>
      <c r="H1437" s="6" t="e">
        <f>VLOOKUP('Customer Info'!C1429,'Customer Info'!C1429:C1928,1)</f>
        <v>#N/A</v>
      </c>
      <c r="I1437" s="6" t="e">
        <f>VLOOKUP('Customer Info'!E1429,'Customer Info'!E1429:E1928,1,0)</f>
        <v>#N/A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324</v>
      </c>
      <c r="R1437" s="2" t="s">
        <v>50</v>
      </c>
      <c r="S1437" s="9">
        <f t="shared" si="114"/>
        <v>0.05</v>
      </c>
    </row>
    <row r="1438" spans="1:19" x14ac:dyDescent="0.3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e">
        <f>VLOOKUP('Customer Info'!B1430,'Customer Info'!B1430:B1929,1,0)</f>
        <v>#N/A</v>
      </c>
      <c r="H1438" s="6" t="e">
        <f>VLOOKUP('Customer Info'!C1430,'Customer Info'!C1430:C1929,1)</f>
        <v>#N/A</v>
      </c>
      <c r="I1438" s="6" t="e">
        <f>VLOOKUP('Customer Info'!E1430,'Customer Info'!E1430:E1929,1,0)</f>
        <v>#N/A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118</v>
      </c>
      <c r="R1438" s="2" t="s">
        <v>50</v>
      </c>
      <c r="S1438" s="9">
        <f t="shared" si="114"/>
        <v>0.02</v>
      </c>
    </row>
    <row r="1439" spans="1:19" x14ac:dyDescent="0.3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e">
        <f>VLOOKUP('Customer Info'!B1431,'Customer Info'!B1431:B1930,1,0)</f>
        <v>#N/A</v>
      </c>
      <c r="H1439" s="6" t="e">
        <f>VLOOKUP('Customer Info'!C1431,'Customer Info'!C1431:C1930,1)</f>
        <v>#N/A</v>
      </c>
      <c r="I1439" s="6" t="e">
        <f>VLOOKUP('Customer Info'!E1431,'Customer Info'!E1431:E1930,1,0)</f>
        <v>#N/A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903</v>
      </c>
      <c r="R1439" s="2" t="s">
        <v>56</v>
      </c>
      <c r="S1439" s="9">
        <f t="shared" si="114"/>
        <v>0.05</v>
      </c>
    </row>
    <row r="1440" spans="1:19" x14ac:dyDescent="0.3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e">
        <f>VLOOKUP('Customer Info'!B1432,'Customer Info'!B1432:B1931,1,0)</f>
        <v>#N/A</v>
      </c>
      <c r="H1440" s="6" t="e">
        <f>VLOOKUP('Customer Info'!C1432,'Customer Info'!C1432:C1931,1)</f>
        <v>#N/A</v>
      </c>
      <c r="I1440" s="6" t="e">
        <f>VLOOKUP('Customer Info'!E1432,'Customer Info'!E1432:E1931,1,0)</f>
        <v>#N/A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12</v>
      </c>
      <c r="R1440" s="2" t="s">
        <v>50</v>
      </c>
      <c r="S1440" s="9">
        <f t="shared" si="114"/>
        <v>0.02</v>
      </c>
    </row>
    <row r="1441" spans="1:19" x14ac:dyDescent="0.3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e">
        <f>VLOOKUP('Customer Info'!B1433,'Customer Info'!B1433:B1932,1,0)</f>
        <v>#N/A</v>
      </c>
      <c r="H1441" s="6" t="e">
        <f>VLOOKUP('Customer Info'!C1433,'Customer Info'!C1433:C1932,1)</f>
        <v>#N/A</v>
      </c>
      <c r="I1441" s="6" t="e">
        <f>VLOOKUP('Customer Info'!E1433,'Customer Info'!E1433:E1932,1,0)</f>
        <v>#N/A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88</v>
      </c>
      <c r="R1441" s="2" t="s">
        <v>50</v>
      </c>
      <c r="S1441" s="9">
        <f t="shared" si="114"/>
        <v>0.02</v>
      </c>
    </row>
    <row r="1442" spans="1:19" x14ac:dyDescent="0.3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e">
        <f>VLOOKUP('Customer Info'!B1434,'Customer Info'!B1434:B1933,1,0)</f>
        <v>#N/A</v>
      </c>
      <c r="H1442" s="6" t="e">
        <f>VLOOKUP('Customer Info'!C1434,'Customer Info'!C1434:C1933,1)</f>
        <v>#N/A</v>
      </c>
      <c r="I1442" s="6" t="e">
        <f>VLOOKUP('Customer Info'!E1434,'Customer Info'!E1434:E1933,1,0)</f>
        <v>#N/A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29</v>
      </c>
      <c r="R1442" s="2" t="s">
        <v>56</v>
      </c>
      <c r="S1442" s="9">
        <f t="shared" si="114"/>
        <v>0.02</v>
      </c>
    </row>
    <row r="1443" spans="1:19" x14ac:dyDescent="0.3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e">
        <f>VLOOKUP('Customer Info'!B1435,'Customer Info'!B1435:B1934,1,0)</f>
        <v>#N/A</v>
      </c>
      <c r="H1443" s="6" t="e">
        <f>VLOOKUP('Customer Info'!C1435,'Customer Info'!C1435:C1934,1)</f>
        <v>#N/A</v>
      </c>
      <c r="I1443" s="6" t="e">
        <f>VLOOKUP('Customer Info'!E1435,'Customer Info'!E1435:E1934,1,0)</f>
        <v>#N/A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3130</v>
      </c>
      <c r="R1443" s="2" t="s">
        <v>28</v>
      </c>
      <c r="S1443" s="9">
        <f t="shared" si="114"/>
        <v>7.0000000000000007E-2</v>
      </c>
    </row>
    <row r="1444" spans="1:19" x14ac:dyDescent="0.3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e">
        <f>VLOOKUP('Customer Info'!B1436,'Customer Info'!B1436:B1935,1,0)</f>
        <v>#N/A</v>
      </c>
      <c r="H1444" s="6" t="e">
        <f>VLOOKUP('Customer Info'!C1436,'Customer Info'!C1436:C1935,1)</f>
        <v>#N/A</v>
      </c>
      <c r="I1444" s="6" t="e">
        <f>VLOOKUP('Customer Info'!E1436,'Customer Info'!E1436:E1935,1,0)</f>
        <v>#N/A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364</v>
      </c>
      <c r="R1444" s="2" t="s">
        <v>28</v>
      </c>
      <c r="S1444" s="9">
        <f t="shared" si="114"/>
        <v>0.05</v>
      </c>
    </row>
    <row r="1445" spans="1:19" x14ac:dyDescent="0.3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e">
        <f>VLOOKUP('Customer Info'!B1437,'Customer Info'!B1437:B1936,1,0)</f>
        <v>#N/A</v>
      </c>
      <c r="H1445" s="6" t="e">
        <f>VLOOKUP('Customer Info'!C1437,'Customer Info'!C1437:C1936,1)</f>
        <v>#N/A</v>
      </c>
      <c r="I1445" s="6" t="e">
        <f>VLOOKUP('Customer Info'!E1437,'Customer Info'!E1437:E1936,1,0)</f>
        <v>#N/A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118</v>
      </c>
      <c r="R1445" s="2" t="s">
        <v>50</v>
      </c>
      <c r="S1445" s="9">
        <f t="shared" si="114"/>
        <v>0.02</v>
      </c>
    </row>
    <row r="1446" spans="1:19" x14ac:dyDescent="0.3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e">
        <f>VLOOKUP('Customer Info'!B1438,'Customer Info'!B1438:B1937,1,0)</f>
        <v>#N/A</v>
      </c>
      <c r="H1446" s="6" t="e">
        <f>VLOOKUP('Customer Info'!C1438,'Customer Info'!C1438:C1937,1)</f>
        <v>#N/A</v>
      </c>
      <c r="I1446" s="6" t="e">
        <f>VLOOKUP('Customer Info'!E1438,'Customer Info'!E1438:E1937,1,0)</f>
        <v>#N/A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27</v>
      </c>
      <c r="R1446" s="2" t="s">
        <v>28</v>
      </c>
      <c r="S1446" s="9">
        <f t="shared" si="114"/>
        <v>0.02</v>
      </c>
    </row>
    <row r="1447" spans="1:19" x14ac:dyDescent="0.3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e">
        <f>VLOOKUP('Customer Info'!B1439,'Customer Info'!B1439:B1938,1,0)</f>
        <v>#N/A</v>
      </c>
      <c r="H1447" s="6" t="e">
        <f>VLOOKUP('Customer Info'!C1439,'Customer Info'!C1439:C1938,1)</f>
        <v>#N/A</v>
      </c>
      <c r="I1447" s="6" t="e">
        <f>VLOOKUP('Customer Info'!E1439,'Customer Info'!E1439:E1938,1,0)</f>
        <v>#N/A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54</v>
      </c>
      <c r="R1447" s="2" t="s">
        <v>28</v>
      </c>
      <c r="S1447" s="9">
        <f t="shared" si="114"/>
        <v>0.02</v>
      </c>
    </row>
    <row r="1448" spans="1:19" x14ac:dyDescent="0.3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e">
        <f>VLOOKUP('Customer Info'!B1440,'Customer Info'!B1440:B1939,1,0)</f>
        <v>#N/A</v>
      </c>
      <c r="H1448" s="6" t="e">
        <f>VLOOKUP('Customer Info'!C1440,'Customer Info'!C1440:C1939,1)</f>
        <v>#N/A</v>
      </c>
      <c r="I1448" s="6" t="e">
        <f>VLOOKUP('Customer Info'!E1440,'Customer Info'!E1440:E1939,1,0)</f>
        <v>#N/A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2025</v>
      </c>
      <c r="R1448" s="2" t="s">
        <v>28</v>
      </c>
      <c r="S1448" s="9">
        <f t="shared" si="114"/>
        <v>0.05</v>
      </c>
    </row>
    <row r="1449" spans="1:19" x14ac:dyDescent="0.3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e">
        <f>VLOOKUP('Customer Info'!B1441,'Customer Info'!B1441:B1940,1,0)</f>
        <v>#N/A</v>
      </c>
      <c r="H1449" s="6" t="e">
        <f>VLOOKUP('Customer Info'!C1441,'Customer Info'!C1441:C1940,1)</f>
        <v>#N/A</v>
      </c>
      <c r="I1449" s="6" t="e">
        <f>VLOOKUP('Customer Info'!E1441,'Customer Info'!E1441:E1940,1,0)</f>
        <v>#N/A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858</v>
      </c>
      <c r="R1449" s="2" t="s">
        <v>50</v>
      </c>
      <c r="S1449" s="9">
        <f t="shared" si="114"/>
        <v>0.05</v>
      </c>
    </row>
    <row r="1450" spans="1:19" x14ac:dyDescent="0.3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e">
        <f>VLOOKUP('Customer Info'!B1442,'Customer Info'!B1442:B1941,1,0)</f>
        <v>#N/A</v>
      </c>
      <c r="H1450" s="6" t="e">
        <f>VLOOKUP('Customer Info'!C1442,'Customer Info'!C1442:C1941,1)</f>
        <v>#N/A</v>
      </c>
      <c r="I1450" s="6" t="e">
        <f>VLOOKUP('Customer Info'!E1442,'Customer Info'!E1442:E1941,1,0)</f>
        <v>#N/A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170</v>
      </c>
      <c r="R1450" s="2" t="s">
        <v>56</v>
      </c>
      <c r="S1450" s="9">
        <f t="shared" si="114"/>
        <v>0.02</v>
      </c>
    </row>
    <row r="1451" spans="1:19" x14ac:dyDescent="0.3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e">
        <f>VLOOKUP('Customer Info'!B1443,'Customer Info'!B1443:B1942,1,0)</f>
        <v>#N/A</v>
      </c>
      <c r="H1451" s="6" t="e">
        <f>VLOOKUP('Customer Info'!C1443,'Customer Info'!C1443:C1942,1)</f>
        <v>#N/A</v>
      </c>
      <c r="I1451" s="6" t="e">
        <f>VLOOKUP('Customer Info'!E1443,'Customer Info'!E1443:E1942,1,0)</f>
        <v>#N/A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996</v>
      </c>
      <c r="R1451" s="2" t="s">
        <v>28</v>
      </c>
      <c r="S1451" s="9">
        <f t="shared" si="114"/>
        <v>0.05</v>
      </c>
    </row>
    <row r="1452" spans="1:19" x14ac:dyDescent="0.3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e">
        <f>VLOOKUP('Customer Info'!B1444,'Customer Info'!B1444:B1943,1,0)</f>
        <v>#N/A</v>
      </c>
      <c r="H1452" s="6" t="e">
        <f>VLOOKUP('Customer Info'!C1444,'Customer Info'!C1444:C1943,1)</f>
        <v>#N/A</v>
      </c>
      <c r="I1452" s="6" t="e">
        <f>VLOOKUP('Customer Info'!E1444,'Customer Info'!E1444:E1943,1,0)</f>
        <v>#N/A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360</v>
      </c>
      <c r="R1452" s="2" t="s">
        <v>28</v>
      </c>
      <c r="S1452" s="9">
        <f t="shared" si="114"/>
        <v>0.02</v>
      </c>
    </row>
    <row r="1453" spans="1:19" x14ac:dyDescent="0.3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e">
        <f>VLOOKUP('Customer Info'!B1445,'Customer Info'!B1445:B1944,1,0)</f>
        <v>#N/A</v>
      </c>
      <c r="H1453" s="6" t="e">
        <f>VLOOKUP('Customer Info'!C1445,'Customer Info'!C1445:C1944,1)</f>
        <v>#N/A</v>
      </c>
      <c r="I1453" s="6" t="e">
        <f>VLOOKUP('Customer Info'!E1445,'Customer Info'!E1445:E1944,1,0)</f>
        <v>#N/A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1750</v>
      </c>
      <c r="R1453" s="2" t="s">
        <v>28</v>
      </c>
      <c r="S1453" s="9">
        <f t="shared" si="114"/>
        <v>0.05</v>
      </c>
    </row>
    <row r="1454" spans="1:19" x14ac:dyDescent="0.3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e">
        <f>VLOOKUP('Customer Info'!B1446,'Customer Info'!B1446:B1945,1,0)</f>
        <v>#N/A</v>
      </c>
      <c r="H1454" s="6" t="e">
        <f>VLOOKUP('Customer Info'!C1446,'Customer Info'!C1446:C1945,1)</f>
        <v>#N/A</v>
      </c>
      <c r="I1454" s="6" t="e">
        <f>VLOOKUP('Customer Info'!E1446,'Customer Info'!E1446:E1945,1,0)</f>
        <v>#N/A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585</v>
      </c>
      <c r="R1454" s="2" t="s">
        <v>28</v>
      </c>
      <c r="S1454" s="9">
        <f t="shared" si="114"/>
        <v>0.05</v>
      </c>
    </row>
    <row r="1455" spans="1:19" x14ac:dyDescent="0.3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e">
        <f>VLOOKUP('Customer Info'!B1447,'Customer Info'!B1447:B1946,1,0)</f>
        <v>#N/A</v>
      </c>
      <c r="H1455" s="6" t="e">
        <f>VLOOKUP('Customer Info'!C1447,'Customer Info'!C1447:C1946,1)</f>
        <v>#N/A</v>
      </c>
      <c r="I1455" s="6" t="e">
        <f>VLOOKUP('Customer Info'!E1447,'Customer Info'!E1447:E1946,1,0)</f>
        <v>#N/A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1674</v>
      </c>
      <c r="R1455" s="2" t="s">
        <v>50</v>
      </c>
      <c r="S1455" s="9">
        <f t="shared" si="114"/>
        <v>7.0000000000000007E-2</v>
      </c>
    </row>
    <row r="1456" spans="1:19" x14ac:dyDescent="0.3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e">
        <f>VLOOKUP('Customer Info'!B1448,'Customer Info'!B1448:B1947,1,0)</f>
        <v>#N/A</v>
      </c>
      <c r="H1456" s="6" t="e">
        <f>VLOOKUP('Customer Info'!C1448,'Customer Info'!C1448:C1947,1)</f>
        <v>#N/A</v>
      </c>
      <c r="I1456" s="6" t="e">
        <f>VLOOKUP('Customer Info'!E1448,'Customer Info'!E1448:E1947,1,0)</f>
        <v>#N/A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25</v>
      </c>
      <c r="R1456" s="2" t="s">
        <v>28</v>
      </c>
      <c r="S1456" s="9">
        <f t="shared" si="114"/>
        <v>0.02</v>
      </c>
    </row>
    <row r="1457" spans="1:19" x14ac:dyDescent="0.3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e">
        <f>VLOOKUP('Customer Info'!B1449,'Customer Info'!B1449:B1948,1,0)</f>
        <v>#N/A</v>
      </c>
      <c r="H1457" s="6" t="e">
        <f>VLOOKUP('Customer Info'!C1449,'Customer Info'!C1449:C1948,1)</f>
        <v>#N/A</v>
      </c>
      <c r="I1457" s="6" t="e">
        <f>VLOOKUP('Customer Info'!E1449,'Customer Info'!E1449:E1948,1,0)</f>
        <v>#N/A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260</v>
      </c>
      <c r="R1457" s="2" t="s">
        <v>28</v>
      </c>
      <c r="S1457" s="9">
        <f t="shared" si="114"/>
        <v>0.05</v>
      </c>
    </row>
    <row r="1458" spans="1:19" x14ac:dyDescent="0.3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e">
        <f>VLOOKUP('Customer Info'!B1450,'Customer Info'!B1450:B1949,1,0)</f>
        <v>#N/A</v>
      </c>
      <c r="H1458" s="6" t="e">
        <f>VLOOKUP('Customer Info'!C1450,'Customer Info'!C1450:C1949,1)</f>
        <v>#N/A</v>
      </c>
      <c r="I1458" s="6" t="e">
        <f>VLOOKUP('Customer Info'!E1450,'Customer Info'!E1450:E1949,1,0)</f>
        <v>#N/A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66</v>
      </c>
      <c r="R1458" s="2" t="s">
        <v>28</v>
      </c>
      <c r="S1458" s="9">
        <f t="shared" si="114"/>
        <v>0.02</v>
      </c>
    </row>
    <row r="1459" spans="1:19" x14ac:dyDescent="0.3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e">
        <f>VLOOKUP('Customer Info'!B1451,'Customer Info'!B1451:B1950,1,0)</f>
        <v>#N/A</v>
      </c>
      <c r="H1459" s="6" t="e">
        <f>VLOOKUP('Customer Info'!C1451,'Customer Info'!C1451:C1950,1)</f>
        <v>#N/A</v>
      </c>
      <c r="I1459" s="6" t="e">
        <f>VLOOKUP('Customer Info'!E1451,'Customer Info'!E1451:E1950,1,0)</f>
        <v>#N/A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45</v>
      </c>
      <c r="R1459" s="2" t="s">
        <v>28</v>
      </c>
      <c r="S1459" s="9">
        <f t="shared" si="114"/>
        <v>0.02</v>
      </c>
    </row>
    <row r="1460" spans="1:19" x14ac:dyDescent="0.3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e">
        <f>VLOOKUP('Customer Info'!B1452,'Customer Info'!B1452:B1951,1,0)</f>
        <v>#N/A</v>
      </c>
      <c r="H1460" s="6" t="e">
        <f>VLOOKUP('Customer Info'!C1452,'Customer Info'!C1452:C1951,1)</f>
        <v>#N/A</v>
      </c>
      <c r="I1460" s="6" t="e">
        <f>VLOOKUP('Customer Info'!E1452,'Customer Info'!E1452:E1951,1,0)</f>
        <v>#N/A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1536</v>
      </c>
      <c r="R1460" s="2" t="s">
        <v>28</v>
      </c>
      <c r="S1460" s="9">
        <f t="shared" si="114"/>
        <v>0.05</v>
      </c>
    </row>
    <row r="1461" spans="1:19" x14ac:dyDescent="0.3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e">
        <f>VLOOKUP('Customer Info'!B1453,'Customer Info'!B1453:B1952,1,0)</f>
        <v>#N/A</v>
      </c>
      <c r="H1461" s="6" t="e">
        <f>VLOOKUP('Customer Info'!C1453,'Customer Info'!C1453:C1952,1)</f>
        <v>#N/A</v>
      </c>
      <c r="I1461" s="6" t="e">
        <f>VLOOKUP('Customer Info'!E1453,'Customer Info'!E1453:E1952,1,0)</f>
        <v>#N/A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16</v>
      </c>
      <c r="R1461" s="2" t="s">
        <v>26</v>
      </c>
      <c r="S1461" s="9">
        <f t="shared" si="114"/>
        <v>0.02</v>
      </c>
    </row>
    <row r="1462" spans="1:19" x14ac:dyDescent="0.3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e">
        <f>VLOOKUP('Customer Info'!B1454,'Customer Info'!B1454:B1953,1,0)</f>
        <v>#N/A</v>
      </c>
      <c r="H1462" s="6" t="e">
        <f>VLOOKUP('Customer Info'!C1454,'Customer Info'!C1454:C1953,1)</f>
        <v>#N/A</v>
      </c>
      <c r="I1462" s="6" t="e">
        <f>VLOOKUP('Customer Info'!E1454,'Customer Info'!E1454:E1953,1,0)</f>
        <v>#N/A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180</v>
      </c>
      <c r="R1462" s="2" t="s">
        <v>26</v>
      </c>
      <c r="S1462" s="9">
        <f t="shared" si="114"/>
        <v>0.02</v>
      </c>
    </row>
    <row r="1463" spans="1:19" x14ac:dyDescent="0.3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e">
        <f>VLOOKUP('Customer Info'!B1455,'Customer Info'!B1455:B1954,1,0)</f>
        <v>#N/A</v>
      </c>
      <c r="H1463" s="6" t="e">
        <f>VLOOKUP('Customer Info'!C1455,'Customer Info'!C1455:C1954,1)</f>
        <v>#N/A</v>
      </c>
      <c r="I1463" s="6" t="e">
        <f>VLOOKUP('Customer Info'!E1455,'Customer Info'!E1455:E1954,1,0)</f>
        <v>#N/A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123</v>
      </c>
      <c r="R1463" s="2" t="s">
        <v>28</v>
      </c>
      <c r="S1463" s="9">
        <f t="shared" si="114"/>
        <v>0.02</v>
      </c>
    </row>
    <row r="1464" spans="1:19" x14ac:dyDescent="0.3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e">
        <f>VLOOKUP('Customer Info'!B1456,'Customer Info'!B1456:B1955,1,0)</f>
        <v>#N/A</v>
      </c>
      <c r="H1464" s="6" t="e">
        <f>VLOOKUP('Customer Info'!C1456,'Customer Info'!C1456:C1955,1)</f>
        <v>#N/A</v>
      </c>
      <c r="I1464" s="6" t="e">
        <f>VLOOKUP('Customer Info'!E1456,'Customer Info'!E1456:E1955,1,0)</f>
        <v>#N/A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156</v>
      </c>
      <c r="R1464" s="2" t="s">
        <v>28</v>
      </c>
      <c r="S1464" s="9">
        <f t="shared" si="114"/>
        <v>0.02</v>
      </c>
    </row>
    <row r="1465" spans="1:19" x14ac:dyDescent="0.3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e">
        <f>VLOOKUP('Customer Info'!B1457,'Customer Info'!B1457:B1956,1,0)</f>
        <v>#N/A</v>
      </c>
      <c r="H1465" s="6" t="e">
        <f>VLOOKUP('Customer Info'!C1457,'Customer Info'!C1457:C1956,1)</f>
        <v>#N/A</v>
      </c>
      <c r="I1465" s="6" t="e">
        <f>VLOOKUP('Customer Info'!E1457,'Customer Info'!E1457:E1956,1,0)</f>
        <v>#N/A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120</v>
      </c>
      <c r="R1465" s="2" t="s">
        <v>28</v>
      </c>
      <c r="S1465" s="9">
        <f t="shared" si="114"/>
        <v>0.02</v>
      </c>
    </row>
    <row r="1466" spans="1:19" x14ac:dyDescent="0.3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e">
        <f>VLOOKUP('Customer Info'!B1458,'Customer Info'!B1458:B1957,1,0)</f>
        <v>#N/A</v>
      </c>
      <c r="H1466" s="6" t="e">
        <f>VLOOKUP('Customer Info'!C1458,'Customer Info'!C1458:C1957,1)</f>
        <v>#N/A</v>
      </c>
      <c r="I1466" s="6" t="e">
        <f>VLOOKUP('Customer Info'!E1458,'Customer Info'!E1458:E1957,1,0)</f>
        <v>#N/A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220</v>
      </c>
      <c r="R1466" s="2" t="s">
        <v>26</v>
      </c>
      <c r="S1466" s="9">
        <f t="shared" si="114"/>
        <v>0.05</v>
      </c>
    </row>
    <row r="1467" spans="1:19" x14ac:dyDescent="0.3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e">
        <f>VLOOKUP('Customer Info'!B1459,'Customer Info'!B1459:B1958,1,0)</f>
        <v>#N/A</v>
      </c>
      <c r="H1467" s="6" t="e">
        <f>VLOOKUP('Customer Info'!C1459,'Customer Info'!C1459:C1958,1)</f>
        <v>#N/A</v>
      </c>
      <c r="I1467" s="6" t="e">
        <f>VLOOKUP('Customer Info'!E1459,'Customer Info'!E1459:E1958,1,0)</f>
        <v>#N/A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765</v>
      </c>
      <c r="R1467" s="2" t="s">
        <v>28</v>
      </c>
      <c r="S1467" s="9">
        <f t="shared" si="114"/>
        <v>0.05</v>
      </c>
    </row>
    <row r="1468" spans="1:19" x14ac:dyDescent="0.3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e">
        <f>VLOOKUP('Customer Info'!B1460,'Customer Info'!B1460:B1959,1,0)</f>
        <v>#N/A</v>
      </c>
      <c r="H1468" s="6" t="e">
        <f>VLOOKUP('Customer Info'!C1460,'Customer Info'!C1460:C1959,1)</f>
        <v>#N/A</v>
      </c>
      <c r="I1468" s="6" t="e">
        <f>VLOOKUP('Customer Info'!E1460,'Customer Info'!E1460:E1959,1,0)</f>
        <v>#N/A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669</v>
      </c>
      <c r="R1468" s="2" t="s">
        <v>50</v>
      </c>
      <c r="S1468" s="9">
        <f t="shared" si="114"/>
        <v>0.05</v>
      </c>
    </row>
    <row r="1469" spans="1:19" x14ac:dyDescent="0.3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e">
        <f>VLOOKUP('Customer Info'!B1461,'Customer Info'!B1461:B1960,1,0)</f>
        <v>#N/A</v>
      </c>
      <c r="H1469" s="6" t="e">
        <f>VLOOKUP('Customer Info'!C1461,'Customer Info'!C1461:C1960,1)</f>
        <v>#N/A</v>
      </c>
      <c r="I1469" s="6" t="e">
        <f>VLOOKUP('Customer Info'!E1461,'Customer Info'!E1461:E1960,1,0)</f>
        <v>#N/A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1435</v>
      </c>
      <c r="R1469" s="2" t="s">
        <v>28</v>
      </c>
      <c r="S1469" s="9">
        <f t="shared" si="114"/>
        <v>0.05</v>
      </c>
    </row>
    <row r="1470" spans="1:19" x14ac:dyDescent="0.3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e">
        <f>VLOOKUP('Customer Info'!B1462,'Customer Info'!B1462:B1961,1,0)</f>
        <v>#N/A</v>
      </c>
      <c r="H1470" s="6" t="e">
        <f>VLOOKUP('Customer Info'!C1462,'Customer Info'!C1462:C1961,1)</f>
        <v>#N/A</v>
      </c>
      <c r="I1470" s="6" t="e">
        <f>VLOOKUP('Customer Info'!E1462,'Customer Info'!E1462:E1961,1,0)</f>
        <v>#N/A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16</v>
      </c>
      <c r="R1470" s="2" t="s">
        <v>50</v>
      </c>
      <c r="S1470" s="9">
        <f t="shared" si="114"/>
        <v>0.02</v>
      </c>
    </row>
    <row r="1471" spans="1:19" x14ac:dyDescent="0.3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e">
        <f>VLOOKUP('Customer Info'!B1463,'Customer Info'!B1463:B1962,1,0)</f>
        <v>#N/A</v>
      </c>
      <c r="H1471" s="6" t="e">
        <f>VLOOKUP('Customer Info'!C1463,'Customer Info'!C1463:C1962,1)</f>
        <v>#N/A</v>
      </c>
      <c r="I1471" s="6" t="e">
        <f>VLOOKUP('Customer Info'!E1463,'Customer Info'!E1463:E1962,1,0)</f>
        <v>#N/A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360</v>
      </c>
      <c r="R1471" s="2" t="s">
        <v>28</v>
      </c>
      <c r="S1471" s="9">
        <f t="shared" si="114"/>
        <v>0.05</v>
      </c>
    </row>
    <row r="1472" spans="1:19" x14ac:dyDescent="0.3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e">
        <f>VLOOKUP('Customer Info'!B1464,'Customer Info'!B1464:B1963,1,0)</f>
        <v>#N/A</v>
      </c>
      <c r="H1472" s="6" t="e">
        <f>VLOOKUP('Customer Info'!C1464,'Customer Info'!C1464:C1963,1)</f>
        <v>#N/A</v>
      </c>
      <c r="I1472" s="6" t="e">
        <f>VLOOKUP('Customer Info'!E1464,'Customer Info'!E1464:E1963,1,0)</f>
        <v>#N/A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125</v>
      </c>
      <c r="R1472" s="2" t="s">
        <v>28</v>
      </c>
      <c r="S1472" s="9">
        <f t="shared" si="114"/>
        <v>0.02</v>
      </c>
    </row>
    <row r="1473" spans="1:19" x14ac:dyDescent="0.3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e">
        <f>VLOOKUP('Customer Info'!B1465,'Customer Info'!B1465:B1964,1,0)</f>
        <v>#N/A</v>
      </c>
      <c r="H1473" s="6" t="e">
        <f>VLOOKUP('Customer Info'!C1465,'Customer Info'!C1465:C1964,1)</f>
        <v>#N/A</v>
      </c>
      <c r="I1473" s="6" t="e">
        <f>VLOOKUP('Customer Info'!E1465,'Customer Info'!E1465:E1964,1,0)</f>
        <v>#N/A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362</v>
      </c>
      <c r="R1473" s="2" t="s">
        <v>28</v>
      </c>
      <c r="S1473" s="9">
        <f t="shared" si="114"/>
        <v>0.05</v>
      </c>
    </row>
    <row r="1474" spans="1:19" x14ac:dyDescent="0.3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e">
        <f>VLOOKUP('Customer Info'!B1466,'Customer Info'!B1466:B1965,1,0)</f>
        <v>#N/A</v>
      </c>
      <c r="H1474" s="6" t="e">
        <f>VLOOKUP('Customer Info'!C1466,'Customer Info'!C1466:C1965,1)</f>
        <v>#N/A</v>
      </c>
      <c r="I1474" s="6" t="e">
        <f>VLOOKUP('Customer Info'!E1466,'Customer Info'!E1466:E1965,1,0)</f>
        <v>#N/A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696</v>
      </c>
      <c r="R1474" s="2" t="s">
        <v>50</v>
      </c>
      <c r="S1474" s="9">
        <f t="shared" si="114"/>
        <v>0.05</v>
      </c>
    </row>
    <row r="1475" spans="1:19" x14ac:dyDescent="0.3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e">
        <f>VLOOKUP('Customer Info'!B1467,'Customer Info'!B1467:B1966,1,0)</f>
        <v>#N/A</v>
      </c>
      <c r="H1475" s="6" t="e">
        <f>VLOOKUP('Customer Info'!C1467,'Customer Info'!C1467:C1966,1)</f>
        <v>#N/A</v>
      </c>
      <c r="I1475" s="6" t="e">
        <f>VLOOKUP('Customer Info'!E1467,'Customer Info'!E1467:E1966,1,0)</f>
        <v>#N/A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370</v>
      </c>
      <c r="R1475" s="2" t="s">
        <v>28</v>
      </c>
      <c r="S1475" s="9">
        <f t="shared" si="114"/>
        <v>0.05</v>
      </c>
    </row>
    <row r="1476" spans="1:19" x14ac:dyDescent="0.3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e">
        <f>VLOOKUP('Customer Info'!B1468,'Customer Info'!B1468:B1967,1,0)</f>
        <v>#N/A</v>
      </c>
      <c r="H1476" s="6" t="e">
        <f>VLOOKUP('Customer Info'!C1468,'Customer Info'!C1468:C1967,1)</f>
        <v>#N/A</v>
      </c>
      <c r="I1476" s="6" t="e">
        <f>VLOOKUP('Customer Info'!E1468,'Customer Info'!E1468:E1967,1,0)</f>
        <v>#N/A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665</v>
      </c>
      <c r="R1476" s="2" t="s">
        <v>28</v>
      </c>
      <c r="S1476" s="9">
        <f t="shared" si="114"/>
        <v>0.05</v>
      </c>
    </row>
    <row r="1477" spans="1:19" x14ac:dyDescent="0.3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e">
        <f>VLOOKUP('Customer Info'!B1469,'Customer Info'!B1469:B1968,1,0)</f>
        <v>#N/A</v>
      </c>
      <c r="H1477" s="6" t="e">
        <f>VLOOKUP('Customer Info'!C1469,'Customer Info'!C1469:C1968,1)</f>
        <v>#N/A</v>
      </c>
      <c r="I1477" s="6" t="e">
        <f>VLOOKUP('Customer Info'!E1469,'Customer Info'!E1469:E1968,1,0)</f>
        <v>#N/A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128</v>
      </c>
      <c r="R1477" s="2" t="s">
        <v>28</v>
      </c>
      <c r="S1477" s="9">
        <f t="shared" si="114"/>
        <v>0.02</v>
      </c>
    </row>
    <row r="1478" spans="1:19" x14ac:dyDescent="0.3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e">
        <f>VLOOKUP('Customer Info'!B1470,'Customer Info'!B1470:B1969,1,0)</f>
        <v>#N/A</v>
      </c>
      <c r="H1478" s="6" t="e">
        <f>VLOOKUP('Customer Info'!C1470,'Customer Info'!C1470:C1969,1)</f>
        <v>#N/A</v>
      </c>
      <c r="I1478" s="6" t="e">
        <f>VLOOKUP('Customer Info'!E1470,'Customer Info'!E1470:E1969,1,0)</f>
        <v>#N/A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144</v>
      </c>
      <c r="R1478" s="2" t="s">
        <v>28</v>
      </c>
      <c r="S1478" s="9">
        <f t="shared" si="114"/>
        <v>0.02</v>
      </c>
    </row>
    <row r="1479" spans="1:19" x14ac:dyDescent="0.3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e">
        <f>VLOOKUP('Customer Info'!B1471,'Customer Info'!B1471:B1970,1,0)</f>
        <v>#N/A</v>
      </c>
      <c r="H1479" s="6" t="e">
        <f>VLOOKUP('Customer Info'!C1471,'Customer Info'!C1471:C1970,1)</f>
        <v>#N/A</v>
      </c>
      <c r="I1479" s="6" t="e">
        <f>VLOOKUP('Customer Info'!E1471,'Customer Info'!E1471:E1970,1,0)</f>
        <v>#N/A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34</v>
      </c>
      <c r="R1479" s="2" t="s">
        <v>50</v>
      </c>
      <c r="S1479" s="9">
        <f t="shared" si="114"/>
        <v>0.02</v>
      </c>
    </row>
    <row r="1480" spans="1:19" x14ac:dyDescent="0.3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e">
        <f>VLOOKUP('Customer Info'!B1472,'Customer Info'!B1472:B1971,1,0)</f>
        <v>#N/A</v>
      </c>
      <c r="H1480" s="6" t="e">
        <f>VLOOKUP('Customer Info'!C1472,'Customer Info'!C1472:C1971,1)</f>
        <v>#N/A</v>
      </c>
      <c r="I1480" s="6" t="e">
        <f>VLOOKUP('Customer Info'!E1472,'Customer Info'!E1472:E1971,1,0)</f>
        <v>#N/A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270</v>
      </c>
      <c r="R1480" s="2" t="s">
        <v>28</v>
      </c>
      <c r="S1480" s="9">
        <f t="shared" si="114"/>
        <v>0.02</v>
      </c>
    </row>
    <row r="1481" spans="1:19" x14ac:dyDescent="0.3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e">
        <f>VLOOKUP('Customer Info'!B1473,'Customer Info'!B1473:B1972,1,0)</f>
        <v>#N/A</v>
      </c>
      <c r="H1481" s="6" t="e">
        <f>VLOOKUP('Customer Info'!C1473,'Customer Info'!C1473:C1972,1)</f>
        <v>#N/A</v>
      </c>
      <c r="I1481" s="6" t="e">
        <f>VLOOKUP('Customer Info'!E1473,'Customer Info'!E1473:E1972,1,0)</f>
        <v>#N/A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9399</v>
      </c>
      <c r="R1481" s="2" t="s">
        <v>28</v>
      </c>
      <c r="S1481" s="9">
        <f t="shared" si="114"/>
        <v>0.12</v>
      </c>
    </row>
    <row r="1482" spans="1:19" x14ac:dyDescent="0.3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e">
        <f>VLOOKUP('Customer Info'!B1474,'Customer Info'!B1474:B1973,1,0)</f>
        <v>#N/A</v>
      </c>
      <c r="H1482" s="6" t="e">
        <f>VLOOKUP('Customer Info'!C1474,'Customer Info'!C1474:C1973,1)</f>
        <v>#N/A</v>
      </c>
      <c r="I1482" s="6" t="e">
        <f>VLOOKUP('Customer Info'!E1474,'Customer Info'!E1474:E1973,1,0)</f>
        <v>#N/A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1360</v>
      </c>
      <c r="R1482" s="2" t="s">
        <v>28</v>
      </c>
      <c r="S1482" s="9">
        <f t="shared" si="114"/>
        <v>0.05</v>
      </c>
    </row>
    <row r="1483" spans="1:19" x14ac:dyDescent="0.3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e">
        <f>VLOOKUP('Customer Info'!B1475,'Customer Info'!B1475:B1974,1,0)</f>
        <v>#N/A</v>
      </c>
      <c r="H1483" s="6" t="e">
        <f>VLOOKUP('Customer Info'!C1475,'Customer Info'!C1475:C1974,1)</f>
        <v>#N/A</v>
      </c>
      <c r="I1483" s="6" t="e">
        <f>VLOOKUP('Customer Info'!E1475,'Customer Info'!E1475:E1974,1,0)</f>
        <v>#N/A</v>
      </c>
      <c r="J1483" s="2">
        <v>139</v>
      </c>
      <c r="K1483" s="2">
        <v>130</v>
      </c>
      <c r="L1483" s="2">
        <v>5</v>
      </c>
      <c r="M1483" s="7">
        <f t="shared" ref="M1483:M1546" si="115">(K1483*L1483)</f>
        <v>650</v>
      </c>
      <c r="N1483" s="7">
        <f t="shared" ref="N1483:N1546" si="116">(J1483*L1483)</f>
        <v>695</v>
      </c>
      <c r="O1483" s="2">
        <v>30</v>
      </c>
      <c r="P1483" s="8">
        <f t="shared" ref="P1483:P1546" si="117">(N1483+O1483)</f>
        <v>725</v>
      </c>
      <c r="Q1483" s="8">
        <f t="shared" ref="Q1483:Q1546" si="118">(N1483-M1483)</f>
        <v>45</v>
      </c>
      <c r="R1483" s="2" t="s">
        <v>28</v>
      </c>
      <c r="S1483" s="9">
        <f t="shared" ref="S1483:S1546" si="119">_xlfn.IFS(P1483&gt;250000,0.15,P1483&gt;100000,0.12,P1483&gt;50000,0.09,P1483&gt;25000,0.07,P1483&gt;5000,0.05,
 TRUE,0.02)</f>
        <v>0.02</v>
      </c>
    </row>
    <row r="1484" spans="1:19" x14ac:dyDescent="0.3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e">
        <f>VLOOKUP('Customer Info'!B1476,'Customer Info'!B1476:B1975,1,0)</f>
        <v>#N/A</v>
      </c>
      <c r="H1484" s="6" t="e">
        <f>VLOOKUP('Customer Info'!C1476,'Customer Info'!C1476:C1975,1)</f>
        <v>#N/A</v>
      </c>
      <c r="I1484" s="6" t="e">
        <f>VLOOKUP('Customer Info'!E1476,'Customer Info'!E1476:E1975,1,0)</f>
        <v>#N/A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1280</v>
      </c>
      <c r="R1484" s="2" t="s">
        <v>26</v>
      </c>
      <c r="S1484" s="9">
        <f t="shared" si="119"/>
        <v>0.05</v>
      </c>
    </row>
    <row r="1485" spans="1:19" x14ac:dyDescent="0.3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e">
        <f>VLOOKUP('Customer Info'!B1477,'Customer Info'!B1477:B1976,1,0)</f>
        <v>#N/A</v>
      </c>
      <c r="H1485" s="6" t="e">
        <f>VLOOKUP('Customer Info'!C1477,'Customer Info'!C1477:C1976,1)</f>
        <v>#N/A</v>
      </c>
      <c r="I1485" s="6" t="e">
        <f>VLOOKUP('Customer Info'!E1477,'Customer Info'!E1477:E1976,1,0)</f>
        <v>#N/A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264</v>
      </c>
      <c r="R1485" s="2" t="s">
        <v>50</v>
      </c>
      <c r="S1485" s="9">
        <f t="shared" si="119"/>
        <v>0.02</v>
      </c>
    </row>
    <row r="1486" spans="1:19" x14ac:dyDescent="0.3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e">
        <f>VLOOKUP('Customer Info'!B1478,'Customer Info'!B1478:B1977,1,0)</f>
        <v>#N/A</v>
      </c>
      <c r="H1486" s="6" t="e">
        <f>VLOOKUP('Customer Info'!C1478,'Customer Info'!C1478:C1977,1)</f>
        <v>#N/A</v>
      </c>
      <c r="I1486" s="6" t="e">
        <f>VLOOKUP('Customer Info'!E1478,'Customer Info'!E1478:E1977,1,0)</f>
        <v>#N/A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146</v>
      </c>
      <c r="R1486" s="2" t="s">
        <v>50</v>
      </c>
      <c r="S1486" s="9">
        <f t="shared" si="119"/>
        <v>0.02</v>
      </c>
    </row>
    <row r="1487" spans="1:19" x14ac:dyDescent="0.3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e">
        <f>VLOOKUP('Customer Info'!B1479,'Customer Info'!B1479:B1978,1,0)</f>
        <v>#N/A</v>
      </c>
      <c r="H1487" s="6" t="e">
        <f>VLOOKUP('Customer Info'!C1479,'Customer Info'!C1479:C1978,1)</f>
        <v>#N/A</v>
      </c>
      <c r="I1487" s="6" t="e">
        <f>VLOOKUP('Customer Info'!E1479,'Customer Info'!E1479:E1978,1,0)</f>
        <v>#N/A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240</v>
      </c>
      <c r="R1487" s="2" t="s">
        <v>56</v>
      </c>
      <c r="S1487" s="9">
        <f t="shared" si="119"/>
        <v>0.02</v>
      </c>
    </row>
    <row r="1488" spans="1:19" x14ac:dyDescent="0.3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e">
        <f>VLOOKUP('Customer Info'!B1480,'Customer Info'!B1480:B1979,1,0)</f>
        <v>#N/A</v>
      </c>
      <c r="H1488" s="6" t="e">
        <f>VLOOKUP('Customer Info'!C1480,'Customer Info'!C1480:C1979,1)</f>
        <v>#N/A</v>
      </c>
      <c r="I1488" s="6" t="e">
        <f>VLOOKUP('Customer Info'!E1480,'Customer Info'!E1480:E1979,1,0)</f>
        <v>#N/A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1302</v>
      </c>
      <c r="R1488" s="2" t="s">
        <v>26</v>
      </c>
      <c r="S1488" s="9">
        <f t="shared" si="119"/>
        <v>0.05</v>
      </c>
    </row>
    <row r="1489" spans="1:19" x14ac:dyDescent="0.3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e">
        <f>VLOOKUP('Customer Info'!B1481,'Customer Info'!B1481:B1980,1,0)</f>
        <v>#N/A</v>
      </c>
      <c r="H1489" s="6" t="e">
        <f>VLOOKUP('Customer Info'!C1481,'Customer Info'!C1481:C1980,1)</f>
        <v>#N/A</v>
      </c>
      <c r="I1489" s="6" t="e">
        <f>VLOOKUP('Customer Info'!E1481,'Customer Info'!E1481:E1980,1,0)</f>
        <v>#N/A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670</v>
      </c>
      <c r="R1489" s="2" t="s">
        <v>26</v>
      </c>
      <c r="S1489" s="9">
        <f t="shared" si="119"/>
        <v>0.05</v>
      </c>
    </row>
    <row r="1490" spans="1:19" x14ac:dyDescent="0.3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e">
        <f>VLOOKUP('Customer Info'!B1482,'Customer Info'!B1482:B1981,1,0)</f>
        <v>#N/A</v>
      </c>
      <c r="H1490" s="6" t="e">
        <f>VLOOKUP('Customer Info'!C1482,'Customer Info'!C1482:C1981,1)</f>
        <v>#N/A</v>
      </c>
      <c r="I1490" s="6" t="e">
        <f>VLOOKUP('Customer Info'!E1482,'Customer Info'!E1482:E1981,1,0)</f>
        <v>#N/A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25</v>
      </c>
      <c r="R1490" s="2" t="s">
        <v>28</v>
      </c>
      <c r="S1490" s="9">
        <f t="shared" si="119"/>
        <v>0.02</v>
      </c>
    </row>
    <row r="1491" spans="1:19" x14ac:dyDescent="0.3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e">
        <f>VLOOKUP('Customer Info'!B1483,'Customer Info'!B1483:B1982,1,0)</f>
        <v>#N/A</v>
      </c>
      <c r="H1491" s="6" t="e">
        <f>VLOOKUP('Customer Info'!C1483,'Customer Info'!C1483:C1982,1)</f>
        <v>#N/A</v>
      </c>
      <c r="I1491" s="6" t="e">
        <f>VLOOKUP('Customer Info'!E1483,'Customer Info'!E1483:E1982,1,0)</f>
        <v>#N/A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8</v>
      </c>
      <c r="R1491" s="2" t="s">
        <v>28</v>
      </c>
      <c r="S1491" s="9">
        <f t="shared" si="119"/>
        <v>0.02</v>
      </c>
    </row>
    <row r="1492" spans="1:19" x14ac:dyDescent="0.3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e">
        <f>VLOOKUP('Customer Info'!B1484,'Customer Info'!B1484:B1983,1,0)</f>
        <v>#N/A</v>
      </c>
      <c r="H1492" s="6" t="e">
        <f>VLOOKUP('Customer Info'!C1484,'Customer Info'!C1484:C1983,1)</f>
        <v>#N/A</v>
      </c>
      <c r="I1492" s="6" t="e">
        <f>VLOOKUP('Customer Info'!E1484,'Customer Info'!E1484:E1983,1,0)</f>
        <v>#N/A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676</v>
      </c>
      <c r="R1492" s="2" t="s">
        <v>50</v>
      </c>
      <c r="S1492" s="9">
        <f t="shared" si="119"/>
        <v>0.05</v>
      </c>
    </row>
    <row r="1493" spans="1:19" x14ac:dyDescent="0.3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e">
        <f>VLOOKUP('Customer Info'!B1485,'Customer Info'!B1485:B1984,1,0)</f>
        <v>#N/A</v>
      </c>
      <c r="H1493" s="6" t="e">
        <f>VLOOKUP('Customer Info'!C1485,'Customer Info'!C1485:C1984,1)</f>
        <v>#N/A</v>
      </c>
      <c r="I1493" s="6" t="e">
        <f>VLOOKUP('Customer Info'!E1485,'Customer Info'!E1485:E1984,1,0)</f>
        <v>#N/A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1677</v>
      </c>
      <c r="R1493" s="2" t="s">
        <v>28</v>
      </c>
      <c r="S1493" s="9">
        <f t="shared" si="119"/>
        <v>0.05</v>
      </c>
    </row>
    <row r="1494" spans="1:19" x14ac:dyDescent="0.3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e">
        <f>VLOOKUP('Customer Info'!B1486,'Customer Info'!B1486:B1985,1,0)</f>
        <v>#N/A</v>
      </c>
      <c r="H1494" s="6" t="e">
        <f>VLOOKUP('Customer Info'!C1486,'Customer Info'!C1486:C1985,1)</f>
        <v>#N/A</v>
      </c>
      <c r="I1494" s="6" t="e">
        <f>VLOOKUP('Customer Info'!E1486,'Customer Info'!E1486:E1985,1,0)</f>
        <v>#N/A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65</v>
      </c>
      <c r="R1494" s="2" t="s">
        <v>50</v>
      </c>
      <c r="S1494" s="9">
        <f t="shared" si="119"/>
        <v>0.02</v>
      </c>
    </row>
    <row r="1495" spans="1:19" x14ac:dyDescent="0.3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e">
        <f>VLOOKUP('Customer Info'!B1487,'Customer Info'!B1487:B1986,1,0)</f>
        <v>#N/A</v>
      </c>
      <c r="H1495" s="6" t="e">
        <f>VLOOKUP('Customer Info'!C1487,'Customer Info'!C1487:C1986,1)</f>
        <v>#N/A</v>
      </c>
      <c r="I1495" s="6" t="e">
        <f>VLOOKUP('Customer Info'!E1487,'Customer Info'!E1487:E1986,1,0)</f>
        <v>#N/A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42</v>
      </c>
      <c r="R1495" s="2" t="s">
        <v>28</v>
      </c>
      <c r="S1495" s="9">
        <f t="shared" si="119"/>
        <v>0.02</v>
      </c>
    </row>
    <row r="1496" spans="1:19" x14ac:dyDescent="0.3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e">
        <f>VLOOKUP('Customer Info'!B1488,'Customer Info'!B1488:B1987,1,0)</f>
        <v>#N/A</v>
      </c>
      <c r="H1496" s="6" t="e">
        <f>VLOOKUP('Customer Info'!C1488,'Customer Info'!C1488:C1987,1)</f>
        <v>#N/A</v>
      </c>
      <c r="I1496" s="6" t="e">
        <f>VLOOKUP('Customer Info'!E1488,'Customer Info'!E1488:E1987,1,0)</f>
        <v>#N/A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18</v>
      </c>
      <c r="R1496" s="2" t="s">
        <v>50</v>
      </c>
      <c r="S1496" s="9">
        <f t="shared" si="119"/>
        <v>0.02</v>
      </c>
    </row>
    <row r="1497" spans="1:19" x14ac:dyDescent="0.3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e">
        <f>VLOOKUP('Customer Info'!B1489,'Customer Info'!B1489:B1988,1,0)</f>
        <v>#N/A</v>
      </c>
      <c r="H1497" s="6" t="e">
        <f>VLOOKUP('Customer Info'!C1489,'Customer Info'!C1489:C1988,1)</f>
        <v>#N/A</v>
      </c>
      <c r="I1497" s="6" t="e">
        <f>VLOOKUP('Customer Info'!E1489,'Customer Info'!E1489:E1988,1,0)</f>
        <v>#N/A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291</v>
      </c>
      <c r="R1497" s="2" t="s">
        <v>50</v>
      </c>
      <c r="S1497" s="9">
        <f t="shared" si="119"/>
        <v>0.02</v>
      </c>
    </row>
    <row r="1498" spans="1:19" x14ac:dyDescent="0.3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e">
        <f>VLOOKUP('Customer Info'!B1490,'Customer Info'!B1490:B1989,1,0)</f>
        <v>#N/A</v>
      </c>
      <c r="H1498" s="6" t="e">
        <f>VLOOKUP('Customer Info'!C1490,'Customer Info'!C1490:C1989,1)</f>
        <v>#N/A</v>
      </c>
      <c r="I1498" s="6" t="e">
        <f>VLOOKUP('Customer Info'!E1490,'Customer Info'!E1490:E1989,1,0)</f>
        <v>#N/A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46</v>
      </c>
      <c r="R1498" s="2" t="s">
        <v>56</v>
      </c>
      <c r="S1498" s="9">
        <f t="shared" si="119"/>
        <v>0.02</v>
      </c>
    </row>
    <row r="1499" spans="1:19" x14ac:dyDescent="0.3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e">
        <f>VLOOKUP('Customer Info'!B1491,'Customer Info'!B1491:B1990,1,0)</f>
        <v>#N/A</v>
      </c>
      <c r="H1499" s="6" t="e">
        <f>VLOOKUP('Customer Info'!C1491,'Customer Info'!C1491:C1990,1)</f>
        <v>#N/A</v>
      </c>
      <c r="I1499" s="6" t="e">
        <f>VLOOKUP('Customer Info'!E1491,'Customer Info'!E1491:E1990,1,0)</f>
        <v>#N/A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351</v>
      </c>
      <c r="R1499" s="2" t="s">
        <v>28</v>
      </c>
      <c r="S1499" s="9">
        <f t="shared" si="119"/>
        <v>0.05</v>
      </c>
    </row>
    <row r="1500" spans="1:19" x14ac:dyDescent="0.3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e">
        <f>VLOOKUP('Customer Info'!B1492,'Customer Info'!B1492:B1991,1,0)</f>
        <v>#N/A</v>
      </c>
      <c r="H1500" s="6" t="e">
        <f>VLOOKUP('Customer Info'!C1492,'Customer Info'!C1492:C1991,1)</f>
        <v>#N/A</v>
      </c>
      <c r="I1500" s="6" t="e">
        <f>VLOOKUP('Customer Info'!E1492,'Customer Info'!E1492:E1991,1,0)</f>
        <v>#N/A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1168</v>
      </c>
      <c r="R1500" s="2" t="s">
        <v>56</v>
      </c>
      <c r="S1500" s="9">
        <f t="shared" si="119"/>
        <v>0.05</v>
      </c>
    </row>
    <row r="1501" spans="1:19" x14ac:dyDescent="0.3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e">
        <f>VLOOKUP('Customer Info'!B1493,'Customer Info'!B1493:B1992,1,0)</f>
        <v>#N/A</v>
      </c>
      <c r="H1501" s="6" t="e">
        <f>VLOOKUP('Customer Info'!C1493,'Customer Info'!C1493:C1992,1)</f>
        <v>#N/A</v>
      </c>
      <c r="I1501" s="6" t="e">
        <f>VLOOKUP('Customer Info'!E1493,'Customer Info'!E1493:E1992,1,0)</f>
        <v>#N/A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1287</v>
      </c>
      <c r="R1501" s="2" t="s">
        <v>28</v>
      </c>
      <c r="S1501" s="9">
        <f t="shared" si="119"/>
        <v>0.05</v>
      </c>
    </row>
    <row r="1502" spans="1:19" x14ac:dyDescent="0.3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e">
        <f>VLOOKUP('Customer Info'!B1494,'Customer Info'!B1494:B1993,1,0)</f>
        <v>#N/A</v>
      </c>
      <c r="H1502" s="6" t="e">
        <f>VLOOKUP('Customer Info'!C1494,'Customer Info'!C1494:C1993,1)</f>
        <v>#N/A</v>
      </c>
      <c r="I1502" s="6" t="e">
        <f>VLOOKUP('Customer Info'!E1494,'Customer Info'!E1494:E1993,1,0)</f>
        <v>#N/A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325</v>
      </c>
      <c r="R1502" s="2" t="s">
        <v>50</v>
      </c>
      <c r="S1502" s="9">
        <f t="shared" si="119"/>
        <v>0.02</v>
      </c>
    </row>
    <row r="1503" spans="1:19" x14ac:dyDescent="0.3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e">
        <f>VLOOKUP('Customer Info'!B1495,'Customer Info'!B1495:B1994,1,0)</f>
        <v>#N/A</v>
      </c>
      <c r="H1503" s="6" t="e">
        <f>VLOOKUP('Customer Info'!C1495,'Customer Info'!C1495:C1994,1)</f>
        <v>#N/A</v>
      </c>
      <c r="I1503" s="6" t="e">
        <f>VLOOKUP('Customer Info'!E1495,'Customer Info'!E1495:E1994,1,0)</f>
        <v>#N/A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1755</v>
      </c>
      <c r="R1503" s="2" t="s">
        <v>28</v>
      </c>
      <c r="S1503" s="9">
        <f t="shared" si="119"/>
        <v>0.05</v>
      </c>
    </row>
    <row r="1504" spans="1:19" x14ac:dyDescent="0.3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e">
        <f>VLOOKUP('Customer Info'!B1496,'Customer Info'!B1496:B1995,1,0)</f>
        <v>#N/A</v>
      </c>
      <c r="H1504" s="6" t="e">
        <f>VLOOKUP('Customer Info'!C1496,'Customer Info'!C1496:C1995,1)</f>
        <v>#N/A</v>
      </c>
      <c r="I1504" s="6" t="e">
        <f>VLOOKUP('Customer Info'!E1496,'Customer Info'!E1496:E1995,1,0)</f>
        <v>#N/A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4</v>
      </c>
      <c r="R1504" s="2" t="s">
        <v>50</v>
      </c>
      <c r="S1504" s="9">
        <f t="shared" si="119"/>
        <v>0.02</v>
      </c>
    </row>
    <row r="1505" spans="1:19" x14ac:dyDescent="0.3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e">
        <f>VLOOKUP('Customer Info'!B1497,'Customer Info'!B1497:B1996,1,0)</f>
        <v>#N/A</v>
      </c>
      <c r="H1505" s="6" t="e">
        <f>VLOOKUP('Customer Info'!C1497,'Customer Info'!C1497:C1996,1)</f>
        <v>#N/A</v>
      </c>
      <c r="I1505" s="6" t="e">
        <f>VLOOKUP('Customer Info'!E1497,'Customer Info'!E1497:E1996,1,0)</f>
        <v>#N/A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40</v>
      </c>
      <c r="R1505" s="2" t="s">
        <v>28</v>
      </c>
      <c r="S1505" s="9">
        <f t="shared" si="119"/>
        <v>0.02</v>
      </c>
    </row>
    <row r="1506" spans="1:19" x14ac:dyDescent="0.3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e">
        <f>VLOOKUP('Customer Info'!B1498,'Customer Info'!B1498:B1997,1,0)</f>
        <v>#N/A</v>
      </c>
      <c r="H1506" s="6" t="e">
        <f>VLOOKUP('Customer Info'!C1498,'Customer Info'!C1498:C1997,1)</f>
        <v>#N/A</v>
      </c>
      <c r="I1506" s="6" t="e">
        <f>VLOOKUP('Customer Info'!E1498,'Customer Info'!E1498:E1997,1,0)</f>
        <v>#N/A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14</v>
      </c>
      <c r="R1506" s="2" t="s">
        <v>50</v>
      </c>
      <c r="S1506" s="9">
        <f t="shared" si="119"/>
        <v>0.02</v>
      </c>
    </row>
    <row r="1507" spans="1:19" x14ac:dyDescent="0.3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e">
        <f>VLOOKUP('Customer Info'!B1499,'Customer Info'!B1499:B1998,1,0)</f>
        <v>#N/A</v>
      </c>
      <c r="H1507" s="6" t="e">
        <f>VLOOKUP('Customer Info'!C1499,'Customer Info'!C1499:C1998,1)</f>
        <v>#N/A</v>
      </c>
      <c r="I1507" s="6" t="e">
        <f>VLOOKUP('Customer Info'!E1499,'Customer Info'!E1499:E1998,1,0)</f>
        <v>#N/A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3164</v>
      </c>
      <c r="R1507" s="2" t="s">
        <v>50</v>
      </c>
      <c r="S1507" s="9">
        <f t="shared" si="119"/>
        <v>7.0000000000000007E-2</v>
      </c>
    </row>
    <row r="1508" spans="1:19" x14ac:dyDescent="0.3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e">
        <f>VLOOKUP('Customer Info'!B1500,'Customer Info'!B1500:B1999,1,0)</f>
        <v>#N/A</v>
      </c>
      <c r="H1508" s="6" t="e">
        <f>VLOOKUP('Customer Info'!C1500,'Customer Info'!C1500:C1999,1)</f>
        <v>#N/A</v>
      </c>
      <c r="I1508" s="6" t="e">
        <f>VLOOKUP('Customer Info'!E1500,'Customer Info'!E1500:E1999,1,0)</f>
        <v>#N/A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430</v>
      </c>
      <c r="R1508" s="2" t="s">
        <v>50</v>
      </c>
      <c r="S1508" s="9">
        <f t="shared" si="119"/>
        <v>0.05</v>
      </c>
    </row>
    <row r="1509" spans="1:19" x14ac:dyDescent="0.3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e">
        <f>VLOOKUP('Customer Info'!B1501,'Customer Info'!B1501:B2000,1,0)</f>
        <v>#N/A</v>
      </c>
      <c r="H1509" s="6" t="e">
        <f>VLOOKUP('Customer Info'!C1501,'Customer Info'!C1501:C2000,1)</f>
        <v>#N/A</v>
      </c>
      <c r="I1509" s="6" t="e">
        <f>VLOOKUP('Customer Info'!E1501,'Customer Info'!E1501:E2000,1,0)</f>
        <v>#N/A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150</v>
      </c>
      <c r="R1509" s="2" t="s">
        <v>28</v>
      </c>
      <c r="S1509" s="9">
        <f t="shared" si="119"/>
        <v>0.02</v>
      </c>
    </row>
    <row r="1510" spans="1:19" x14ac:dyDescent="0.3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e">
        <f>VLOOKUP('Customer Info'!B1502,'Customer Info'!B1502:B2001,1,0)</f>
        <v>#N/A</v>
      </c>
      <c r="H1510" s="6" t="e">
        <f>VLOOKUP('Customer Info'!C1502,'Customer Info'!C1502:C2001,1)</f>
        <v>#N/A</v>
      </c>
      <c r="I1510" s="6" t="e">
        <f>VLOOKUP('Customer Info'!E1502,'Customer Info'!E1502:E2001,1,0)</f>
        <v>#N/A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192</v>
      </c>
      <c r="R1510" s="2" t="s">
        <v>50</v>
      </c>
      <c r="S1510" s="9">
        <f t="shared" si="119"/>
        <v>0.02</v>
      </c>
    </row>
    <row r="1511" spans="1:19" x14ac:dyDescent="0.3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e">
        <f>VLOOKUP('Customer Info'!B1503,'Customer Info'!B1503:B2002,1,0)</f>
        <v>#N/A</v>
      </c>
      <c r="H1511" s="6" t="e">
        <f>VLOOKUP('Customer Info'!C1503,'Customer Info'!C1503:C2002,1)</f>
        <v>#N/A</v>
      </c>
      <c r="I1511" s="6" t="e">
        <f>VLOOKUP('Customer Info'!E1503,'Customer Info'!E1503:E2002,1,0)</f>
        <v>#N/A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160</v>
      </c>
      <c r="R1511" s="2" t="s">
        <v>50</v>
      </c>
      <c r="S1511" s="9">
        <f t="shared" si="119"/>
        <v>0.02</v>
      </c>
    </row>
    <row r="1512" spans="1:19" x14ac:dyDescent="0.3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e">
        <f>VLOOKUP('Customer Info'!B1504,'Customer Info'!B1504:B2003,1,0)</f>
        <v>#N/A</v>
      </c>
      <c r="H1512" s="6" t="e">
        <f>VLOOKUP('Customer Info'!C1504,'Customer Info'!C1504:C2003,1)</f>
        <v>#N/A</v>
      </c>
      <c r="I1512" s="6" t="e">
        <f>VLOOKUP('Customer Info'!E1504,'Customer Info'!E1504:E2003,1,0)</f>
        <v>#N/A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75</v>
      </c>
      <c r="R1512" s="2" t="s">
        <v>28</v>
      </c>
      <c r="S1512" s="9">
        <f t="shared" si="119"/>
        <v>0.02</v>
      </c>
    </row>
    <row r="1513" spans="1:19" x14ac:dyDescent="0.3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e">
        <f>VLOOKUP('Customer Info'!B1505,'Customer Info'!B1505:B2004,1,0)</f>
        <v>#N/A</v>
      </c>
      <c r="H1513" s="6" t="e">
        <f>VLOOKUP('Customer Info'!C1505,'Customer Info'!C1505:C2004,1)</f>
        <v>#N/A</v>
      </c>
      <c r="I1513" s="6" t="e">
        <f>VLOOKUP('Customer Info'!E1505,'Customer Info'!E1505:E2004,1,0)</f>
        <v>#N/A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56</v>
      </c>
      <c r="R1513" s="2" t="s">
        <v>50</v>
      </c>
      <c r="S1513" s="9">
        <f t="shared" si="119"/>
        <v>0.02</v>
      </c>
    </row>
    <row r="1514" spans="1:19" x14ac:dyDescent="0.3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e">
        <f>VLOOKUP('Customer Info'!B1506,'Customer Info'!B1506:B2005,1,0)</f>
        <v>#N/A</v>
      </c>
      <c r="H1514" s="6" t="e">
        <f>VLOOKUP('Customer Info'!C1506,'Customer Info'!C1506:C2005,1)</f>
        <v>#N/A</v>
      </c>
      <c r="I1514" s="6" t="e">
        <f>VLOOKUP('Customer Info'!E1506,'Customer Info'!E1506:E2005,1,0)</f>
        <v>#N/A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51</v>
      </c>
      <c r="R1514" s="2" t="s">
        <v>26</v>
      </c>
      <c r="S1514" s="9">
        <f t="shared" si="119"/>
        <v>0.02</v>
      </c>
    </row>
    <row r="1515" spans="1:19" x14ac:dyDescent="0.3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e">
        <f>VLOOKUP('Customer Info'!B1507,'Customer Info'!B1507:B2006,1,0)</f>
        <v>#N/A</v>
      </c>
      <c r="H1515" s="6" t="e">
        <f>VLOOKUP('Customer Info'!C1507,'Customer Info'!C1507:C2006,1)</f>
        <v>#N/A</v>
      </c>
      <c r="I1515" s="6" t="e">
        <f>VLOOKUP('Customer Info'!E1507,'Customer Info'!E1507:E2006,1,0)</f>
        <v>#N/A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85</v>
      </c>
      <c r="R1515" s="2" t="s">
        <v>28</v>
      </c>
      <c r="S1515" s="9">
        <f t="shared" si="119"/>
        <v>0.02</v>
      </c>
    </row>
    <row r="1516" spans="1:19" x14ac:dyDescent="0.3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e">
        <f>VLOOKUP('Customer Info'!B1508,'Customer Info'!B1508:B2007,1,0)</f>
        <v>#N/A</v>
      </c>
      <c r="H1516" s="6" t="e">
        <f>VLOOKUP('Customer Info'!C1508,'Customer Info'!C1508:C2007,1)</f>
        <v>#N/A</v>
      </c>
      <c r="I1516" s="6" t="e">
        <f>VLOOKUP('Customer Info'!E1508,'Customer Info'!E1508:E2007,1,0)</f>
        <v>#N/A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915</v>
      </c>
      <c r="R1516" s="2" t="s">
        <v>28</v>
      </c>
      <c r="S1516" s="9">
        <f t="shared" si="119"/>
        <v>0.05</v>
      </c>
    </row>
    <row r="1517" spans="1:19" x14ac:dyDescent="0.3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e">
        <f>VLOOKUP('Customer Info'!B1509,'Customer Info'!B1509:B2008,1,0)</f>
        <v>#N/A</v>
      </c>
      <c r="H1517" s="6" t="e">
        <f>VLOOKUP('Customer Info'!C1509,'Customer Info'!C1509:C2008,1)</f>
        <v>#N/A</v>
      </c>
      <c r="I1517" s="6" t="e">
        <f>VLOOKUP('Customer Info'!E1509,'Customer Info'!E1509:E2008,1,0)</f>
        <v>#N/A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92</v>
      </c>
      <c r="R1517" s="2" t="s">
        <v>50</v>
      </c>
      <c r="S1517" s="9">
        <f t="shared" si="119"/>
        <v>0.02</v>
      </c>
    </row>
    <row r="1518" spans="1:19" x14ac:dyDescent="0.3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e">
        <f>VLOOKUP('Customer Info'!B1510,'Customer Info'!B1510:B2009,1,0)</f>
        <v>#N/A</v>
      </c>
      <c r="H1518" s="6" t="e">
        <f>VLOOKUP('Customer Info'!C1510,'Customer Info'!C1510:C2009,1)</f>
        <v>#N/A</v>
      </c>
      <c r="I1518" s="6" t="e">
        <f>VLOOKUP('Customer Info'!E1510,'Customer Info'!E1510:E2009,1,0)</f>
        <v>#N/A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77</v>
      </c>
      <c r="R1518" s="2" t="s">
        <v>28</v>
      </c>
      <c r="S1518" s="9">
        <f t="shared" si="119"/>
        <v>0.02</v>
      </c>
    </row>
    <row r="1519" spans="1:19" x14ac:dyDescent="0.3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e">
        <f>VLOOKUP('Customer Info'!B1511,'Customer Info'!B1511:B2010,1,0)</f>
        <v>#N/A</v>
      </c>
      <c r="H1519" s="6" t="e">
        <f>VLOOKUP('Customer Info'!C1511,'Customer Info'!C1511:C2010,1)</f>
        <v>#N/A</v>
      </c>
      <c r="I1519" s="6" t="e">
        <f>VLOOKUP('Customer Info'!E1511,'Customer Info'!E1511:E2010,1,0)</f>
        <v>#N/A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470</v>
      </c>
      <c r="R1519" s="2" t="s">
        <v>28</v>
      </c>
      <c r="S1519" s="9">
        <f t="shared" si="119"/>
        <v>0.02</v>
      </c>
    </row>
    <row r="1520" spans="1:19" x14ac:dyDescent="0.3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e">
        <f>VLOOKUP('Customer Info'!B1512,'Customer Info'!B1512:B2011,1,0)</f>
        <v>#N/A</v>
      </c>
      <c r="H1520" s="6" t="e">
        <f>VLOOKUP('Customer Info'!C1512,'Customer Info'!C1512:C2011,1)</f>
        <v>#N/A</v>
      </c>
      <c r="I1520" s="6" t="e">
        <f>VLOOKUP('Customer Info'!E1512,'Customer Info'!E1512:E2011,1,0)</f>
        <v>#N/A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14</v>
      </c>
      <c r="R1520" s="2" t="s">
        <v>28</v>
      </c>
      <c r="S1520" s="9">
        <f t="shared" si="119"/>
        <v>0.02</v>
      </c>
    </row>
    <row r="1521" spans="1:19" x14ac:dyDescent="0.3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e">
        <f>VLOOKUP('Customer Info'!B1513,'Customer Info'!B1513:B2012,1,0)</f>
        <v>#N/A</v>
      </c>
      <c r="H1521" s="6" t="e">
        <f>VLOOKUP('Customer Info'!C1513,'Customer Info'!C1513:C2012,1)</f>
        <v>#N/A</v>
      </c>
      <c r="I1521" s="6" t="e">
        <f>VLOOKUP('Customer Info'!E1513,'Customer Info'!E1513:E2012,1,0)</f>
        <v>#N/A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1260</v>
      </c>
      <c r="R1521" s="2" t="s">
        <v>50</v>
      </c>
      <c r="S1521" s="9">
        <f t="shared" si="119"/>
        <v>7.0000000000000007E-2</v>
      </c>
    </row>
    <row r="1522" spans="1:19" x14ac:dyDescent="0.3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e">
        <f>VLOOKUP('Customer Info'!B1514,'Customer Info'!B1514:B2013,1,0)</f>
        <v>#N/A</v>
      </c>
      <c r="H1522" s="6" t="e">
        <f>VLOOKUP('Customer Info'!C1514,'Customer Info'!C1514:C2013,1)</f>
        <v>#N/A</v>
      </c>
      <c r="I1522" s="6" t="e">
        <f>VLOOKUP('Customer Info'!E1514,'Customer Info'!E1514:E2013,1,0)</f>
        <v>#N/A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1083</v>
      </c>
      <c r="R1522" s="2" t="s">
        <v>50</v>
      </c>
      <c r="S1522" s="9">
        <f t="shared" si="119"/>
        <v>0.05</v>
      </c>
    </row>
    <row r="1523" spans="1:19" x14ac:dyDescent="0.3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e">
        <f>VLOOKUP('Customer Info'!B1515,'Customer Info'!B1515:B2014,1,0)</f>
        <v>#N/A</v>
      </c>
      <c r="H1523" s="6" t="e">
        <f>VLOOKUP('Customer Info'!C1515,'Customer Info'!C1515:C2014,1)</f>
        <v>#N/A</v>
      </c>
      <c r="I1523" s="6" t="e">
        <f>VLOOKUP('Customer Info'!E1515,'Customer Info'!E1515:E2014,1,0)</f>
        <v>#N/A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352</v>
      </c>
      <c r="R1523" s="2" t="s">
        <v>26</v>
      </c>
      <c r="S1523" s="9">
        <f t="shared" si="119"/>
        <v>0.02</v>
      </c>
    </row>
    <row r="1524" spans="1:19" x14ac:dyDescent="0.3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e">
        <f>VLOOKUP('Customer Info'!B1516,'Customer Info'!B1516:B2015,1,0)</f>
        <v>#N/A</v>
      </c>
      <c r="H1524" s="6" t="e">
        <f>VLOOKUP('Customer Info'!C1516,'Customer Info'!C1516:C2015,1)</f>
        <v>#N/A</v>
      </c>
      <c r="I1524" s="6" t="e">
        <f>VLOOKUP('Customer Info'!E1516,'Customer Info'!E1516:E2015,1,0)</f>
        <v>#N/A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3035</v>
      </c>
      <c r="R1524" s="2" t="s">
        <v>28</v>
      </c>
      <c r="S1524" s="9">
        <f t="shared" si="119"/>
        <v>7.0000000000000007E-2</v>
      </c>
    </row>
    <row r="1525" spans="1:19" x14ac:dyDescent="0.3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e">
        <f>VLOOKUP('Customer Info'!B1517,'Customer Info'!B1517:B2016,1,0)</f>
        <v>#N/A</v>
      </c>
      <c r="H1525" s="6" t="e">
        <f>VLOOKUP('Customer Info'!C1517,'Customer Info'!C1517:C2016,1)</f>
        <v>#N/A</v>
      </c>
      <c r="I1525" s="6" t="e">
        <f>VLOOKUP('Customer Info'!E1517,'Customer Info'!E1517:E2016,1,0)</f>
        <v>#N/A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294</v>
      </c>
      <c r="R1525" s="2" t="s">
        <v>50</v>
      </c>
      <c r="S1525" s="9">
        <f t="shared" si="119"/>
        <v>0.02</v>
      </c>
    </row>
    <row r="1526" spans="1:19" x14ac:dyDescent="0.3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e">
        <f>VLOOKUP('Customer Info'!B1518,'Customer Info'!B1518:B2017,1,0)</f>
        <v>#N/A</v>
      </c>
      <c r="H1526" s="6" t="e">
        <f>VLOOKUP('Customer Info'!C1518,'Customer Info'!C1518:C2017,1)</f>
        <v>#N/A</v>
      </c>
      <c r="I1526" s="6" t="e">
        <f>VLOOKUP('Customer Info'!E1518,'Customer Info'!E1518:E2017,1,0)</f>
        <v>#N/A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1350</v>
      </c>
      <c r="R1526" s="2" t="s">
        <v>28</v>
      </c>
      <c r="S1526" s="9">
        <f t="shared" si="119"/>
        <v>0.05</v>
      </c>
    </row>
    <row r="1527" spans="1:19" x14ac:dyDescent="0.3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e">
        <f>VLOOKUP('Customer Info'!B1519,'Customer Info'!B1519:B2018,1,0)</f>
        <v>#N/A</v>
      </c>
      <c r="H1527" s="6" t="e">
        <f>VLOOKUP('Customer Info'!C1519,'Customer Info'!C1519:C2018,1)</f>
        <v>#N/A</v>
      </c>
      <c r="I1527" s="6" t="e">
        <f>VLOOKUP('Customer Info'!E1519,'Customer Info'!E1519:E2018,1,0)</f>
        <v>#N/A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1448</v>
      </c>
      <c r="R1527" s="2" t="s">
        <v>28</v>
      </c>
      <c r="S1527" s="9">
        <f t="shared" si="119"/>
        <v>7.0000000000000007E-2</v>
      </c>
    </row>
    <row r="1528" spans="1:19" x14ac:dyDescent="0.3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e">
        <f>VLOOKUP('Customer Info'!B1520,'Customer Info'!B1520:B2019,1,0)</f>
        <v>#N/A</v>
      </c>
      <c r="H1528" s="6" t="e">
        <f>VLOOKUP('Customer Info'!C1520,'Customer Info'!C1520:C2019,1)</f>
        <v>#N/A</v>
      </c>
      <c r="I1528" s="6" t="e">
        <f>VLOOKUP('Customer Info'!E1520,'Customer Info'!E1520:E2019,1,0)</f>
        <v>#N/A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1408</v>
      </c>
      <c r="R1528" s="2" t="s">
        <v>26</v>
      </c>
      <c r="S1528" s="9">
        <f t="shared" si="119"/>
        <v>0.05</v>
      </c>
    </row>
    <row r="1529" spans="1:19" x14ac:dyDescent="0.3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e">
        <f>VLOOKUP('Customer Info'!B1521,'Customer Info'!B1521:B2020,1,0)</f>
        <v>#N/A</v>
      </c>
      <c r="H1529" s="6" t="e">
        <f>VLOOKUP('Customer Info'!C1521,'Customer Info'!C1521:C2020,1)</f>
        <v>#N/A</v>
      </c>
      <c r="I1529" s="6" t="e">
        <f>VLOOKUP('Customer Info'!E1521,'Customer Info'!E1521:E2020,1,0)</f>
        <v>#N/A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36</v>
      </c>
      <c r="R1529" s="2" t="s">
        <v>28</v>
      </c>
      <c r="S1529" s="9">
        <f t="shared" si="119"/>
        <v>0.02</v>
      </c>
    </row>
    <row r="1530" spans="1:19" x14ac:dyDescent="0.3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e">
        <f>VLOOKUP('Customer Info'!B1522,'Customer Info'!B1522:B2021,1,0)</f>
        <v>#N/A</v>
      </c>
      <c r="H1530" s="6" t="e">
        <f>VLOOKUP('Customer Info'!C1522,'Customer Info'!C1522:C2021,1)</f>
        <v>#N/A</v>
      </c>
      <c r="I1530" s="6" t="e">
        <f>VLOOKUP('Customer Info'!E1522,'Customer Info'!E1522:E2021,1,0)</f>
        <v>#N/A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616</v>
      </c>
      <c r="R1530" s="2" t="s">
        <v>50</v>
      </c>
      <c r="S1530" s="9">
        <f t="shared" si="119"/>
        <v>0.05</v>
      </c>
    </row>
    <row r="1531" spans="1:19" x14ac:dyDescent="0.3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e">
        <f>VLOOKUP('Customer Info'!B1523,'Customer Info'!B1523:B2022,1,0)</f>
        <v>#N/A</v>
      </c>
      <c r="H1531" s="6" t="e">
        <f>VLOOKUP('Customer Info'!C1523,'Customer Info'!C1523:C2022,1)</f>
        <v>#N/A</v>
      </c>
      <c r="I1531" s="6" t="e">
        <f>VLOOKUP('Customer Info'!E1523,'Customer Info'!E1523:E2022,1,0)</f>
        <v>#N/A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1744</v>
      </c>
      <c r="R1531" s="2" t="s">
        <v>50</v>
      </c>
      <c r="S1531" s="9">
        <f t="shared" si="119"/>
        <v>7.0000000000000007E-2</v>
      </c>
    </row>
    <row r="1532" spans="1:19" x14ac:dyDescent="0.3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e">
        <f>VLOOKUP('Customer Info'!B1524,'Customer Info'!B1524:B2023,1,0)</f>
        <v>#N/A</v>
      </c>
      <c r="H1532" s="6" t="e">
        <f>VLOOKUP('Customer Info'!C1524,'Customer Info'!C1524:C2023,1)</f>
        <v>#N/A</v>
      </c>
      <c r="I1532" s="6" t="e">
        <f>VLOOKUP('Customer Info'!E1524,'Customer Info'!E1524:E2023,1,0)</f>
        <v>#N/A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88</v>
      </c>
      <c r="R1532" s="2" t="s">
        <v>50</v>
      </c>
      <c r="S1532" s="9">
        <f t="shared" si="119"/>
        <v>0.02</v>
      </c>
    </row>
    <row r="1533" spans="1:19" x14ac:dyDescent="0.3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e">
        <f>VLOOKUP('Customer Info'!B1525,'Customer Info'!B1525:B2024,1,0)</f>
        <v>#N/A</v>
      </c>
      <c r="H1533" s="6" t="e">
        <f>VLOOKUP('Customer Info'!C1525,'Customer Info'!C1525:C2024,1)</f>
        <v>#N/A</v>
      </c>
      <c r="I1533" s="6" t="e">
        <f>VLOOKUP('Customer Info'!E1525,'Customer Info'!E1525:E2024,1,0)</f>
        <v>#N/A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20</v>
      </c>
      <c r="R1533" s="2" t="s">
        <v>28</v>
      </c>
      <c r="S1533" s="9">
        <f t="shared" si="119"/>
        <v>0.02</v>
      </c>
    </row>
    <row r="1534" spans="1:19" x14ac:dyDescent="0.3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e">
        <f>VLOOKUP('Customer Info'!B1526,'Customer Info'!B1526:B2025,1,0)</f>
        <v>#N/A</v>
      </c>
      <c r="H1534" s="6" t="e">
        <f>VLOOKUP('Customer Info'!C1526,'Customer Info'!C1526:C2025,1)</f>
        <v>#N/A</v>
      </c>
      <c r="I1534" s="6" t="e">
        <f>VLOOKUP('Customer Info'!E1526,'Customer Info'!E1526:E2025,1,0)</f>
        <v>#N/A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2340</v>
      </c>
      <c r="R1534" s="2" t="s">
        <v>28</v>
      </c>
      <c r="S1534" s="9">
        <f t="shared" si="119"/>
        <v>7.0000000000000007E-2</v>
      </c>
    </row>
    <row r="1535" spans="1:19" x14ac:dyDescent="0.3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e">
        <f>VLOOKUP('Customer Info'!B1527,'Customer Info'!B1527:B2026,1,0)</f>
        <v>#N/A</v>
      </c>
      <c r="H1535" s="6" t="e">
        <f>VLOOKUP('Customer Info'!C1527,'Customer Info'!C1527:C2026,1)</f>
        <v>#N/A</v>
      </c>
      <c r="I1535" s="6" t="e">
        <f>VLOOKUP('Customer Info'!E1527,'Customer Info'!E1527:E2026,1,0)</f>
        <v>#N/A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324</v>
      </c>
      <c r="R1535" s="2" t="s">
        <v>28</v>
      </c>
      <c r="S1535" s="9">
        <f t="shared" si="119"/>
        <v>0.05</v>
      </c>
    </row>
    <row r="1536" spans="1:19" x14ac:dyDescent="0.3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e">
        <f>VLOOKUP('Customer Info'!B1528,'Customer Info'!B1528:B2027,1,0)</f>
        <v>#N/A</v>
      </c>
      <c r="H1536" s="6" t="e">
        <f>VLOOKUP('Customer Info'!C1528,'Customer Info'!C1528:C2027,1)</f>
        <v>#N/A</v>
      </c>
      <c r="I1536" s="6" t="e">
        <f>VLOOKUP('Customer Info'!E1528,'Customer Info'!E1528:E2027,1,0)</f>
        <v>#N/A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594</v>
      </c>
      <c r="R1536" s="2" t="s">
        <v>50</v>
      </c>
      <c r="S1536" s="9">
        <f t="shared" si="119"/>
        <v>0.05</v>
      </c>
    </row>
    <row r="1537" spans="1:19" x14ac:dyDescent="0.3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e">
        <f>VLOOKUP('Customer Info'!B1529,'Customer Info'!B1529:B2028,1,0)</f>
        <v>#N/A</v>
      </c>
      <c r="H1537" s="6" t="e">
        <f>VLOOKUP('Customer Info'!C1529,'Customer Info'!C1529:C2028,1)</f>
        <v>#N/A</v>
      </c>
      <c r="I1537" s="6" t="e">
        <f>VLOOKUP('Customer Info'!E1529,'Customer Info'!E1529:E2028,1,0)</f>
        <v>#N/A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919</v>
      </c>
      <c r="R1537" s="2" t="s">
        <v>28</v>
      </c>
      <c r="S1537" s="9">
        <f t="shared" si="119"/>
        <v>0.05</v>
      </c>
    </row>
    <row r="1538" spans="1:19" x14ac:dyDescent="0.3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e">
        <f>VLOOKUP('Customer Info'!B1530,'Customer Info'!B1530:B2029,1,0)</f>
        <v>#N/A</v>
      </c>
      <c r="H1538" s="6" t="e">
        <f>VLOOKUP('Customer Info'!C1530,'Customer Info'!C1530:C2029,1)</f>
        <v>#N/A</v>
      </c>
      <c r="I1538" s="6" t="e">
        <f>VLOOKUP('Customer Info'!E1530,'Customer Info'!E1530:E2029,1,0)</f>
        <v>#N/A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78</v>
      </c>
      <c r="R1538" s="2" t="s">
        <v>50</v>
      </c>
      <c r="S1538" s="9">
        <f t="shared" si="119"/>
        <v>0.02</v>
      </c>
    </row>
    <row r="1539" spans="1:19" x14ac:dyDescent="0.3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e">
        <f>VLOOKUP('Customer Info'!B1531,'Customer Info'!B1531:B2030,1,0)</f>
        <v>#N/A</v>
      </c>
      <c r="H1539" s="6" t="e">
        <f>VLOOKUP('Customer Info'!C1531,'Customer Info'!C1531:C2030,1)</f>
        <v>#N/A</v>
      </c>
      <c r="I1539" s="6" t="e">
        <f>VLOOKUP('Customer Info'!E1531,'Customer Info'!E1531:E2030,1,0)</f>
        <v>#N/A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2804</v>
      </c>
      <c r="R1539" s="2" t="s">
        <v>50</v>
      </c>
      <c r="S1539" s="9">
        <f t="shared" si="119"/>
        <v>0.09</v>
      </c>
    </row>
    <row r="1540" spans="1:19" x14ac:dyDescent="0.3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e">
        <f>VLOOKUP('Customer Info'!B1532,'Customer Info'!B1532:B2031,1,0)</f>
        <v>#N/A</v>
      </c>
      <c r="H1540" s="6" t="e">
        <f>VLOOKUP('Customer Info'!C1532,'Customer Info'!C1532:C2031,1)</f>
        <v>#N/A</v>
      </c>
      <c r="I1540" s="6" t="e">
        <f>VLOOKUP('Customer Info'!E1532,'Customer Info'!E1532:E2031,1,0)</f>
        <v>#N/A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12828</v>
      </c>
      <c r="R1540" s="2" t="s">
        <v>28</v>
      </c>
      <c r="S1540" s="9">
        <f t="shared" si="119"/>
        <v>0.12</v>
      </c>
    </row>
    <row r="1541" spans="1:19" x14ac:dyDescent="0.3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e">
        <f>VLOOKUP('Customer Info'!B1533,'Customer Info'!B1533:B2032,1,0)</f>
        <v>#N/A</v>
      </c>
      <c r="H1541" s="6" t="e">
        <f>VLOOKUP('Customer Info'!C1533,'Customer Info'!C1533:C2032,1)</f>
        <v>#N/A</v>
      </c>
      <c r="I1541" s="6" t="e">
        <f>VLOOKUP('Customer Info'!E1533,'Customer Info'!E1533:E2032,1,0)</f>
        <v>#N/A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45</v>
      </c>
      <c r="R1541" s="2" t="s">
        <v>28</v>
      </c>
      <c r="S1541" s="9">
        <f t="shared" si="119"/>
        <v>0.02</v>
      </c>
    </row>
    <row r="1542" spans="1:19" x14ac:dyDescent="0.3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e">
        <f>VLOOKUP('Customer Info'!B1534,'Customer Info'!B1534:B2033,1,0)</f>
        <v>#N/A</v>
      </c>
      <c r="H1542" s="6" t="e">
        <f>VLOOKUP('Customer Info'!C1534,'Customer Info'!C1534:C2033,1)</f>
        <v>#N/A</v>
      </c>
      <c r="I1542" s="6" t="e">
        <f>VLOOKUP('Customer Info'!E1534,'Customer Info'!E1534:E2033,1,0)</f>
        <v>#N/A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308</v>
      </c>
      <c r="R1542" s="2" t="s">
        <v>56</v>
      </c>
      <c r="S1542" s="9">
        <f t="shared" si="119"/>
        <v>0.05</v>
      </c>
    </row>
    <row r="1543" spans="1:19" x14ac:dyDescent="0.3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e">
        <f>VLOOKUP('Customer Info'!B1535,'Customer Info'!B1535:B2034,1,0)</f>
        <v>#N/A</v>
      </c>
      <c r="H1543" s="6" t="e">
        <f>VLOOKUP('Customer Info'!C1535,'Customer Info'!C1535:C2034,1)</f>
        <v>#N/A</v>
      </c>
      <c r="I1543" s="6" t="e">
        <f>VLOOKUP('Customer Info'!E1535,'Customer Info'!E1535:E2034,1,0)</f>
        <v>#N/A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612</v>
      </c>
      <c r="R1543" s="2" t="s">
        <v>28</v>
      </c>
      <c r="S1543" s="9">
        <f t="shared" si="119"/>
        <v>7.0000000000000007E-2</v>
      </c>
    </row>
    <row r="1544" spans="1:19" x14ac:dyDescent="0.3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e">
        <f>VLOOKUP('Customer Info'!B1536,'Customer Info'!B1536:B2035,1,0)</f>
        <v>#N/A</v>
      </c>
      <c r="H1544" s="6" t="e">
        <f>VLOOKUP('Customer Info'!C1536,'Customer Info'!C1536:C2035,1)</f>
        <v>#N/A</v>
      </c>
      <c r="I1544" s="6" t="e">
        <f>VLOOKUP('Customer Info'!E1536,'Customer Info'!E1536:E2035,1,0)</f>
        <v>#N/A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1260</v>
      </c>
      <c r="R1544" s="2" t="s">
        <v>50</v>
      </c>
      <c r="S1544" s="9">
        <f t="shared" si="119"/>
        <v>0.05</v>
      </c>
    </row>
    <row r="1545" spans="1:19" x14ac:dyDescent="0.3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e">
        <f>VLOOKUP('Customer Info'!B1537,'Customer Info'!B1537:B2036,1,0)</f>
        <v>#N/A</v>
      </c>
      <c r="H1545" s="6" t="e">
        <f>VLOOKUP('Customer Info'!C1537,'Customer Info'!C1537:C2036,1)</f>
        <v>#N/A</v>
      </c>
      <c r="I1545" s="6" t="e">
        <f>VLOOKUP('Customer Info'!E1537,'Customer Info'!E1537:E2036,1,0)</f>
        <v>#N/A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42</v>
      </c>
      <c r="R1545" s="2" t="s">
        <v>28</v>
      </c>
      <c r="S1545" s="9">
        <f t="shared" si="119"/>
        <v>0.02</v>
      </c>
    </row>
    <row r="1546" spans="1:19" x14ac:dyDescent="0.3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e">
        <f>VLOOKUP('Customer Info'!B1538,'Customer Info'!B1538:B2037,1,0)</f>
        <v>#N/A</v>
      </c>
      <c r="H1546" s="6" t="e">
        <f>VLOOKUP('Customer Info'!C1538,'Customer Info'!C1538:C2037,1)</f>
        <v>#N/A</v>
      </c>
      <c r="I1546" s="6" t="e">
        <f>VLOOKUP('Customer Info'!E1538,'Customer Info'!E1538:E2037,1,0)</f>
        <v>#N/A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315</v>
      </c>
      <c r="R1546" s="2" t="s">
        <v>50</v>
      </c>
      <c r="S1546" s="9">
        <f t="shared" si="119"/>
        <v>0.02</v>
      </c>
    </row>
    <row r="1547" spans="1:19" x14ac:dyDescent="0.3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e">
        <f>VLOOKUP('Customer Info'!B1539,'Customer Info'!B1539:B2038,1,0)</f>
        <v>#N/A</v>
      </c>
      <c r="H1547" s="6" t="e">
        <f>VLOOKUP('Customer Info'!C1539,'Customer Info'!C1539:C2038,1)</f>
        <v>#N/A</v>
      </c>
      <c r="I1547" s="6" t="e">
        <f>VLOOKUP('Customer Info'!E1539,'Customer Info'!E1539:E2038,1,0)</f>
        <v>#N/A</v>
      </c>
      <c r="J1547" s="2">
        <v>2829</v>
      </c>
      <c r="K1547" s="2">
        <v>2596</v>
      </c>
      <c r="L1547" s="2">
        <v>2</v>
      </c>
      <c r="M1547" s="7">
        <f t="shared" ref="M1547:M1610" si="120">(K1547*L1547)</f>
        <v>5192</v>
      </c>
      <c r="N1547" s="7">
        <f t="shared" ref="N1547:N1610" si="121">(J1547*L1547)</f>
        <v>5658</v>
      </c>
      <c r="O1547" s="2">
        <v>61</v>
      </c>
      <c r="P1547" s="8">
        <f t="shared" ref="P1547:P1610" si="122">(N1547+O1547)</f>
        <v>5719</v>
      </c>
      <c r="Q1547" s="8">
        <f t="shared" ref="Q1547:Q1610" si="123">(N1547-M1547)</f>
        <v>466</v>
      </c>
      <c r="R1547" s="2" t="s">
        <v>28</v>
      </c>
      <c r="S1547" s="9">
        <f t="shared" ref="S1547:S1610" si="124">_xlfn.IFS(P1547&gt;250000,0.15,P1547&gt;100000,0.12,P1547&gt;50000,0.09,P1547&gt;25000,0.07,P1547&gt;5000,0.05,
 TRUE,0.02)</f>
        <v>0.05</v>
      </c>
    </row>
    <row r="1548" spans="1:19" x14ac:dyDescent="0.3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e">
        <f>VLOOKUP('Customer Info'!B1540,'Customer Info'!B1540:B2039,1,0)</f>
        <v>#N/A</v>
      </c>
      <c r="H1548" s="6" t="e">
        <f>VLOOKUP('Customer Info'!C1540,'Customer Info'!C1540:C2039,1)</f>
        <v>#N/A</v>
      </c>
      <c r="I1548" s="6" t="e">
        <f>VLOOKUP('Customer Info'!E1540,'Customer Info'!E1540:E2039,1,0)</f>
        <v>#N/A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75</v>
      </c>
      <c r="R1548" s="2" t="s">
        <v>28</v>
      </c>
      <c r="S1548" s="9">
        <f t="shared" si="124"/>
        <v>0.02</v>
      </c>
    </row>
    <row r="1549" spans="1:19" x14ac:dyDescent="0.3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e">
        <f>VLOOKUP('Customer Info'!B1541,'Customer Info'!B1541:B2040,1,0)</f>
        <v>#N/A</v>
      </c>
      <c r="H1549" s="6" t="e">
        <f>VLOOKUP('Customer Info'!C1541,'Customer Info'!C1541:C2040,1)</f>
        <v>#N/A</v>
      </c>
      <c r="I1549" s="6" t="e">
        <f>VLOOKUP('Customer Info'!E1541,'Customer Info'!E1541:E2040,1,0)</f>
        <v>#N/A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16</v>
      </c>
      <c r="R1549" s="2" t="s">
        <v>28</v>
      </c>
      <c r="S1549" s="9">
        <f t="shared" si="124"/>
        <v>0.02</v>
      </c>
    </row>
    <row r="1550" spans="1:19" x14ac:dyDescent="0.3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e">
        <f>VLOOKUP('Customer Info'!B1542,'Customer Info'!B1542:B2041,1,0)</f>
        <v>#N/A</v>
      </c>
      <c r="H1550" s="6" t="e">
        <f>VLOOKUP('Customer Info'!C1542,'Customer Info'!C1542:C2041,1)</f>
        <v>#N/A</v>
      </c>
      <c r="I1550" s="6" t="e">
        <f>VLOOKUP('Customer Info'!E1542,'Customer Info'!E1542:E2041,1,0)</f>
        <v>#N/A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92</v>
      </c>
      <c r="R1550" s="2" t="s">
        <v>28</v>
      </c>
      <c r="S1550" s="9">
        <f t="shared" si="124"/>
        <v>0.02</v>
      </c>
    </row>
    <row r="1551" spans="1:19" x14ac:dyDescent="0.3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e">
        <f>VLOOKUP('Customer Info'!B1543,'Customer Info'!B1543:B2042,1,0)</f>
        <v>#N/A</v>
      </c>
      <c r="H1551" s="6" t="e">
        <f>VLOOKUP('Customer Info'!C1543,'Customer Info'!C1543:C2042,1)</f>
        <v>#N/A</v>
      </c>
      <c r="I1551" s="6" t="e">
        <f>VLOOKUP('Customer Info'!E1543,'Customer Info'!E1543:E2042,1,0)</f>
        <v>#N/A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1974</v>
      </c>
      <c r="R1551" s="2" t="s">
        <v>28</v>
      </c>
      <c r="S1551" s="9">
        <f t="shared" si="124"/>
        <v>7.0000000000000007E-2</v>
      </c>
    </row>
    <row r="1552" spans="1:19" x14ac:dyDescent="0.3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e">
        <f>VLOOKUP('Customer Info'!B1544,'Customer Info'!B1544:B2043,1,0)</f>
        <v>#N/A</v>
      </c>
      <c r="H1552" s="6" t="e">
        <f>VLOOKUP('Customer Info'!C1544,'Customer Info'!C1544:C2043,1)</f>
        <v>#N/A</v>
      </c>
      <c r="I1552" s="6" t="e">
        <f>VLOOKUP('Customer Info'!E1544,'Customer Info'!E1544:E2043,1,0)</f>
        <v>#N/A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325</v>
      </c>
      <c r="R1552" s="2" t="s">
        <v>50</v>
      </c>
      <c r="S1552" s="9">
        <f t="shared" si="124"/>
        <v>0.02</v>
      </c>
    </row>
    <row r="1553" spans="1:19" x14ac:dyDescent="0.3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e">
        <f>VLOOKUP('Customer Info'!B1545,'Customer Info'!B1545:B2044,1,0)</f>
        <v>#N/A</v>
      </c>
      <c r="H1553" s="6" t="e">
        <f>VLOOKUP('Customer Info'!C1545,'Customer Info'!C1545:C2044,1)</f>
        <v>#N/A</v>
      </c>
      <c r="I1553" s="6" t="e">
        <f>VLOOKUP('Customer Info'!E1545,'Customer Info'!E1545:E2044,1,0)</f>
        <v>#N/A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121</v>
      </c>
      <c r="R1553" s="2" t="s">
        <v>50</v>
      </c>
      <c r="S1553" s="9">
        <f t="shared" si="124"/>
        <v>0.02</v>
      </c>
    </row>
    <row r="1554" spans="1:19" x14ac:dyDescent="0.3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e">
        <f>VLOOKUP('Customer Info'!B1546,'Customer Info'!B1546:B2045,1,0)</f>
        <v>#N/A</v>
      </c>
      <c r="H1554" s="6" t="e">
        <f>VLOOKUP('Customer Info'!C1546,'Customer Info'!C1546:C2045,1)</f>
        <v>#N/A</v>
      </c>
      <c r="I1554" s="6" t="e">
        <f>VLOOKUP('Customer Info'!E1546,'Customer Info'!E1546:E2045,1,0)</f>
        <v>#N/A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8</v>
      </c>
      <c r="R1554" s="2" t="s">
        <v>50</v>
      </c>
      <c r="S1554" s="9">
        <f t="shared" si="124"/>
        <v>0.02</v>
      </c>
    </row>
    <row r="1555" spans="1:19" x14ac:dyDescent="0.3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e">
        <f>VLOOKUP('Customer Info'!B1547,'Customer Info'!B1547:B2046,1,0)</f>
        <v>#N/A</v>
      </c>
      <c r="H1555" s="6" t="e">
        <f>VLOOKUP('Customer Info'!C1547,'Customer Info'!C1547:C2046,1)</f>
        <v>#N/A</v>
      </c>
      <c r="I1555" s="6" t="e">
        <f>VLOOKUP('Customer Info'!E1547,'Customer Info'!E1547:E2046,1,0)</f>
        <v>#N/A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320</v>
      </c>
      <c r="R1555" s="2" t="s">
        <v>28</v>
      </c>
      <c r="S1555" s="9">
        <f t="shared" si="124"/>
        <v>0.02</v>
      </c>
    </row>
    <row r="1556" spans="1:19" x14ac:dyDescent="0.3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e">
        <f>VLOOKUP('Customer Info'!B1548,'Customer Info'!B1548:B2047,1,0)</f>
        <v>#N/A</v>
      </c>
      <c r="H1556" s="6" t="e">
        <f>VLOOKUP('Customer Info'!C1548,'Customer Info'!C1548:C2047,1)</f>
        <v>#N/A</v>
      </c>
      <c r="I1556" s="6" t="e">
        <f>VLOOKUP('Customer Info'!E1548,'Customer Info'!E1548:E2047,1,0)</f>
        <v>#N/A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40</v>
      </c>
      <c r="R1556" s="2" t="s">
        <v>28</v>
      </c>
      <c r="S1556" s="9">
        <f t="shared" si="124"/>
        <v>0.02</v>
      </c>
    </row>
    <row r="1557" spans="1:19" x14ac:dyDescent="0.3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e">
        <f>VLOOKUP('Customer Info'!B1549,'Customer Info'!B1549:B2048,1,0)</f>
        <v>#N/A</v>
      </c>
      <c r="H1557" s="6" t="e">
        <f>VLOOKUP('Customer Info'!C1549,'Customer Info'!C1549:C2048,1)</f>
        <v>#N/A</v>
      </c>
      <c r="I1557" s="6" t="e">
        <f>VLOOKUP('Customer Info'!E1549,'Customer Info'!E1549:E2048,1,0)</f>
        <v>#N/A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528</v>
      </c>
      <c r="R1557" s="2" t="s">
        <v>28</v>
      </c>
      <c r="S1557" s="9">
        <f t="shared" si="124"/>
        <v>0.05</v>
      </c>
    </row>
    <row r="1558" spans="1:19" x14ac:dyDescent="0.3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e">
        <f>VLOOKUP('Customer Info'!B1550,'Customer Info'!B1550:B2049,1,0)</f>
        <v>#N/A</v>
      </c>
      <c r="H1558" s="6" t="e">
        <f>VLOOKUP('Customer Info'!C1550,'Customer Info'!C1550:C2049,1)</f>
        <v>#N/A</v>
      </c>
      <c r="I1558" s="6" t="e">
        <f>VLOOKUP('Customer Info'!E1550,'Customer Info'!E1550:E2049,1,0)</f>
        <v>#N/A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42</v>
      </c>
      <c r="R1558" s="2" t="s">
        <v>50</v>
      </c>
      <c r="S1558" s="9">
        <f t="shared" si="124"/>
        <v>0.02</v>
      </c>
    </row>
    <row r="1559" spans="1:19" x14ac:dyDescent="0.3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e">
        <f>VLOOKUP('Customer Info'!B1551,'Customer Info'!B1551:B2050,1,0)</f>
        <v>#N/A</v>
      </c>
      <c r="H1559" s="6" t="e">
        <f>VLOOKUP('Customer Info'!C1551,'Customer Info'!C1551:C2050,1)</f>
        <v>#N/A</v>
      </c>
      <c r="I1559" s="6" t="e">
        <f>VLOOKUP('Customer Info'!E1551,'Customer Info'!E1551:E2050,1,0)</f>
        <v>#N/A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13</v>
      </c>
      <c r="R1559" s="2" t="s">
        <v>28</v>
      </c>
      <c r="S1559" s="9">
        <f t="shared" si="124"/>
        <v>0.02</v>
      </c>
    </row>
    <row r="1560" spans="1:19" x14ac:dyDescent="0.3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e">
        <f>VLOOKUP('Customer Info'!B1552,'Customer Info'!B1552:B2051,1,0)</f>
        <v>#N/A</v>
      </c>
      <c r="H1560" s="6" t="e">
        <f>VLOOKUP('Customer Info'!C1552,'Customer Info'!C1552:C2051,1)</f>
        <v>#N/A</v>
      </c>
      <c r="I1560" s="6" t="e">
        <f>VLOOKUP('Customer Info'!E1552,'Customer Info'!E1552:E2051,1,0)</f>
        <v>#N/A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354</v>
      </c>
      <c r="R1560" s="2" t="s">
        <v>50</v>
      </c>
      <c r="S1560" s="9">
        <f t="shared" si="124"/>
        <v>0.05</v>
      </c>
    </row>
    <row r="1561" spans="1:19" x14ac:dyDescent="0.3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e">
        <f>VLOOKUP('Customer Info'!B1553,'Customer Info'!B1553:B2052,1,0)</f>
        <v>#N/A</v>
      </c>
      <c r="H1561" s="6" t="e">
        <f>VLOOKUP('Customer Info'!C1553,'Customer Info'!C1553:C2052,1)</f>
        <v>#N/A</v>
      </c>
      <c r="I1561" s="6" t="e">
        <f>VLOOKUP('Customer Info'!E1553,'Customer Info'!E1553:E2052,1,0)</f>
        <v>#N/A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14</v>
      </c>
      <c r="R1561" s="2" t="s">
        <v>50</v>
      </c>
      <c r="S1561" s="9">
        <f t="shared" si="124"/>
        <v>0.02</v>
      </c>
    </row>
    <row r="1562" spans="1:19" x14ac:dyDescent="0.3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e">
        <f>VLOOKUP('Customer Info'!B1554,'Customer Info'!B1554:B2053,1,0)</f>
        <v>#N/A</v>
      </c>
      <c r="H1562" s="6" t="e">
        <f>VLOOKUP('Customer Info'!C1554,'Customer Info'!C1554:C2053,1)</f>
        <v>#N/A</v>
      </c>
      <c r="I1562" s="6" t="e">
        <f>VLOOKUP('Customer Info'!E1554,'Customer Info'!E1554:E2053,1,0)</f>
        <v>#N/A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834</v>
      </c>
      <c r="R1562" s="2" t="s">
        <v>26</v>
      </c>
      <c r="S1562" s="9">
        <f t="shared" si="124"/>
        <v>0.05</v>
      </c>
    </row>
    <row r="1563" spans="1:19" x14ac:dyDescent="0.3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e">
        <f>VLOOKUP('Customer Info'!B1555,'Customer Info'!B1555:B2054,1,0)</f>
        <v>#N/A</v>
      </c>
      <c r="H1563" s="6" t="e">
        <f>VLOOKUP('Customer Info'!C1555,'Customer Info'!C1555:C2054,1)</f>
        <v>#N/A</v>
      </c>
      <c r="I1563" s="6" t="e">
        <f>VLOOKUP('Customer Info'!E1555,'Customer Info'!E1555:E2054,1,0)</f>
        <v>#N/A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640</v>
      </c>
      <c r="R1563" s="2" t="s">
        <v>50</v>
      </c>
      <c r="S1563" s="9">
        <f t="shared" si="124"/>
        <v>0.05</v>
      </c>
    </row>
    <row r="1564" spans="1:19" x14ac:dyDescent="0.3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e">
        <f>VLOOKUP('Customer Info'!B1556,'Customer Info'!B1556:B2055,1,0)</f>
        <v>#N/A</v>
      </c>
      <c r="H1564" s="6" t="e">
        <f>VLOOKUP('Customer Info'!C1556,'Customer Info'!C1556:C2055,1)</f>
        <v>#N/A</v>
      </c>
      <c r="I1564" s="6" t="e">
        <f>VLOOKUP('Customer Info'!E1556,'Customer Info'!E1556:E2055,1,0)</f>
        <v>#N/A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546</v>
      </c>
      <c r="R1564" s="2" t="s">
        <v>50</v>
      </c>
      <c r="S1564" s="9">
        <f t="shared" si="124"/>
        <v>0.05</v>
      </c>
    </row>
    <row r="1565" spans="1:19" x14ac:dyDescent="0.3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e">
        <f>VLOOKUP('Customer Info'!B1557,'Customer Info'!B1557:B2056,1,0)</f>
        <v>#N/A</v>
      </c>
      <c r="H1565" s="6" t="e">
        <f>VLOOKUP('Customer Info'!C1557,'Customer Info'!C1557:C2056,1)</f>
        <v>#N/A</v>
      </c>
      <c r="I1565" s="6" t="e">
        <f>VLOOKUP('Customer Info'!E1557,'Customer Info'!E1557:E2056,1,0)</f>
        <v>#N/A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1175</v>
      </c>
      <c r="R1565" s="2" t="s">
        <v>50</v>
      </c>
      <c r="S1565" s="9">
        <f t="shared" si="124"/>
        <v>0.05</v>
      </c>
    </row>
    <row r="1566" spans="1:19" x14ac:dyDescent="0.3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e">
        <f>VLOOKUP('Customer Info'!B1558,'Customer Info'!B1558:B2057,1,0)</f>
        <v>#N/A</v>
      </c>
      <c r="H1566" s="6" t="e">
        <f>VLOOKUP('Customer Info'!C1558,'Customer Info'!C1558:C2057,1)</f>
        <v>#N/A</v>
      </c>
      <c r="I1566" s="6" t="e">
        <f>VLOOKUP('Customer Info'!E1558,'Customer Info'!E1558:E2057,1,0)</f>
        <v>#N/A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950</v>
      </c>
      <c r="R1566" s="2" t="s">
        <v>50</v>
      </c>
      <c r="S1566" s="9">
        <f t="shared" si="124"/>
        <v>0.05</v>
      </c>
    </row>
    <row r="1567" spans="1:19" x14ac:dyDescent="0.3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e">
        <f>VLOOKUP('Customer Info'!B1559,'Customer Info'!B1559:B2058,1,0)</f>
        <v>#N/A</v>
      </c>
      <c r="H1567" s="6" t="e">
        <f>VLOOKUP('Customer Info'!C1559,'Customer Info'!C1559:C2058,1)</f>
        <v>#N/A</v>
      </c>
      <c r="I1567" s="6" t="e">
        <f>VLOOKUP('Customer Info'!E1559,'Customer Info'!E1559:E2058,1,0)</f>
        <v>#N/A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270</v>
      </c>
      <c r="R1567" s="2" t="s">
        <v>50</v>
      </c>
      <c r="S1567" s="9">
        <f t="shared" si="124"/>
        <v>0.02</v>
      </c>
    </row>
    <row r="1568" spans="1:19" x14ac:dyDescent="0.3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e">
        <f>VLOOKUP('Customer Info'!B1560,'Customer Info'!B1560:B2059,1,0)</f>
        <v>#N/A</v>
      </c>
      <c r="H1568" s="6" t="e">
        <f>VLOOKUP('Customer Info'!C1560,'Customer Info'!C1560:C2059,1)</f>
        <v>#N/A</v>
      </c>
      <c r="I1568" s="6" t="e">
        <f>VLOOKUP('Customer Info'!E1560,'Customer Info'!E1560:E2059,1,0)</f>
        <v>#N/A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262</v>
      </c>
      <c r="R1568" s="2" t="s">
        <v>50</v>
      </c>
      <c r="S1568" s="9">
        <f t="shared" si="124"/>
        <v>0.05</v>
      </c>
    </row>
    <row r="1569" spans="1:19" x14ac:dyDescent="0.3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e">
        <f>VLOOKUP('Customer Info'!B1561,'Customer Info'!B1561:B2060,1,0)</f>
        <v>#N/A</v>
      </c>
      <c r="H1569" s="6" t="e">
        <f>VLOOKUP('Customer Info'!C1561,'Customer Info'!C1561:C2060,1)</f>
        <v>#N/A</v>
      </c>
      <c r="I1569" s="6" t="e">
        <f>VLOOKUP('Customer Info'!E1561,'Customer Info'!E1561:E2060,1,0)</f>
        <v>#N/A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62</v>
      </c>
      <c r="R1569" s="2" t="s">
        <v>26</v>
      </c>
      <c r="S1569" s="9">
        <f t="shared" si="124"/>
        <v>0.02</v>
      </c>
    </row>
    <row r="1570" spans="1:19" x14ac:dyDescent="0.3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e">
        <f>VLOOKUP('Customer Info'!B1562,'Customer Info'!B1562:B2061,1,0)</f>
        <v>#N/A</v>
      </c>
      <c r="H1570" s="6" t="e">
        <f>VLOOKUP('Customer Info'!C1562,'Customer Info'!C1562:C2061,1)</f>
        <v>#N/A</v>
      </c>
      <c r="I1570" s="6" t="e">
        <f>VLOOKUP('Customer Info'!E1562,'Customer Info'!E1562:E2061,1,0)</f>
        <v>#N/A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327</v>
      </c>
      <c r="R1570" s="2" t="s">
        <v>50</v>
      </c>
      <c r="S1570" s="9">
        <f t="shared" si="124"/>
        <v>0.02</v>
      </c>
    </row>
    <row r="1571" spans="1:19" x14ac:dyDescent="0.3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e">
        <f>VLOOKUP('Customer Info'!B1563,'Customer Info'!B1563:B2062,1,0)</f>
        <v>#N/A</v>
      </c>
      <c r="H1571" s="6" t="e">
        <f>VLOOKUP('Customer Info'!C1563,'Customer Info'!C1563:C2062,1)</f>
        <v>#N/A</v>
      </c>
      <c r="I1571" s="6" t="e">
        <f>VLOOKUP('Customer Info'!E1563,'Customer Info'!E1563:E2062,1,0)</f>
        <v>#N/A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2317</v>
      </c>
      <c r="R1571" s="2" t="s">
        <v>28</v>
      </c>
      <c r="S1571" s="9">
        <f t="shared" si="124"/>
        <v>7.0000000000000007E-2</v>
      </c>
    </row>
    <row r="1572" spans="1:19" x14ac:dyDescent="0.3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e">
        <f>VLOOKUP('Customer Info'!B1564,'Customer Info'!B1564:B2063,1,0)</f>
        <v>#N/A</v>
      </c>
      <c r="H1572" s="6" t="e">
        <f>VLOOKUP('Customer Info'!C1564,'Customer Info'!C1564:C2063,1)</f>
        <v>#N/A</v>
      </c>
      <c r="I1572" s="6" t="e">
        <f>VLOOKUP('Customer Info'!E1564,'Customer Info'!E1564:E2063,1,0)</f>
        <v>#N/A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16</v>
      </c>
      <c r="R1572" s="2" t="s">
        <v>28</v>
      </c>
      <c r="S1572" s="9">
        <f t="shared" si="124"/>
        <v>0.02</v>
      </c>
    </row>
    <row r="1573" spans="1:19" x14ac:dyDescent="0.3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e">
        <f>VLOOKUP('Customer Info'!B1565,'Customer Info'!B1565:B2064,1,0)</f>
        <v>#N/A</v>
      </c>
      <c r="H1573" s="6" t="e">
        <f>VLOOKUP('Customer Info'!C1565,'Customer Info'!C1565:C2064,1)</f>
        <v>#N/A</v>
      </c>
      <c r="I1573" s="6" t="e">
        <f>VLOOKUP('Customer Info'!E1565,'Customer Info'!E1565:E2064,1,0)</f>
        <v>#N/A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190</v>
      </c>
      <c r="R1573" s="2" t="s">
        <v>50</v>
      </c>
      <c r="S1573" s="9">
        <f t="shared" si="124"/>
        <v>0.02</v>
      </c>
    </row>
    <row r="1574" spans="1:19" x14ac:dyDescent="0.3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e">
        <f>VLOOKUP('Customer Info'!B1566,'Customer Info'!B1566:B2065,1,0)</f>
        <v>#N/A</v>
      </c>
      <c r="H1574" s="6" t="e">
        <f>VLOOKUP('Customer Info'!C1566,'Customer Info'!C1566:C2065,1)</f>
        <v>#N/A</v>
      </c>
      <c r="I1574" s="6" t="e">
        <f>VLOOKUP('Customer Info'!E1566,'Customer Info'!E1566:E2065,1,0)</f>
        <v>#N/A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756</v>
      </c>
      <c r="R1574" s="2" t="s">
        <v>28</v>
      </c>
      <c r="S1574" s="9">
        <f t="shared" si="124"/>
        <v>0.05</v>
      </c>
    </row>
    <row r="1575" spans="1:19" x14ac:dyDescent="0.3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e">
        <f>VLOOKUP('Customer Info'!B1567,'Customer Info'!B1567:B2066,1,0)</f>
        <v>#N/A</v>
      </c>
      <c r="H1575" s="6" t="e">
        <f>VLOOKUP('Customer Info'!C1567,'Customer Info'!C1567:C2066,1)</f>
        <v>#N/A</v>
      </c>
      <c r="I1575" s="6" t="e">
        <f>VLOOKUP('Customer Info'!E1567,'Customer Info'!E1567:E2066,1,0)</f>
        <v>#N/A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391</v>
      </c>
      <c r="R1575" s="2" t="s">
        <v>28</v>
      </c>
      <c r="S1575" s="9">
        <f t="shared" si="124"/>
        <v>0.02</v>
      </c>
    </row>
    <row r="1576" spans="1:19" x14ac:dyDescent="0.3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e">
        <f>VLOOKUP('Customer Info'!B1568,'Customer Info'!B1568:B2067,1,0)</f>
        <v>#N/A</v>
      </c>
      <c r="H1576" s="6" t="e">
        <f>VLOOKUP('Customer Info'!C1568,'Customer Info'!C1568:C2067,1)</f>
        <v>#N/A</v>
      </c>
      <c r="I1576" s="6" t="e">
        <f>VLOOKUP('Customer Info'!E1568,'Customer Info'!E1568:E2067,1,0)</f>
        <v>#N/A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856</v>
      </c>
      <c r="R1576" s="2" t="s">
        <v>28</v>
      </c>
      <c r="S1576" s="9">
        <f t="shared" si="124"/>
        <v>0.05</v>
      </c>
    </row>
    <row r="1577" spans="1:19" x14ac:dyDescent="0.3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e">
        <f>VLOOKUP('Customer Info'!B1569,'Customer Info'!B1569:B2068,1,0)</f>
        <v>#N/A</v>
      </c>
      <c r="H1577" s="6" t="e">
        <f>VLOOKUP('Customer Info'!C1569,'Customer Info'!C1569:C2068,1)</f>
        <v>#N/A</v>
      </c>
      <c r="I1577" s="6" t="e">
        <f>VLOOKUP('Customer Info'!E1569,'Customer Info'!E1569:E2068,1,0)</f>
        <v>#N/A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637</v>
      </c>
      <c r="R1577" s="2" t="s">
        <v>28</v>
      </c>
      <c r="S1577" s="9">
        <f t="shared" si="124"/>
        <v>0.05</v>
      </c>
    </row>
    <row r="1578" spans="1:19" x14ac:dyDescent="0.3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e">
        <f>VLOOKUP('Customer Info'!B1570,'Customer Info'!B1570:B2069,1,0)</f>
        <v>#N/A</v>
      </c>
      <c r="H1578" s="6" t="e">
        <f>VLOOKUP('Customer Info'!C1570,'Customer Info'!C1570:C2069,1)</f>
        <v>#N/A</v>
      </c>
      <c r="I1578" s="6" t="e">
        <f>VLOOKUP('Customer Info'!E1570,'Customer Info'!E1570:E2069,1,0)</f>
        <v>#N/A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80</v>
      </c>
      <c r="R1578" s="2" t="s">
        <v>50</v>
      </c>
      <c r="S1578" s="9">
        <f t="shared" si="124"/>
        <v>0.02</v>
      </c>
    </row>
    <row r="1579" spans="1:19" x14ac:dyDescent="0.3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e">
        <f>VLOOKUP('Customer Info'!B1571,'Customer Info'!B1571:B2070,1,0)</f>
        <v>#N/A</v>
      </c>
      <c r="H1579" s="6" t="e">
        <f>VLOOKUP('Customer Info'!C1571,'Customer Info'!C1571:C2070,1)</f>
        <v>#N/A</v>
      </c>
      <c r="I1579" s="6" t="e">
        <f>VLOOKUP('Customer Info'!E1571,'Customer Info'!E1571:E2070,1,0)</f>
        <v>#N/A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154</v>
      </c>
      <c r="R1579" s="2" t="s">
        <v>28</v>
      </c>
      <c r="S1579" s="9">
        <f t="shared" si="124"/>
        <v>0.02</v>
      </c>
    </row>
    <row r="1580" spans="1:19" x14ac:dyDescent="0.3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e">
        <f>VLOOKUP('Customer Info'!B1572,'Customer Info'!B1572:B2071,1,0)</f>
        <v>#N/A</v>
      </c>
      <c r="H1580" s="6" t="e">
        <f>VLOOKUP('Customer Info'!C1572,'Customer Info'!C1572:C2071,1)</f>
        <v>#N/A</v>
      </c>
      <c r="I1580" s="6" t="e">
        <f>VLOOKUP('Customer Info'!E1572,'Customer Info'!E1572:E2071,1,0)</f>
        <v>#N/A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147</v>
      </c>
      <c r="R1580" s="2" t="s">
        <v>56</v>
      </c>
      <c r="S1580" s="9">
        <f t="shared" si="124"/>
        <v>0.02</v>
      </c>
    </row>
    <row r="1581" spans="1:19" x14ac:dyDescent="0.3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e">
        <f>VLOOKUP('Customer Info'!B1573,'Customer Info'!B1573:B2072,1,0)</f>
        <v>#N/A</v>
      </c>
      <c r="H1581" s="6" t="e">
        <f>VLOOKUP('Customer Info'!C1573,'Customer Info'!C1573:C2072,1)</f>
        <v>#N/A</v>
      </c>
      <c r="I1581" s="6" t="e">
        <f>VLOOKUP('Customer Info'!E1573,'Customer Info'!E1573:E2072,1,0)</f>
        <v>#N/A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94</v>
      </c>
      <c r="R1581" s="2" t="s">
        <v>50</v>
      </c>
      <c r="S1581" s="9">
        <f t="shared" si="124"/>
        <v>0.02</v>
      </c>
    </row>
    <row r="1582" spans="1:19" x14ac:dyDescent="0.3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e">
        <f>VLOOKUP('Customer Info'!B1574,'Customer Info'!B1574:B2073,1,0)</f>
        <v>#N/A</v>
      </c>
      <c r="H1582" s="6" t="e">
        <f>VLOOKUP('Customer Info'!C1574,'Customer Info'!C1574:C2073,1)</f>
        <v>#N/A</v>
      </c>
      <c r="I1582" s="6" t="e">
        <f>VLOOKUP('Customer Info'!E1574,'Customer Info'!E1574:E2073,1,0)</f>
        <v>#N/A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14316</v>
      </c>
      <c r="R1582" s="2" t="s">
        <v>50</v>
      </c>
      <c r="S1582" s="9">
        <f t="shared" si="124"/>
        <v>0.12</v>
      </c>
    </row>
    <row r="1583" spans="1:19" x14ac:dyDescent="0.3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e">
        <f>VLOOKUP('Customer Info'!B1575,'Customer Info'!B1575:B2074,1,0)</f>
        <v>#N/A</v>
      </c>
      <c r="H1583" s="6" t="e">
        <f>VLOOKUP('Customer Info'!C1575,'Customer Info'!C1575:C2074,1)</f>
        <v>#N/A</v>
      </c>
      <c r="I1583" s="6" t="e">
        <f>VLOOKUP('Customer Info'!E1575,'Customer Info'!E1575:E2074,1,0)</f>
        <v>#N/A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182</v>
      </c>
      <c r="R1583" s="2" t="s">
        <v>26</v>
      </c>
      <c r="S1583" s="9">
        <f t="shared" si="124"/>
        <v>0.02</v>
      </c>
    </row>
    <row r="1584" spans="1:19" x14ac:dyDescent="0.3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e">
        <f>VLOOKUP('Customer Info'!B1576,'Customer Info'!B1576:B2075,1,0)</f>
        <v>#N/A</v>
      </c>
      <c r="H1584" s="6" t="e">
        <f>VLOOKUP('Customer Info'!C1576,'Customer Info'!C1576:C2075,1)</f>
        <v>#N/A</v>
      </c>
      <c r="I1584" s="6" t="e">
        <f>VLOOKUP('Customer Info'!E1576,'Customer Info'!E1576:E2075,1,0)</f>
        <v>#N/A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756</v>
      </c>
      <c r="R1584" s="2" t="s">
        <v>50</v>
      </c>
      <c r="S1584" s="9">
        <f t="shared" si="124"/>
        <v>0.05</v>
      </c>
    </row>
    <row r="1585" spans="1:19" x14ac:dyDescent="0.3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e">
        <f>VLOOKUP('Customer Info'!B1577,'Customer Info'!B1577:B2076,1,0)</f>
        <v>#N/A</v>
      </c>
      <c r="H1585" s="6" t="e">
        <f>VLOOKUP('Customer Info'!C1577,'Customer Info'!C1577:C2076,1)</f>
        <v>#N/A</v>
      </c>
      <c r="I1585" s="6" t="e">
        <f>VLOOKUP('Customer Info'!E1577,'Customer Info'!E1577:E2076,1,0)</f>
        <v>#N/A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964</v>
      </c>
      <c r="R1585" s="2" t="s">
        <v>28</v>
      </c>
      <c r="S1585" s="9">
        <f t="shared" si="124"/>
        <v>0.05</v>
      </c>
    </row>
    <row r="1586" spans="1:19" x14ac:dyDescent="0.3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e">
        <f>VLOOKUP('Customer Info'!B1578,'Customer Info'!B1578:B2077,1,0)</f>
        <v>#N/A</v>
      </c>
      <c r="H1586" s="6" t="e">
        <f>VLOOKUP('Customer Info'!C1578,'Customer Info'!C1578:C2077,1)</f>
        <v>#N/A</v>
      </c>
      <c r="I1586" s="6" t="e">
        <f>VLOOKUP('Customer Info'!E1578,'Customer Info'!E1578:E2077,1,0)</f>
        <v>#N/A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216</v>
      </c>
      <c r="R1586" s="2" t="s">
        <v>50</v>
      </c>
      <c r="S1586" s="9">
        <f t="shared" si="124"/>
        <v>0.05</v>
      </c>
    </row>
    <row r="1587" spans="1:19" x14ac:dyDescent="0.3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e">
        <f>VLOOKUP('Customer Info'!B1579,'Customer Info'!B1579:B2078,1,0)</f>
        <v>#N/A</v>
      </c>
      <c r="H1587" s="6" t="e">
        <f>VLOOKUP('Customer Info'!C1579,'Customer Info'!C1579:C2078,1)</f>
        <v>#N/A</v>
      </c>
      <c r="I1587" s="6" t="e">
        <f>VLOOKUP('Customer Info'!E1579,'Customer Info'!E1579:E2078,1,0)</f>
        <v>#N/A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6</v>
      </c>
      <c r="R1587" s="2" t="s">
        <v>50</v>
      </c>
      <c r="S1587" s="9">
        <f t="shared" si="124"/>
        <v>0.02</v>
      </c>
    </row>
    <row r="1588" spans="1:19" x14ac:dyDescent="0.3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e">
        <f>VLOOKUP('Customer Info'!B1580,'Customer Info'!B1580:B2079,1,0)</f>
        <v>#N/A</v>
      </c>
      <c r="H1588" s="6" t="e">
        <f>VLOOKUP('Customer Info'!C1580,'Customer Info'!C1580:C2079,1)</f>
        <v>#N/A</v>
      </c>
      <c r="I1588" s="6" t="e">
        <f>VLOOKUP('Customer Info'!E1580,'Customer Info'!E1580:E2079,1,0)</f>
        <v>#N/A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378</v>
      </c>
      <c r="R1588" s="2" t="s">
        <v>28</v>
      </c>
      <c r="S1588" s="9">
        <f t="shared" si="124"/>
        <v>0.05</v>
      </c>
    </row>
    <row r="1589" spans="1:19" x14ac:dyDescent="0.3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e">
        <f>VLOOKUP('Customer Info'!B1581,'Customer Info'!B1581:B2080,1,0)</f>
        <v>#N/A</v>
      </c>
      <c r="H1589" s="6" t="e">
        <f>VLOOKUP('Customer Info'!C1581,'Customer Info'!C1581:C2080,1)</f>
        <v>#N/A</v>
      </c>
      <c r="I1589" s="6" t="e">
        <f>VLOOKUP('Customer Info'!E1581,'Customer Info'!E1581:E2080,1,0)</f>
        <v>#N/A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95</v>
      </c>
      <c r="R1589" s="2" t="s">
        <v>28</v>
      </c>
      <c r="S1589" s="9">
        <f t="shared" si="124"/>
        <v>0.02</v>
      </c>
    </row>
    <row r="1590" spans="1:19" x14ac:dyDescent="0.3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e">
        <f>VLOOKUP('Customer Info'!B1582,'Customer Info'!B1582:B2081,1,0)</f>
        <v>#N/A</v>
      </c>
      <c r="H1590" s="6" t="e">
        <f>VLOOKUP('Customer Info'!C1582,'Customer Info'!C1582:C2081,1)</f>
        <v>#N/A</v>
      </c>
      <c r="I1590" s="6" t="e">
        <f>VLOOKUP('Customer Info'!E1582,'Customer Info'!E1582:E2081,1,0)</f>
        <v>#N/A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385</v>
      </c>
      <c r="R1590" s="2" t="s">
        <v>50</v>
      </c>
      <c r="S1590" s="9">
        <f t="shared" si="124"/>
        <v>0.05</v>
      </c>
    </row>
    <row r="1591" spans="1:19" x14ac:dyDescent="0.3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e">
        <f>VLOOKUP('Customer Info'!B1583,'Customer Info'!B1583:B2082,1,0)</f>
        <v>#N/A</v>
      </c>
      <c r="H1591" s="6" t="e">
        <f>VLOOKUP('Customer Info'!C1583,'Customer Info'!C1583:C2082,1)</f>
        <v>#N/A</v>
      </c>
      <c r="I1591" s="6" t="e">
        <f>VLOOKUP('Customer Info'!E1583,'Customer Info'!E1583:E2082,1,0)</f>
        <v>#N/A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18</v>
      </c>
      <c r="R1591" s="2" t="s">
        <v>28</v>
      </c>
      <c r="S1591" s="9">
        <f t="shared" si="124"/>
        <v>0.02</v>
      </c>
    </row>
    <row r="1592" spans="1:19" x14ac:dyDescent="0.3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e">
        <f>VLOOKUP('Customer Info'!B1584,'Customer Info'!B1584:B2083,1,0)</f>
        <v>#N/A</v>
      </c>
      <c r="H1592" s="6" t="e">
        <f>VLOOKUP('Customer Info'!C1584,'Customer Info'!C1584:C2083,1)</f>
        <v>#N/A</v>
      </c>
      <c r="I1592" s="6" t="e">
        <f>VLOOKUP('Customer Info'!E1584,'Customer Info'!E1584:E2083,1,0)</f>
        <v>#N/A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103</v>
      </c>
      <c r="R1592" s="2" t="s">
        <v>56</v>
      </c>
      <c r="S1592" s="9">
        <f t="shared" si="124"/>
        <v>0.02</v>
      </c>
    </row>
    <row r="1593" spans="1:19" x14ac:dyDescent="0.3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e">
        <f>VLOOKUP('Customer Info'!B1585,'Customer Info'!B1585:B2084,1,0)</f>
        <v>#N/A</v>
      </c>
      <c r="H1593" s="6" t="e">
        <f>VLOOKUP('Customer Info'!C1585,'Customer Info'!C1585:C2084,1)</f>
        <v>#N/A</v>
      </c>
      <c r="I1593" s="6" t="e">
        <f>VLOOKUP('Customer Info'!E1585,'Customer Info'!E1585:E2084,1,0)</f>
        <v>#N/A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364</v>
      </c>
      <c r="R1593" s="2" t="s">
        <v>28</v>
      </c>
      <c r="S1593" s="9">
        <f t="shared" si="124"/>
        <v>0.05</v>
      </c>
    </row>
    <row r="1594" spans="1:19" x14ac:dyDescent="0.3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e">
        <f>VLOOKUP('Customer Info'!B1586,'Customer Info'!B1586:B2085,1,0)</f>
        <v>#N/A</v>
      </c>
      <c r="H1594" s="6" t="e">
        <f>VLOOKUP('Customer Info'!C1586,'Customer Info'!C1586:C2085,1)</f>
        <v>#N/A</v>
      </c>
      <c r="I1594" s="6" t="e">
        <f>VLOOKUP('Customer Info'!E1586,'Customer Info'!E1586:E2085,1,0)</f>
        <v>#N/A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216</v>
      </c>
      <c r="R1594" s="2" t="s">
        <v>28</v>
      </c>
      <c r="S1594" s="9">
        <f t="shared" si="124"/>
        <v>0.02</v>
      </c>
    </row>
    <row r="1595" spans="1:19" x14ac:dyDescent="0.3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e">
        <f>VLOOKUP('Customer Info'!B1587,'Customer Info'!B1587:B2086,1,0)</f>
        <v>#N/A</v>
      </c>
      <c r="H1595" s="6" t="e">
        <f>VLOOKUP('Customer Info'!C1587,'Customer Info'!C1587:C2086,1)</f>
        <v>#N/A</v>
      </c>
      <c r="I1595" s="6" t="e">
        <f>VLOOKUP('Customer Info'!E1587,'Customer Info'!E1587:E2086,1,0)</f>
        <v>#N/A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30</v>
      </c>
      <c r="R1595" s="2" t="s">
        <v>28</v>
      </c>
      <c r="S1595" s="9">
        <f t="shared" si="124"/>
        <v>0.02</v>
      </c>
    </row>
    <row r="1596" spans="1:19" x14ac:dyDescent="0.3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e">
        <f>VLOOKUP('Customer Info'!B1588,'Customer Info'!B1588:B2087,1,0)</f>
        <v>#N/A</v>
      </c>
      <c r="H1596" s="6" t="e">
        <f>VLOOKUP('Customer Info'!C1588,'Customer Info'!C1588:C2087,1)</f>
        <v>#N/A</v>
      </c>
      <c r="I1596" s="6" t="e">
        <f>VLOOKUP('Customer Info'!E1588,'Customer Info'!E1588:E2087,1,0)</f>
        <v>#N/A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276</v>
      </c>
      <c r="R1596" s="2" t="s">
        <v>50</v>
      </c>
      <c r="S1596" s="9">
        <f t="shared" si="124"/>
        <v>0.02</v>
      </c>
    </row>
    <row r="1597" spans="1:19" x14ac:dyDescent="0.3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e">
        <f>VLOOKUP('Customer Info'!B1589,'Customer Info'!B1589:B2088,1,0)</f>
        <v>#N/A</v>
      </c>
      <c r="H1597" s="6" t="e">
        <f>VLOOKUP('Customer Info'!C1589,'Customer Info'!C1589:C2088,1)</f>
        <v>#N/A</v>
      </c>
      <c r="I1597" s="6" t="e">
        <f>VLOOKUP('Customer Info'!E1589,'Customer Info'!E1589:E2088,1,0)</f>
        <v>#N/A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768</v>
      </c>
      <c r="R1597" s="2" t="s">
        <v>28</v>
      </c>
      <c r="S1597" s="9">
        <f t="shared" si="124"/>
        <v>0.05</v>
      </c>
    </row>
    <row r="1598" spans="1:19" x14ac:dyDescent="0.3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e">
        <f>VLOOKUP('Customer Info'!B1590,'Customer Info'!B1590:B2089,1,0)</f>
        <v>#N/A</v>
      </c>
      <c r="H1598" s="6" t="e">
        <f>VLOOKUP('Customer Info'!C1590,'Customer Info'!C1590:C2089,1)</f>
        <v>#N/A</v>
      </c>
      <c r="I1598" s="6" t="e">
        <f>VLOOKUP('Customer Info'!E1590,'Customer Info'!E1590:E2089,1,0)</f>
        <v>#N/A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2044</v>
      </c>
      <c r="R1598" s="2" t="s">
        <v>50</v>
      </c>
      <c r="S1598" s="9">
        <f t="shared" si="124"/>
        <v>7.0000000000000007E-2</v>
      </c>
    </row>
    <row r="1599" spans="1:19" x14ac:dyDescent="0.3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e">
        <f>VLOOKUP('Customer Info'!B1591,'Customer Info'!B1591:B2090,1,0)</f>
        <v>#N/A</v>
      </c>
      <c r="H1599" s="6" t="e">
        <f>VLOOKUP('Customer Info'!C1591,'Customer Info'!C1591:C2090,1)</f>
        <v>#N/A</v>
      </c>
      <c r="I1599" s="6" t="e">
        <f>VLOOKUP('Customer Info'!E1591,'Customer Info'!E1591:E2090,1,0)</f>
        <v>#N/A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700</v>
      </c>
      <c r="R1599" s="2" t="s">
        <v>50</v>
      </c>
      <c r="S1599" s="9">
        <f t="shared" si="124"/>
        <v>0.05</v>
      </c>
    </row>
    <row r="1600" spans="1:19" x14ac:dyDescent="0.3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e">
        <f>VLOOKUP('Customer Info'!B1592,'Customer Info'!B1592:B2091,1,0)</f>
        <v>#N/A</v>
      </c>
      <c r="H1600" s="6" t="e">
        <f>VLOOKUP('Customer Info'!C1592,'Customer Info'!C1592:C2091,1)</f>
        <v>#N/A</v>
      </c>
      <c r="I1600" s="6" t="e">
        <f>VLOOKUP('Customer Info'!E1592,'Customer Info'!E1592:E2091,1,0)</f>
        <v>#N/A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4138</v>
      </c>
      <c r="R1600" s="2" t="s">
        <v>28</v>
      </c>
      <c r="S1600" s="9">
        <f t="shared" si="124"/>
        <v>0.09</v>
      </c>
    </row>
    <row r="1601" spans="1:19" x14ac:dyDescent="0.3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e">
        <f>VLOOKUP('Customer Info'!B1593,'Customer Info'!B1593:B2092,1,0)</f>
        <v>#N/A</v>
      </c>
      <c r="H1601" s="6" t="e">
        <f>VLOOKUP('Customer Info'!C1593,'Customer Info'!C1593:C2092,1)</f>
        <v>#N/A</v>
      </c>
      <c r="I1601" s="6" t="e">
        <f>VLOOKUP('Customer Info'!E1593,'Customer Info'!E1593:E2092,1,0)</f>
        <v>#N/A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636</v>
      </c>
      <c r="R1601" s="2" t="s">
        <v>28</v>
      </c>
      <c r="S1601" s="9">
        <f t="shared" si="124"/>
        <v>0.05</v>
      </c>
    </row>
    <row r="1602" spans="1:19" x14ac:dyDescent="0.3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e">
        <f>VLOOKUP('Customer Info'!B1594,'Customer Info'!B1594:B2093,1,0)</f>
        <v>#N/A</v>
      </c>
      <c r="H1602" s="6" t="e">
        <f>VLOOKUP('Customer Info'!C1594,'Customer Info'!C1594:C2093,1)</f>
        <v>#N/A</v>
      </c>
      <c r="I1602" s="6" t="e">
        <f>VLOOKUP('Customer Info'!E1594,'Customer Info'!E1594:E2093,1,0)</f>
        <v>#N/A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732</v>
      </c>
      <c r="R1602" s="2" t="s">
        <v>50</v>
      </c>
      <c r="S1602" s="9">
        <f t="shared" si="124"/>
        <v>0.05</v>
      </c>
    </row>
    <row r="1603" spans="1:19" x14ac:dyDescent="0.3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e">
        <f>VLOOKUP('Customer Info'!B1595,'Customer Info'!B1595:B2094,1,0)</f>
        <v>#N/A</v>
      </c>
      <c r="H1603" s="6" t="e">
        <f>VLOOKUP('Customer Info'!C1595,'Customer Info'!C1595:C2094,1)</f>
        <v>#N/A</v>
      </c>
      <c r="I1603" s="6" t="e">
        <f>VLOOKUP('Customer Info'!E1595,'Customer Info'!E1595:E2094,1,0)</f>
        <v>#N/A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1323</v>
      </c>
      <c r="R1603" s="2" t="s">
        <v>28</v>
      </c>
      <c r="S1603" s="9">
        <f t="shared" si="124"/>
        <v>0.05</v>
      </c>
    </row>
    <row r="1604" spans="1:19" x14ac:dyDescent="0.3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e">
        <f>VLOOKUP('Customer Info'!B1596,'Customer Info'!B1596:B2095,1,0)</f>
        <v>#N/A</v>
      </c>
      <c r="H1604" s="6" t="e">
        <f>VLOOKUP('Customer Info'!C1596,'Customer Info'!C1596:C2095,1)</f>
        <v>#N/A</v>
      </c>
      <c r="I1604" s="6" t="e">
        <f>VLOOKUP('Customer Info'!E1596,'Customer Info'!E1596:E2095,1,0)</f>
        <v>#N/A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464</v>
      </c>
      <c r="R1604" s="2" t="s">
        <v>50</v>
      </c>
      <c r="S1604" s="9">
        <f t="shared" si="124"/>
        <v>0.05</v>
      </c>
    </row>
    <row r="1605" spans="1:19" x14ac:dyDescent="0.3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e">
        <f>VLOOKUP('Customer Info'!B1597,'Customer Info'!B1597:B2096,1,0)</f>
        <v>#N/A</v>
      </c>
      <c r="H1605" s="6" t="e">
        <f>VLOOKUP('Customer Info'!C1597,'Customer Info'!C1597:C2096,1)</f>
        <v>#N/A</v>
      </c>
      <c r="I1605" s="6" t="e">
        <f>VLOOKUP('Customer Info'!E1597,'Customer Info'!E1597:E2096,1,0)</f>
        <v>#N/A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440</v>
      </c>
      <c r="R1605" s="2" t="s">
        <v>28</v>
      </c>
      <c r="S1605" s="9">
        <f t="shared" si="124"/>
        <v>0.05</v>
      </c>
    </row>
    <row r="1606" spans="1:19" x14ac:dyDescent="0.3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e">
        <f>VLOOKUP('Customer Info'!B1598,'Customer Info'!B1598:B2097,1,0)</f>
        <v>#N/A</v>
      </c>
      <c r="H1606" s="6" t="e">
        <f>VLOOKUP('Customer Info'!C1598,'Customer Info'!C1598:C2097,1)</f>
        <v>#N/A</v>
      </c>
      <c r="I1606" s="6" t="e">
        <f>VLOOKUP('Customer Info'!E1598,'Customer Info'!E1598:E2097,1,0)</f>
        <v>#N/A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402</v>
      </c>
      <c r="R1606" s="2" t="s">
        <v>50</v>
      </c>
      <c r="S1606" s="9">
        <f t="shared" si="124"/>
        <v>0.05</v>
      </c>
    </row>
    <row r="1607" spans="1:19" x14ac:dyDescent="0.3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e">
        <f>VLOOKUP('Customer Info'!B1599,'Customer Info'!B1599:B2098,1,0)</f>
        <v>#N/A</v>
      </c>
      <c r="H1607" s="6" t="e">
        <f>VLOOKUP('Customer Info'!C1599,'Customer Info'!C1599:C2098,1)</f>
        <v>#N/A</v>
      </c>
      <c r="I1607" s="6" t="e">
        <f>VLOOKUP('Customer Info'!E1599,'Customer Info'!E1599:E2098,1,0)</f>
        <v>#N/A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11292</v>
      </c>
      <c r="R1607" s="2" t="s">
        <v>50</v>
      </c>
      <c r="S1607" s="9">
        <f t="shared" si="124"/>
        <v>0.12</v>
      </c>
    </row>
    <row r="1608" spans="1:19" x14ac:dyDescent="0.3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e">
        <f>VLOOKUP('Customer Info'!B1600,'Customer Info'!B1600:B2099,1,0)</f>
        <v>#N/A</v>
      </c>
      <c r="H1608" s="6" t="e">
        <f>VLOOKUP('Customer Info'!C1600,'Customer Info'!C1600:C2099,1)</f>
        <v>#N/A</v>
      </c>
      <c r="I1608" s="6" t="e">
        <f>VLOOKUP('Customer Info'!E1600,'Customer Info'!E1600:E2099,1,0)</f>
        <v>#N/A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280</v>
      </c>
      <c r="R1608" s="2" t="s">
        <v>28</v>
      </c>
      <c r="S1608" s="9">
        <f t="shared" si="124"/>
        <v>0.05</v>
      </c>
    </row>
    <row r="1609" spans="1:19" x14ac:dyDescent="0.3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e">
        <f>VLOOKUP('Customer Info'!B1601,'Customer Info'!B1601:B2100,1,0)</f>
        <v>#N/A</v>
      </c>
      <c r="H1609" s="6" t="e">
        <f>VLOOKUP('Customer Info'!C1601,'Customer Info'!C1601:C2100,1)</f>
        <v>#N/A</v>
      </c>
      <c r="I1609" s="6" t="e">
        <f>VLOOKUP('Customer Info'!E1601,'Customer Info'!E1601:E2100,1,0)</f>
        <v>#N/A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540</v>
      </c>
      <c r="R1609" s="2" t="s">
        <v>50</v>
      </c>
      <c r="S1609" s="9">
        <f t="shared" si="124"/>
        <v>0.05</v>
      </c>
    </row>
    <row r="1610" spans="1:19" x14ac:dyDescent="0.3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e">
        <f>VLOOKUP('Customer Info'!B1602,'Customer Info'!B1602:B2101,1,0)</f>
        <v>#N/A</v>
      </c>
      <c r="H1610" s="6" t="e">
        <f>VLOOKUP('Customer Info'!C1602,'Customer Info'!C1602:C2101,1)</f>
        <v>#N/A</v>
      </c>
      <c r="I1610" s="6" t="e">
        <f>VLOOKUP('Customer Info'!E1602,'Customer Info'!E1602:E2101,1,0)</f>
        <v>#N/A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252</v>
      </c>
      <c r="R1610" s="2" t="s">
        <v>28</v>
      </c>
      <c r="S1610" s="9">
        <f t="shared" si="124"/>
        <v>0.02</v>
      </c>
    </row>
    <row r="1611" spans="1:19" x14ac:dyDescent="0.3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e">
        <f>VLOOKUP('Customer Info'!B1603,'Customer Info'!B1603:B2102,1,0)</f>
        <v>#N/A</v>
      </c>
      <c r="H1611" s="6" t="e">
        <f>VLOOKUP('Customer Info'!C1603,'Customer Info'!C1603:C2102,1)</f>
        <v>#N/A</v>
      </c>
      <c r="I1611" s="6" t="e">
        <f>VLOOKUP('Customer Info'!E1603,'Customer Info'!E1603:E2102,1,0)</f>
        <v>#N/A</v>
      </c>
      <c r="J1611" s="2">
        <v>127</v>
      </c>
      <c r="K1611" s="2">
        <v>116</v>
      </c>
      <c r="L1611" s="2">
        <v>1</v>
      </c>
      <c r="M1611" s="7">
        <f t="shared" ref="M1611:M1674" si="125">(K1611*L1611)</f>
        <v>116</v>
      </c>
      <c r="N1611" s="7">
        <f t="shared" ref="N1611:N1674" si="126">(J1611*L1611)</f>
        <v>127</v>
      </c>
      <c r="O1611" s="2">
        <v>30</v>
      </c>
      <c r="P1611" s="8">
        <f t="shared" ref="P1611:P1674" si="127">(N1611+O1611)</f>
        <v>157</v>
      </c>
      <c r="Q1611" s="8">
        <f t="shared" ref="Q1611:Q1674" si="128">(N1611-M1611)</f>
        <v>11</v>
      </c>
      <c r="R1611" s="2" t="s">
        <v>50</v>
      </c>
      <c r="S1611" s="9">
        <f t="shared" ref="S1611:S1674" si="129">_xlfn.IFS(P1611&gt;250000,0.15,P1611&gt;100000,0.12,P1611&gt;50000,0.09,P1611&gt;25000,0.07,P1611&gt;5000,0.05,
 TRUE,0.02)</f>
        <v>0.02</v>
      </c>
    </row>
    <row r="1612" spans="1:19" x14ac:dyDescent="0.3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e">
        <f>VLOOKUP('Customer Info'!B1604,'Customer Info'!B1604:B2103,1,0)</f>
        <v>#N/A</v>
      </c>
      <c r="H1612" s="6" t="e">
        <f>VLOOKUP('Customer Info'!C1604,'Customer Info'!C1604:C2103,1)</f>
        <v>#N/A</v>
      </c>
      <c r="I1612" s="6" t="e">
        <f>VLOOKUP('Customer Info'!E1604,'Customer Info'!E1604:E2103,1,0)</f>
        <v>#N/A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360</v>
      </c>
      <c r="R1612" s="2" t="s">
        <v>50</v>
      </c>
      <c r="S1612" s="9">
        <f t="shared" si="129"/>
        <v>0.05</v>
      </c>
    </row>
    <row r="1613" spans="1:19" x14ac:dyDescent="0.3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e">
        <f>VLOOKUP('Customer Info'!B1605,'Customer Info'!B1605:B2104,1,0)</f>
        <v>#N/A</v>
      </c>
      <c r="H1613" s="6" t="e">
        <f>VLOOKUP('Customer Info'!C1605,'Customer Info'!C1605:C2104,1)</f>
        <v>#N/A</v>
      </c>
      <c r="I1613" s="6" t="e">
        <f>VLOOKUP('Customer Info'!E1605,'Customer Info'!E1605:E2104,1,0)</f>
        <v>#N/A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15</v>
      </c>
      <c r="R1613" s="2" t="s">
        <v>50</v>
      </c>
      <c r="S1613" s="9">
        <f t="shared" si="129"/>
        <v>0.02</v>
      </c>
    </row>
    <row r="1614" spans="1:19" x14ac:dyDescent="0.3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e">
        <f>VLOOKUP('Customer Info'!B1606,'Customer Info'!B1606:B2105,1,0)</f>
        <v>#N/A</v>
      </c>
      <c r="H1614" s="6" t="e">
        <f>VLOOKUP('Customer Info'!C1606,'Customer Info'!C1606:C2105,1)</f>
        <v>#N/A</v>
      </c>
      <c r="I1614" s="6" t="e">
        <f>VLOOKUP('Customer Info'!E1606,'Customer Info'!E1606:E2105,1,0)</f>
        <v>#N/A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231</v>
      </c>
      <c r="R1614" s="2" t="s">
        <v>28</v>
      </c>
      <c r="S1614" s="9">
        <f t="shared" si="129"/>
        <v>0.02</v>
      </c>
    </row>
    <row r="1615" spans="1:19" x14ac:dyDescent="0.3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e">
        <f>VLOOKUP('Customer Info'!B1607,'Customer Info'!B1607:B2106,1,0)</f>
        <v>#N/A</v>
      </c>
      <c r="H1615" s="6" t="e">
        <f>VLOOKUP('Customer Info'!C1607,'Customer Info'!C1607:C2106,1)</f>
        <v>#N/A</v>
      </c>
      <c r="I1615" s="6" t="e">
        <f>VLOOKUP('Customer Info'!E1607,'Customer Info'!E1607:E2106,1,0)</f>
        <v>#N/A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595</v>
      </c>
      <c r="R1615" s="2" t="s">
        <v>50</v>
      </c>
      <c r="S1615" s="9">
        <f t="shared" si="129"/>
        <v>0.05</v>
      </c>
    </row>
    <row r="1616" spans="1:19" x14ac:dyDescent="0.3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e">
        <f>VLOOKUP('Customer Info'!B1608,'Customer Info'!B1608:B2107,1,0)</f>
        <v>#N/A</v>
      </c>
      <c r="H1616" s="6" t="e">
        <f>VLOOKUP('Customer Info'!C1608,'Customer Info'!C1608:C2107,1)</f>
        <v>#N/A</v>
      </c>
      <c r="I1616" s="6" t="e">
        <f>VLOOKUP('Customer Info'!E1608,'Customer Info'!E1608:E2107,1,0)</f>
        <v>#N/A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1173</v>
      </c>
      <c r="R1616" s="2" t="s">
        <v>50</v>
      </c>
      <c r="S1616" s="9">
        <f t="shared" si="129"/>
        <v>0.05</v>
      </c>
    </row>
    <row r="1617" spans="1:19" x14ac:dyDescent="0.3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e">
        <f>VLOOKUP('Customer Info'!B1609,'Customer Info'!B1609:B2108,1,0)</f>
        <v>#N/A</v>
      </c>
      <c r="H1617" s="6" t="e">
        <f>VLOOKUP('Customer Info'!C1609,'Customer Info'!C1609:C2108,1)</f>
        <v>#N/A</v>
      </c>
      <c r="I1617" s="6" t="e">
        <f>VLOOKUP('Customer Info'!E1609,'Customer Info'!E1609:E2108,1,0)</f>
        <v>#N/A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252</v>
      </c>
      <c r="R1617" s="2" t="s">
        <v>50</v>
      </c>
      <c r="S1617" s="9">
        <f t="shared" si="129"/>
        <v>0.02</v>
      </c>
    </row>
    <row r="1618" spans="1:19" x14ac:dyDescent="0.3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e">
        <f>VLOOKUP('Customer Info'!B1610,'Customer Info'!B1610:B2109,1,0)</f>
        <v>#N/A</v>
      </c>
      <c r="H1618" s="6" t="e">
        <f>VLOOKUP('Customer Info'!C1610,'Customer Info'!C1610:C2109,1)</f>
        <v>#N/A</v>
      </c>
      <c r="I1618" s="6" t="e">
        <f>VLOOKUP('Customer Info'!E1610,'Customer Info'!E1610:E2109,1,0)</f>
        <v>#N/A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650</v>
      </c>
      <c r="R1618" s="2" t="s">
        <v>28</v>
      </c>
      <c r="S1618" s="9">
        <f t="shared" si="129"/>
        <v>0.05</v>
      </c>
    </row>
    <row r="1619" spans="1:19" x14ac:dyDescent="0.3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e">
        <f>VLOOKUP('Customer Info'!B1611,'Customer Info'!B1611:B2110,1,0)</f>
        <v>#N/A</v>
      </c>
      <c r="H1619" s="6" t="e">
        <f>VLOOKUP('Customer Info'!C1611,'Customer Info'!C1611:C2110,1)</f>
        <v>#N/A</v>
      </c>
      <c r="I1619" s="6" t="e">
        <f>VLOOKUP('Customer Info'!E1611,'Customer Info'!E1611:E2110,1,0)</f>
        <v>#N/A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4058</v>
      </c>
      <c r="R1619" s="2" t="s">
        <v>28</v>
      </c>
      <c r="S1619" s="9">
        <f t="shared" si="129"/>
        <v>0.09</v>
      </c>
    </row>
    <row r="1620" spans="1:19" x14ac:dyDescent="0.3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e">
        <f>VLOOKUP('Customer Info'!B1612,'Customer Info'!B1612:B2111,1,0)</f>
        <v>#N/A</v>
      </c>
      <c r="H1620" s="6" t="e">
        <f>VLOOKUP('Customer Info'!C1612,'Customer Info'!C1612:C2111,1)</f>
        <v>#N/A</v>
      </c>
      <c r="I1620" s="6" t="e">
        <f>VLOOKUP('Customer Info'!E1612,'Customer Info'!E1612:E2111,1,0)</f>
        <v>#N/A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15</v>
      </c>
      <c r="R1620" s="2" t="s">
        <v>28</v>
      </c>
      <c r="S1620" s="9">
        <f t="shared" si="129"/>
        <v>0.02</v>
      </c>
    </row>
    <row r="1621" spans="1:19" x14ac:dyDescent="0.3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e">
        <f>VLOOKUP('Customer Info'!B1613,'Customer Info'!B1613:B2112,1,0)</f>
        <v>#N/A</v>
      </c>
      <c r="H1621" s="6" t="e">
        <f>VLOOKUP('Customer Info'!C1613,'Customer Info'!C1613:C2112,1)</f>
        <v>#N/A</v>
      </c>
      <c r="I1621" s="6" t="e">
        <f>VLOOKUP('Customer Info'!E1613,'Customer Info'!E1613:E2112,1,0)</f>
        <v>#N/A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4008</v>
      </c>
      <c r="R1621" s="2" t="s">
        <v>50</v>
      </c>
      <c r="S1621" s="9">
        <f t="shared" si="129"/>
        <v>7.0000000000000007E-2</v>
      </c>
    </row>
    <row r="1622" spans="1:19" x14ac:dyDescent="0.3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e">
        <f>VLOOKUP('Customer Info'!B1614,'Customer Info'!B1614:B2113,1,0)</f>
        <v>#N/A</v>
      </c>
      <c r="H1622" s="6" t="e">
        <f>VLOOKUP('Customer Info'!C1614,'Customer Info'!C1614:C2113,1)</f>
        <v>#N/A</v>
      </c>
      <c r="I1622" s="6" t="e">
        <f>VLOOKUP('Customer Info'!E1614,'Customer Info'!E1614:E2113,1,0)</f>
        <v>#N/A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56</v>
      </c>
      <c r="R1622" s="2" t="s">
        <v>28</v>
      </c>
      <c r="S1622" s="9">
        <f t="shared" si="129"/>
        <v>0.02</v>
      </c>
    </row>
    <row r="1623" spans="1:19" x14ac:dyDescent="0.3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e">
        <f>VLOOKUP('Customer Info'!B1615,'Customer Info'!B1615:B2114,1,0)</f>
        <v>#N/A</v>
      </c>
      <c r="H1623" s="6" t="e">
        <f>VLOOKUP('Customer Info'!C1615,'Customer Info'!C1615:C2114,1)</f>
        <v>#N/A</v>
      </c>
      <c r="I1623" s="6" t="e">
        <f>VLOOKUP('Customer Info'!E1615,'Customer Info'!E1615:E2114,1,0)</f>
        <v>#N/A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1300</v>
      </c>
      <c r="R1623" s="2" t="s">
        <v>50</v>
      </c>
      <c r="S1623" s="9">
        <f t="shared" si="129"/>
        <v>0.05</v>
      </c>
    </row>
    <row r="1624" spans="1:19" x14ac:dyDescent="0.3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e">
        <f>VLOOKUP('Customer Info'!B1616,'Customer Info'!B1616:B2115,1,0)</f>
        <v>#N/A</v>
      </c>
      <c r="H1624" s="6" t="e">
        <f>VLOOKUP('Customer Info'!C1616,'Customer Info'!C1616:C2115,1)</f>
        <v>#N/A</v>
      </c>
      <c r="I1624" s="6" t="e">
        <f>VLOOKUP('Customer Info'!E1616,'Customer Info'!E1616:E2115,1,0)</f>
        <v>#N/A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1878</v>
      </c>
      <c r="R1624" s="2" t="s">
        <v>28</v>
      </c>
      <c r="S1624" s="9">
        <f t="shared" si="129"/>
        <v>7.0000000000000007E-2</v>
      </c>
    </row>
    <row r="1625" spans="1:19" x14ac:dyDescent="0.3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e">
        <f>VLOOKUP('Customer Info'!B1617,'Customer Info'!B1617:B2116,1,0)</f>
        <v>#N/A</v>
      </c>
      <c r="H1625" s="6" t="e">
        <f>VLOOKUP('Customer Info'!C1617,'Customer Info'!C1617:C2116,1)</f>
        <v>#N/A</v>
      </c>
      <c r="I1625" s="6" t="e">
        <f>VLOOKUP('Customer Info'!E1617,'Customer Info'!E1617:E2116,1,0)</f>
        <v>#N/A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116</v>
      </c>
      <c r="R1625" s="2" t="s">
        <v>26</v>
      </c>
      <c r="S1625" s="9">
        <f t="shared" si="129"/>
        <v>0.05</v>
      </c>
    </row>
    <row r="1626" spans="1:19" x14ac:dyDescent="0.3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e">
        <f>VLOOKUP('Customer Info'!B1618,'Customer Info'!B1618:B2117,1,0)</f>
        <v>#N/A</v>
      </c>
      <c r="H1626" s="6" t="e">
        <f>VLOOKUP('Customer Info'!C1618,'Customer Info'!C1618:C2117,1)</f>
        <v>#N/A</v>
      </c>
      <c r="I1626" s="6" t="e">
        <f>VLOOKUP('Customer Info'!E1618,'Customer Info'!E1618:E2117,1,0)</f>
        <v>#N/A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36</v>
      </c>
      <c r="R1626" s="2" t="s">
        <v>50</v>
      </c>
      <c r="S1626" s="9">
        <f t="shared" si="129"/>
        <v>0.02</v>
      </c>
    </row>
    <row r="1627" spans="1:19" x14ac:dyDescent="0.3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e">
        <f>VLOOKUP('Customer Info'!B1619,'Customer Info'!B1619:B2118,1,0)</f>
        <v>#N/A</v>
      </c>
      <c r="H1627" s="6" t="e">
        <f>VLOOKUP('Customer Info'!C1619,'Customer Info'!C1619:C2118,1)</f>
        <v>#N/A</v>
      </c>
      <c r="I1627" s="6" t="e">
        <f>VLOOKUP('Customer Info'!E1619,'Customer Info'!E1619:E2118,1,0)</f>
        <v>#N/A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958</v>
      </c>
      <c r="R1627" s="2" t="s">
        <v>28</v>
      </c>
      <c r="S1627" s="9">
        <f t="shared" si="129"/>
        <v>0.05</v>
      </c>
    </row>
    <row r="1628" spans="1:19" x14ac:dyDescent="0.3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e">
        <f>VLOOKUP('Customer Info'!B1620,'Customer Info'!B1620:B2119,1,0)</f>
        <v>#N/A</v>
      </c>
      <c r="H1628" s="6" t="e">
        <f>VLOOKUP('Customer Info'!C1620,'Customer Info'!C1620:C2119,1)</f>
        <v>#N/A</v>
      </c>
      <c r="I1628" s="6" t="e">
        <f>VLOOKUP('Customer Info'!E1620,'Customer Info'!E1620:E2119,1,0)</f>
        <v>#N/A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12450</v>
      </c>
      <c r="R1628" s="2" t="s">
        <v>26</v>
      </c>
      <c r="S1628" s="9">
        <f t="shared" si="129"/>
        <v>0.12</v>
      </c>
    </row>
    <row r="1629" spans="1:19" x14ac:dyDescent="0.3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e">
        <f>VLOOKUP('Customer Info'!B1621,'Customer Info'!B1621:B2120,1,0)</f>
        <v>#N/A</v>
      </c>
      <c r="H1629" s="6" t="e">
        <f>VLOOKUP('Customer Info'!C1621,'Customer Info'!C1621:C2120,1)</f>
        <v>#N/A</v>
      </c>
      <c r="I1629" s="6" t="e">
        <f>VLOOKUP('Customer Info'!E1621,'Customer Info'!E1621:E2120,1,0)</f>
        <v>#N/A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444</v>
      </c>
      <c r="R1629" s="2" t="s">
        <v>50</v>
      </c>
      <c r="S1629" s="9">
        <f t="shared" si="129"/>
        <v>0.05</v>
      </c>
    </row>
    <row r="1630" spans="1:19" x14ac:dyDescent="0.3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e">
        <f>VLOOKUP('Customer Info'!B1622,'Customer Info'!B1622:B2121,1,0)</f>
        <v>#N/A</v>
      </c>
      <c r="H1630" s="6" t="e">
        <f>VLOOKUP('Customer Info'!C1622,'Customer Info'!C1622:C2121,1)</f>
        <v>#N/A</v>
      </c>
      <c r="I1630" s="6" t="e">
        <f>VLOOKUP('Customer Info'!E1622,'Customer Info'!E1622:E2121,1,0)</f>
        <v>#N/A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819</v>
      </c>
      <c r="R1630" s="2" t="s">
        <v>28</v>
      </c>
      <c r="S1630" s="9">
        <f t="shared" si="129"/>
        <v>0.05</v>
      </c>
    </row>
    <row r="1631" spans="1:19" x14ac:dyDescent="0.3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e">
        <f>VLOOKUP('Customer Info'!B1623,'Customer Info'!B1623:B2122,1,0)</f>
        <v>#N/A</v>
      </c>
      <c r="H1631" s="6" t="e">
        <f>VLOOKUP('Customer Info'!C1623,'Customer Info'!C1623:C2122,1)</f>
        <v>#N/A</v>
      </c>
      <c r="I1631" s="6" t="e">
        <f>VLOOKUP('Customer Info'!E1623,'Customer Info'!E1623:E2122,1,0)</f>
        <v>#N/A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292</v>
      </c>
      <c r="R1631" s="2" t="s">
        <v>50</v>
      </c>
      <c r="S1631" s="9">
        <f t="shared" si="129"/>
        <v>0.02</v>
      </c>
    </row>
    <row r="1632" spans="1:19" x14ac:dyDescent="0.3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e">
        <f>VLOOKUP('Customer Info'!B1624,'Customer Info'!B1624:B2123,1,0)</f>
        <v>#N/A</v>
      </c>
      <c r="H1632" s="6" t="e">
        <f>VLOOKUP('Customer Info'!C1624,'Customer Info'!C1624:C2123,1)</f>
        <v>#N/A</v>
      </c>
      <c r="I1632" s="6" t="e">
        <f>VLOOKUP('Customer Info'!E1624,'Customer Info'!E1624:E2123,1,0)</f>
        <v>#N/A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91</v>
      </c>
      <c r="R1632" s="2" t="s">
        <v>50</v>
      </c>
      <c r="S1632" s="9">
        <f t="shared" si="129"/>
        <v>0.02</v>
      </c>
    </row>
    <row r="1633" spans="1:19" x14ac:dyDescent="0.3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e">
        <f>VLOOKUP('Customer Info'!B1625,'Customer Info'!B1625:B2124,1,0)</f>
        <v>#N/A</v>
      </c>
      <c r="H1633" s="6" t="e">
        <f>VLOOKUP('Customer Info'!C1625,'Customer Info'!C1625:C2124,1)</f>
        <v>#N/A</v>
      </c>
      <c r="I1633" s="6" t="e">
        <f>VLOOKUP('Customer Info'!E1625,'Customer Info'!E1625:E2124,1,0)</f>
        <v>#N/A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1035</v>
      </c>
      <c r="R1633" s="2" t="s">
        <v>50</v>
      </c>
      <c r="S1633" s="9">
        <f t="shared" si="129"/>
        <v>0.05</v>
      </c>
    </row>
    <row r="1634" spans="1:19" x14ac:dyDescent="0.3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e">
        <f>VLOOKUP('Customer Info'!B1626,'Customer Info'!B1626:B2125,1,0)</f>
        <v>#N/A</v>
      </c>
      <c r="H1634" s="6" t="e">
        <f>VLOOKUP('Customer Info'!C1626,'Customer Info'!C1626:C2125,1)</f>
        <v>#N/A</v>
      </c>
      <c r="I1634" s="6" t="e">
        <f>VLOOKUP('Customer Info'!E1626,'Customer Info'!E1626:E2125,1,0)</f>
        <v>#N/A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40</v>
      </c>
      <c r="R1634" s="2" t="s">
        <v>50</v>
      </c>
      <c r="S1634" s="9">
        <f t="shared" si="129"/>
        <v>0.02</v>
      </c>
    </row>
    <row r="1635" spans="1:19" x14ac:dyDescent="0.3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e">
        <f>VLOOKUP('Customer Info'!B1627,'Customer Info'!B1627:B2126,1,0)</f>
        <v>#N/A</v>
      </c>
      <c r="H1635" s="6" t="e">
        <f>VLOOKUP('Customer Info'!C1627,'Customer Info'!C1627:C2126,1)</f>
        <v>#N/A</v>
      </c>
      <c r="I1635" s="6" t="e">
        <f>VLOOKUP('Customer Info'!E1627,'Customer Info'!E1627:E2126,1,0)</f>
        <v>#N/A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9</v>
      </c>
      <c r="R1635" s="2" t="s">
        <v>28</v>
      </c>
      <c r="S1635" s="9">
        <f t="shared" si="129"/>
        <v>0.02</v>
      </c>
    </row>
    <row r="1636" spans="1:19" x14ac:dyDescent="0.3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e">
        <f>VLOOKUP('Customer Info'!B1628,'Customer Info'!B1628:B2127,1,0)</f>
        <v>#N/A</v>
      </c>
      <c r="H1636" s="6" t="e">
        <f>VLOOKUP('Customer Info'!C1628,'Customer Info'!C1628:C2127,1)</f>
        <v>#N/A</v>
      </c>
      <c r="I1636" s="6" t="e">
        <f>VLOOKUP('Customer Info'!E1628,'Customer Info'!E1628:E2127,1,0)</f>
        <v>#N/A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4648</v>
      </c>
      <c r="R1636" s="2" t="s">
        <v>28</v>
      </c>
      <c r="S1636" s="9">
        <f t="shared" si="129"/>
        <v>7.0000000000000007E-2</v>
      </c>
    </row>
    <row r="1637" spans="1:19" x14ac:dyDescent="0.3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e">
        <f>VLOOKUP('Customer Info'!B1629,'Customer Info'!B1629:B2128,1,0)</f>
        <v>#N/A</v>
      </c>
      <c r="H1637" s="6" t="e">
        <f>VLOOKUP('Customer Info'!C1629,'Customer Info'!C1629:C2128,1)</f>
        <v>#N/A</v>
      </c>
      <c r="I1637" s="6" t="e">
        <f>VLOOKUP('Customer Info'!E1629,'Customer Info'!E1629:E2128,1,0)</f>
        <v>#N/A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110</v>
      </c>
      <c r="R1637" s="2" t="s">
        <v>28</v>
      </c>
      <c r="S1637" s="9">
        <f t="shared" si="129"/>
        <v>0.02</v>
      </c>
    </row>
    <row r="1638" spans="1:19" x14ac:dyDescent="0.3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e">
        <f>VLOOKUP('Customer Info'!B1630,'Customer Info'!B1630:B2129,1,0)</f>
        <v>#N/A</v>
      </c>
      <c r="H1638" s="6" t="e">
        <f>VLOOKUP('Customer Info'!C1630,'Customer Info'!C1630:C2129,1)</f>
        <v>#N/A</v>
      </c>
      <c r="I1638" s="6" t="e">
        <f>VLOOKUP('Customer Info'!E1630,'Customer Info'!E1630:E2129,1,0)</f>
        <v>#N/A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1896</v>
      </c>
      <c r="R1638" s="2" t="s">
        <v>28</v>
      </c>
      <c r="S1638" s="9">
        <f t="shared" si="129"/>
        <v>0.05</v>
      </c>
    </row>
    <row r="1639" spans="1:19" x14ac:dyDescent="0.3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e">
        <f>VLOOKUP('Customer Info'!B1631,'Customer Info'!B1631:B2130,1,0)</f>
        <v>#N/A</v>
      </c>
      <c r="H1639" s="6" t="e">
        <f>VLOOKUP('Customer Info'!C1631,'Customer Info'!C1631:C2130,1)</f>
        <v>#N/A</v>
      </c>
      <c r="I1639" s="6" t="e">
        <f>VLOOKUP('Customer Info'!E1631,'Customer Info'!E1631:E2130,1,0)</f>
        <v>#N/A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1024</v>
      </c>
      <c r="R1639" s="2" t="s">
        <v>28</v>
      </c>
      <c r="S1639" s="9">
        <f t="shared" si="129"/>
        <v>7.0000000000000007E-2</v>
      </c>
    </row>
    <row r="1640" spans="1:19" x14ac:dyDescent="0.3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e">
        <f>VLOOKUP('Customer Info'!B1632,'Customer Info'!B1632:B2131,1,0)</f>
        <v>#N/A</v>
      </c>
      <c r="H1640" s="6" t="e">
        <f>VLOOKUP('Customer Info'!C1632,'Customer Info'!C1632:C2131,1)</f>
        <v>#N/A</v>
      </c>
      <c r="I1640" s="6" t="e">
        <f>VLOOKUP('Customer Info'!E1632,'Customer Info'!E1632:E2131,1,0)</f>
        <v>#N/A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180</v>
      </c>
      <c r="R1640" s="2" t="s">
        <v>28</v>
      </c>
      <c r="S1640" s="9">
        <f t="shared" si="129"/>
        <v>0.05</v>
      </c>
    </row>
    <row r="1641" spans="1:19" x14ac:dyDescent="0.3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e">
        <f>VLOOKUP('Customer Info'!B1633,'Customer Info'!B1633:B2132,1,0)</f>
        <v>#N/A</v>
      </c>
      <c r="H1641" s="6" t="e">
        <f>VLOOKUP('Customer Info'!C1633,'Customer Info'!C1633:C2132,1)</f>
        <v>#N/A</v>
      </c>
      <c r="I1641" s="6" t="e">
        <f>VLOOKUP('Customer Info'!E1633,'Customer Info'!E1633:E2132,1,0)</f>
        <v>#N/A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12</v>
      </c>
      <c r="R1641" s="2" t="s">
        <v>50</v>
      </c>
      <c r="S1641" s="9">
        <f t="shared" si="129"/>
        <v>0.02</v>
      </c>
    </row>
    <row r="1642" spans="1:19" x14ac:dyDescent="0.3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e">
        <f>VLOOKUP('Customer Info'!B1634,'Customer Info'!B1634:B2133,1,0)</f>
        <v>#N/A</v>
      </c>
      <c r="H1642" s="6" t="e">
        <f>VLOOKUP('Customer Info'!C1634,'Customer Info'!C1634:C2133,1)</f>
        <v>#N/A</v>
      </c>
      <c r="I1642" s="6" t="e">
        <f>VLOOKUP('Customer Info'!E1634,'Customer Info'!E1634:E2133,1,0)</f>
        <v>#N/A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94</v>
      </c>
      <c r="R1642" s="2" t="s">
        <v>28</v>
      </c>
      <c r="S1642" s="9">
        <f t="shared" si="129"/>
        <v>0.02</v>
      </c>
    </row>
    <row r="1643" spans="1:19" x14ac:dyDescent="0.3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e">
        <f>VLOOKUP('Customer Info'!B1635,'Customer Info'!B1635:B2134,1,0)</f>
        <v>#N/A</v>
      </c>
      <c r="H1643" s="6" t="e">
        <f>VLOOKUP('Customer Info'!C1635,'Customer Info'!C1635:C2134,1)</f>
        <v>#N/A</v>
      </c>
      <c r="I1643" s="6" t="e">
        <f>VLOOKUP('Customer Info'!E1635,'Customer Info'!E1635:E2134,1,0)</f>
        <v>#N/A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56</v>
      </c>
      <c r="R1643" s="2" t="s">
        <v>28</v>
      </c>
      <c r="S1643" s="9">
        <f t="shared" si="129"/>
        <v>0.02</v>
      </c>
    </row>
    <row r="1644" spans="1:19" x14ac:dyDescent="0.3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e">
        <f>VLOOKUP('Customer Info'!B1636,'Customer Info'!B1636:B2135,1,0)</f>
        <v>#N/A</v>
      </c>
      <c r="H1644" s="6" t="e">
        <f>VLOOKUP('Customer Info'!C1636,'Customer Info'!C1636:C2135,1)</f>
        <v>#N/A</v>
      </c>
      <c r="I1644" s="6" t="e">
        <f>VLOOKUP('Customer Info'!E1636,'Customer Info'!E1636:E2135,1,0)</f>
        <v>#N/A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597</v>
      </c>
      <c r="R1644" s="2" t="s">
        <v>28</v>
      </c>
      <c r="S1644" s="9">
        <f t="shared" si="129"/>
        <v>0.05</v>
      </c>
    </row>
    <row r="1645" spans="1:19" x14ac:dyDescent="0.3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e">
        <f>VLOOKUP('Customer Info'!B1637,'Customer Info'!B1637:B2136,1,0)</f>
        <v>#N/A</v>
      </c>
      <c r="H1645" s="6" t="e">
        <f>VLOOKUP('Customer Info'!C1637,'Customer Info'!C1637:C2136,1)</f>
        <v>#N/A</v>
      </c>
      <c r="I1645" s="6" t="e">
        <f>VLOOKUP('Customer Info'!E1637,'Customer Info'!E1637:E2136,1,0)</f>
        <v>#N/A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292</v>
      </c>
      <c r="R1645" s="2" t="s">
        <v>28</v>
      </c>
      <c r="S1645" s="9">
        <f t="shared" si="129"/>
        <v>0.05</v>
      </c>
    </row>
    <row r="1646" spans="1:19" x14ac:dyDescent="0.3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e">
        <f>VLOOKUP('Customer Info'!B1638,'Customer Info'!B1638:B2137,1,0)</f>
        <v>#N/A</v>
      </c>
      <c r="H1646" s="6" t="e">
        <f>VLOOKUP('Customer Info'!C1638,'Customer Info'!C1638:C2137,1)</f>
        <v>#N/A</v>
      </c>
      <c r="I1646" s="6" t="e">
        <f>VLOOKUP('Customer Info'!E1638,'Customer Info'!E1638:E2137,1,0)</f>
        <v>#N/A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960</v>
      </c>
      <c r="R1646" s="2" t="s">
        <v>28</v>
      </c>
      <c r="S1646" s="9">
        <f t="shared" si="129"/>
        <v>0.05</v>
      </c>
    </row>
    <row r="1647" spans="1:19" x14ac:dyDescent="0.3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e">
        <f>VLOOKUP('Customer Info'!B1639,'Customer Info'!B1639:B2138,1,0)</f>
        <v>#N/A</v>
      </c>
      <c r="H1647" s="6" t="e">
        <f>VLOOKUP('Customer Info'!C1639,'Customer Info'!C1639:C2138,1)</f>
        <v>#N/A</v>
      </c>
      <c r="I1647" s="6" t="e">
        <f>VLOOKUP('Customer Info'!E1639,'Customer Info'!E1639:E2138,1,0)</f>
        <v>#N/A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4</v>
      </c>
      <c r="R1647" s="2" t="s">
        <v>28</v>
      </c>
      <c r="S1647" s="9">
        <f t="shared" si="129"/>
        <v>0.02</v>
      </c>
    </row>
    <row r="1648" spans="1:19" x14ac:dyDescent="0.3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e">
        <f>VLOOKUP('Customer Info'!B1640,'Customer Info'!B1640:B2139,1,0)</f>
        <v>#N/A</v>
      </c>
      <c r="H1648" s="6" t="e">
        <f>VLOOKUP('Customer Info'!C1640,'Customer Info'!C1640:C2139,1)</f>
        <v>#N/A</v>
      </c>
      <c r="I1648" s="6" t="e">
        <f>VLOOKUP('Customer Info'!E1640,'Customer Info'!E1640:E2139,1,0)</f>
        <v>#N/A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2010</v>
      </c>
      <c r="R1648" s="2" t="s">
        <v>50</v>
      </c>
      <c r="S1648" s="9">
        <f t="shared" si="129"/>
        <v>7.0000000000000007E-2</v>
      </c>
    </row>
    <row r="1649" spans="1:19" x14ac:dyDescent="0.3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e">
        <f>VLOOKUP('Customer Info'!B1641,'Customer Info'!B1641:B2140,1,0)</f>
        <v>#N/A</v>
      </c>
      <c r="H1649" s="6" t="e">
        <f>VLOOKUP('Customer Info'!C1641,'Customer Info'!C1641:C2140,1)</f>
        <v>#N/A</v>
      </c>
      <c r="I1649" s="6" t="e">
        <f>VLOOKUP('Customer Info'!E1641,'Customer Info'!E1641:E2140,1,0)</f>
        <v>#N/A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410</v>
      </c>
      <c r="R1649" s="2" t="s">
        <v>50</v>
      </c>
      <c r="S1649" s="9">
        <f t="shared" si="129"/>
        <v>0.05</v>
      </c>
    </row>
    <row r="1650" spans="1:19" x14ac:dyDescent="0.3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e">
        <f>VLOOKUP('Customer Info'!B1642,'Customer Info'!B1642:B2141,1,0)</f>
        <v>#N/A</v>
      </c>
      <c r="H1650" s="6" t="e">
        <f>VLOOKUP('Customer Info'!C1642,'Customer Info'!C1642:C2141,1)</f>
        <v>#N/A</v>
      </c>
      <c r="I1650" s="6" t="e">
        <f>VLOOKUP('Customer Info'!E1642,'Customer Info'!E1642:E2141,1,0)</f>
        <v>#N/A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24</v>
      </c>
      <c r="R1650" s="2" t="s">
        <v>50</v>
      </c>
      <c r="S1650" s="9">
        <f t="shared" si="129"/>
        <v>0.02</v>
      </c>
    </row>
    <row r="1651" spans="1:19" x14ac:dyDescent="0.3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e">
        <f>VLOOKUP('Customer Info'!B1643,'Customer Info'!B1643:B2142,1,0)</f>
        <v>#N/A</v>
      </c>
      <c r="H1651" s="6" t="e">
        <f>VLOOKUP('Customer Info'!C1643,'Customer Info'!C1643:C2142,1)</f>
        <v>#N/A</v>
      </c>
      <c r="I1651" s="6" t="e">
        <f>VLOOKUP('Customer Info'!E1643,'Customer Info'!E1643:E2142,1,0)</f>
        <v>#N/A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147</v>
      </c>
      <c r="R1651" s="2" t="s">
        <v>28</v>
      </c>
      <c r="S1651" s="9">
        <f t="shared" si="129"/>
        <v>0.02</v>
      </c>
    </row>
    <row r="1652" spans="1:19" x14ac:dyDescent="0.3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e">
        <f>VLOOKUP('Customer Info'!B1644,'Customer Info'!B1644:B2143,1,0)</f>
        <v>#N/A</v>
      </c>
      <c r="H1652" s="6" t="e">
        <f>VLOOKUP('Customer Info'!C1644,'Customer Info'!C1644:C2143,1)</f>
        <v>#N/A</v>
      </c>
      <c r="I1652" s="6" t="e">
        <f>VLOOKUP('Customer Info'!E1644,'Customer Info'!E1644:E2143,1,0)</f>
        <v>#N/A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840</v>
      </c>
      <c r="R1652" s="2" t="s">
        <v>26</v>
      </c>
      <c r="S1652" s="9">
        <f t="shared" si="129"/>
        <v>0.05</v>
      </c>
    </row>
    <row r="1653" spans="1:19" x14ac:dyDescent="0.3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e">
        <f>VLOOKUP('Customer Info'!B1645,'Customer Info'!B1645:B2144,1,0)</f>
        <v>#N/A</v>
      </c>
      <c r="H1653" s="6" t="e">
        <f>VLOOKUP('Customer Info'!C1645,'Customer Info'!C1645:C2144,1)</f>
        <v>#N/A</v>
      </c>
      <c r="I1653" s="6" t="e">
        <f>VLOOKUP('Customer Info'!E1645,'Customer Info'!E1645:E2144,1,0)</f>
        <v>#N/A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297</v>
      </c>
      <c r="R1653" s="2" t="s">
        <v>28</v>
      </c>
      <c r="S1653" s="9">
        <f t="shared" si="129"/>
        <v>0.02</v>
      </c>
    </row>
    <row r="1654" spans="1:19" x14ac:dyDescent="0.3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e">
        <f>VLOOKUP('Customer Info'!B1646,'Customer Info'!B1646:B2145,1,0)</f>
        <v>#N/A</v>
      </c>
      <c r="H1654" s="6" t="e">
        <f>VLOOKUP('Customer Info'!C1646,'Customer Info'!C1646:C2145,1)</f>
        <v>#N/A</v>
      </c>
      <c r="I1654" s="6" t="e">
        <f>VLOOKUP('Customer Info'!E1646,'Customer Info'!E1646:E2145,1,0)</f>
        <v>#N/A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1632</v>
      </c>
      <c r="R1654" s="2" t="s">
        <v>28</v>
      </c>
      <c r="S1654" s="9">
        <f t="shared" si="129"/>
        <v>0.05</v>
      </c>
    </row>
    <row r="1655" spans="1:19" x14ac:dyDescent="0.3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e">
        <f>VLOOKUP('Customer Info'!B1647,'Customer Info'!B1647:B2146,1,0)</f>
        <v>#N/A</v>
      </c>
      <c r="H1655" s="6" t="e">
        <f>VLOOKUP('Customer Info'!C1647,'Customer Info'!C1647:C2146,1)</f>
        <v>#N/A</v>
      </c>
      <c r="I1655" s="6" t="e">
        <f>VLOOKUP('Customer Info'!E1647,'Customer Info'!E1647:E2146,1,0)</f>
        <v>#N/A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126</v>
      </c>
      <c r="R1655" s="2" t="s">
        <v>28</v>
      </c>
      <c r="S1655" s="9">
        <f t="shared" si="129"/>
        <v>0.02</v>
      </c>
    </row>
    <row r="1656" spans="1:19" x14ac:dyDescent="0.3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e">
        <f>VLOOKUP('Customer Info'!B1648,'Customer Info'!B1648:B2147,1,0)</f>
        <v>#N/A</v>
      </c>
      <c r="H1656" s="6" t="e">
        <f>VLOOKUP('Customer Info'!C1648,'Customer Info'!C1648:C2147,1)</f>
        <v>#N/A</v>
      </c>
      <c r="I1656" s="6" t="e">
        <f>VLOOKUP('Customer Info'!E1648,'Customer Info'!E1648:E2147,1,0)</f>
        <v>#N/A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528</v>
      </c>
      <c r="R1656" s="2" t="s">
        <v>56</v>
      </c>
      <c r="S1656" s="9">
        <f t="shared" si="129"/>
        <v>0.05</v>
      </c>
    </row>
    <row r="1657" spans="1:19" x14ac:dyDescent="0.3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e">
        <f>VLOOKUP('Customer Info'!B1649,'Customer Info'!B1649:B2148,1,0)</f>
        <v>#N/A</v>
      </c>
      <c r="H1657" s="6" t="e">
        <f>VLOOKUP('Customer Info'!C1649,'Customer Info'!C1649:C2148,1)</f>
        <v>#N/A</v>
      </c>
      <c r="I1657" s="6" t="e">
        <f>VLOOKUP('Customer Info'!E1649,'Customer Info'!E1649:E2148,1,0)</f>
        <v>#N/A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8</v>
      </c>
      <c r="R1657" s="2" t="s">
        <v>28</v>
      </c>
      <c r="S1657" s="9">
        <f t="shared" si="129"/>
        <v>0.02</v>
      </c>
    </row>
    <row r="1658" spans="1:19" x14ac:dyDescent="0.3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e">
        <f>VLOOKUP('Customer Info'!B1650,'Customer Info'!B1650:B2149,1,0)</f>
        <v>#N/A</v>
      </c>
      <c r="H1658" s="6" t="e">
        <f>VLOOKUP('Customer Info'!C1650,'Customer Info'!C1650:C2149,1)</f>
        <v>#N/A</v>
      </c>
      <c r="I1658" s="6" t="e">
        <f>VLOOKUP('Customer Info'!E1650,'Customer Info'!E1650:E2149,1,0)</f>
        <v>#N/A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128</v>
      </c>
      <c r="R1658" s="2" t="s">
        <v>56</v>
      </c>
      <c r="S1658" s="9">
        <f t="shared" si="129"/>
        <v>0.02</v>
      </c>
    </row>
    <row r="1659" spans="1:19" x14ac:dyDescent="0.3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e">
        <f>VLOOKUP('Customer Info'!B1651,'Customer Info'!B1651:B2150,1,0)</f>
        <v>#N/A</v>
      </c>
      <c r="H1659" s="6" t="e">
        <f>VLOOKUP('Customer Info'!C1651,'Customer Info'!C1651:C2150,1)</f>
        <v>#N/A</v>
      </c>
      <c r="I1659" s="6" t="e">
        <f>VLOOKUP('Customer Info'!E1651,'Customer Info'!E1651:E2150,1,0)</f>
        <v>#N/A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333</v>
      </c>
      <c r="R1659" s="2" t="s">
        <v>50</v>
      </c>
      <c r="S1659" s="9">
        <f t="shared" si="129"/>
        <v>0.02</v>
      </c>
    </row>
    <row r="1660" spans="1:19" x14ac:dyDescent="0.3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e">
        <f>VLOOKUP('Customer Info'!B1652,'Customer Info'!B1652:B2151,1,0)</f>
        <v>#N/A</v>
      </c>
      <c r="H1660" s="6" t="e">
        <f>VLOOKUP('Customer Info'!C1652,'Customer Info'!C1652:C2151,1)</f>
        <v>#N/A</v>
      </c>
      <c r="I1660" s="6" t="e">
        <f>VLOOKUP('Customer Info'!E1652,'Customer Info'!E1652:E2151,1,0)</f>
        <v>#N/A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318</v>
      </c>
      <c r="R1660" s="2" t="s">
        <v>50</v>
      </c>
      <c r="S1660" s="9">
        <f t="shared" si="129"/>
        <v>0.05</v>
      </c>
    </row>
    <row r="1661" spans="1:19" x14ac:dyDescent="0.3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e">
        <f>VLOOKUP('Customer Info'!B1653,'Customer Info'!B1653:B2152,1,0)</f>
        <v>#N/A</v>
      </c>
      <c r="H1661" s="6" t="e">
        <f>VLOOKUP('Customer Info'!C1653,'Customer Info'!C1653:C2152,1)</f>
        <v>#N/A</v>
      </c>
      <c r="I1661" s="6" t="e">
        <f>VLOOKUP('Customer Info'!E1653,'Customer Info'!E1653:E2152,1,0)</f>
        <v>#N/A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16</v>
      </c>
      <c r="R1661" s="2" t="s">
        <v>28</v>
      </c>
      <c r="S1661" s="9">
        <f t="shared" si="129"/>
        <v>0.02</v>
      </c>
    </row>
    <row r="1662" spans="1:19" x14ac:dyDescent="0.3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e">
        <f>VLOOKUP('Customer Info'!B1654,'Customer Info'!B1654:B2153,1,0)</f>
        <v>#N/A</v>
      </c>
      <c r="H1662" s="6" t="e">
        <f>VLOOKUP('Customer Info'!C1654,'Customer Info'!C1654:C2153,1)</f>
        <v>#N/A</v>
      </c>
      <c r="I1662" s="6" t="e">
        <f>VLOOKUP('Customer Info'!E1654,'Customer Info'!E1654:E2153,1,0)</f>
        <v>#N/A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648</v>
      </c>
      <c r="R1662" s="2" t="s">
        <v>50</v>
      </c>
      <c r="S1662" s="9">
        <f t="shared" si="129"/>
        <v>0.05</v>
      </c>
    </row>
    <row r="1663" spans="1:19" x14ac:dyDescent="0.3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e">
        <f>VLOOKUP('Customer Info'!B1655,'Customer Info'!B1655:B2154,1,0)</f>
        <v>#N/A</v>
      </c>
      <c r="H1663" s="6" t="e">
        <f>VLOOKUP('Customer Info'!C1655,'Customer Info'!C1655:C2154,1)</f>
        <v>#N/A</v>
      </c>
      <c r="I1663" s="6" t="e">
        <f>VLOOKUP('Customer Info'!E1655,'Customer Info'!E1655:E2154,1,0)</f>
        <v>#N/A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68</v>
      </c>
      <c r="R1663" s="2" t="s">
        <v>28</v>
      </c>
      <c r="S1663" s="9">
        <f t="shared" si="129"/>
        <v>0.02</v>
      </c>
    </row>
    <row r="1664" spans="1:19" x14ac:dyDescent="0.3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e">
        <f>VLOOKUP('Customer Info'!B1656,'Customer Info'!B1656:B2155,1,0)</f>
        <v>#N/A</v>
      </c>
      <c r="H1664" s="6" t="e">
        <f>VLOOKUP('Customer Info'!C1656,'Customer Info'!C1656:C2155,1)</f>
        <v>#N/A</v>
      </c>
      <c r="I1664" s="6" t="e">
        <f>VLOOKUP('Customer Info'!E1656,'Customer Info'!E1656:E2155,1,0)</f>
        <v>#N/A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420</v>
      </c>
      <c r="R1664" s="2" t="s">
        <v>50</v>
      </c>
      <c r="S1664" s="9">
        <f t="shared" si="129"/>
        <v>0.05</v>
      </c>
    </row>
    <row r="1665" spans="1:19" x14ac:dyDescent="0.3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e">
        <f>VLOOKUP('Customer Info'!B1657,'Customer Info'!B1657:B2156,1,0)</f>
        <v>#N/A</v>
      </c>
      <c r="H1665" s="6" t="e">
        <f>VLOOKUP('Customer Info'!C1657,'Customer Info'!C1657:C2156,1)</f>
        <v>#N/A</v>
      </c>
      <c r="I1665" s="6" t="e">
        <f>VLOOKUP('Customer Info'!E1657,'Customer Info'!E1657:E2156,1,0)</f>
        <v>#N/A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109</v>
      </c>
      <c r="R1665" s="2" t="s">
        <v>50</v>
      </c>
      <c r="S1665" s="9">
        <f t="shared" si="129"/>
        <v>0.02</v>
      </c>
    </row>
    <row r="1666" spans="1:19" x14ac:dyDescent="0.3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e">
        <f>VLOOKUP('Customer Info'!B1658,'Customer Info'!B1658:B2157,1,0)</f>
        <v>#N/A</v>
      </c>
      <c r="H1666" s="6" t="e">
        <f>VLOOKUP('Customer Info'!C1658,'Customer Info'!C1658:C2157,1)</f>
        <v>#N/A</v>
      </c>
      <c r="I1666" s="6" t="e">
        <f>VLOOKUP('Customer Info'!E1658,'Customer Info'!E1658:E2157,1,0)</f>
        <v>#N/A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324</v>
      </c>
      <c r="R1666" s="2" t="s">
        <v>28</v>
      </c>
      <c r="S1666" s="9">
        <f t="shared" si="129"/>
        <v>0.05</v>
      </c>
    </row>
    <row r="1667" spans="1:19" x14ac:dyDescent="0.3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e">
        <f>VLOOKUP('Customer Info'!B1659,'Customer Info'!B1659:B2158,1,0)</f>
        <v>#N/A</v>
      </c>
      <c r="H1667" s="6" t="e">
        <f>VLOOKUP('Customer Info'!C1659,'Customer Info'!C1659:C2158,1)</f>
        <v>#N/A</v>
      </c>
      <c r="I1667" s="6" t="e">
        <f>VLOOKUP('Customer Info'!E1659,'Customer Info'!E1659:E2158,1,0)</f>
        <v>#N/A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9492</v>
      </c>
      <c r="R1667" s="2" t="s">
        <v>50</v>
      </c>
      <c r="S1667" s="9">
        <f t="shared" si="129"/>
        <v>0.12</v>
      </c>
    </row>
    <row r="1668" spans="1:19" x14ac:dyDescent="0.3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e">
        <f>VLOOKUP('Customer Info'!B1660,'Customer Info'!B1660:B2159,1,0)</f>
        <v>#N/A</v>
      </c>
      <c r="H1668" s="6" t="e">
        <f>VLOOKUP('Customer Info'!C1660,'Customer Info'!C1660:C2159,1)</f>
        <v>#N/A</v>
      </c>
      <c r="I1668" s="6" t="e">
        <f>VLOOKUP('Customer Info'!E1660,'Customer Info'!E1660:E2159,1,0)</f>
        <v>#N/A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69</v>
      </c>
      <c r="R1668" s="2" t="s">
        <v>28</v>
      </c>
      <c r="S1668" s="9">
        <f t="shared" si="129"/>
        <v>0.02</v>
      </c>
    </row>
    <row r="1669" spans="1:19" x14ac:dyDescent="0.3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e">
        <f>VLOOKUP('Customer Info'!B1661,'Customer Info'!B1661:B2160,1,0)</f>
        <v>#N/A</v>
      </c>
      <c r="H1669" s="6" t="e">
        <f>VLOOKUP('Customer Info'!C1661,'Customer Info'!C1661:C2160,1)</f>
        <v>#N/A</v>
      </c>
      <c r="I1669" s="6" t="e">
        <f>VLOOKUP('Customer Info'!E1661,'Customer Info'!E1661:E2160,1,0)</f>
        <v>#N/A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872</v>
      </c>
      <c r="R1669" s="2" t="s">
        <v>26</v>
      </c>
      <c r="S1669" s="9">
        <f t="shared" si="129"/>
        <v>0.05</v>
      </c>
    </row>
    <row r="1670" spans="1:19" x14ac:dyDescent="0.3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e">
        <f>VLOOKUP('Customer Info'!B1662,'Customer Info'!B1662:B2161,1,0)</f>
        <v>#N/A</v>
      </c>
      <c r="H1670" s="6" t="e">
        <f>VLOOKUP('Customer Info'!C1662,'Customer Info'!C1662:C2161,1)</f>
        <v>#N/A</v>
      </c>
      <c r="I1670" s="6" t="e">
        <f>VLOOKUP('Customer Info'!E1662,'Customer Info'!E1662:E2161,1,0)</f>
        <v>#N/A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132</v>
      </c>
      <c r="R1670" s="2" t="s">
        <v>28</v>
      </c>
      <c r="S1670" s="9">
        <f t="shared" si="129"/>
        <v>0.02</v>
      </c>
    </row>
    <row r="1671" spans="1:19" x14ac:dyDescent="0.3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e">
        <f>VLOOKUP('Customer Info'!B1663,'Customer Info'!B1663:B2162,1,0)</f>
        <v>#N/A</v>
      </c>
      <c r="H1671" s="6" t="e">
        <f>VLOOKUP('Customer Info'!C1663,'Customer Info'!C1663:C2162,1)</f>
        <v>#N/A</v>
      </c>
      <c r="I1671" s="6" t="e">
        <f>VLOOKUP('Customer Info'!E1663,'Customer Info'!E1663:E2162,1,0)</f>
        <v>#N/A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80</v>
      </c>
      <c r="R1671" s="2" t="s">
        <v>28</v>
      </c>
      <c r="S1671" s="9">
        <f t="shared" si="129"/>
        <v>0.02</v>
      </c>
    </row>
    <row r="1672" spans="1:19" x14ac:dyDescent="0.3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e">
        <f>VLOOKUP('Customer Info'!B1664,'Customer Info'!B1664:B2163,1,0)</f>
        <v>#N/A</v>
      </c>
      <c r="H1672" s="6" t="e">
        <f>VLOOKUP('Customer Info'!C1664,'Customer Info'!C1664:C2163,1)</f>
        <v>#N/A</v>
      </c>
      <c r="I1672" s="6" t="e">
        <f>VLOOKUP('Customer Info'!E1664,'Customer Info'!E1664:E2163,1,0)</f>
        <v>#N/A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1308</v>
      </c>
      <c r="R1672" s="2" t="s">
        <v>56</v>
      </c>
      <c r="S1672" s="9">
        <f t="shared" si="129"/>
        <v>0.05</v>
      </c>
    </row>
    <row r="1673" spans="1:19" x14ac:dyDescent="0.3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e">
        <f>VLOOKUP('Customer Info'!B1665,'Customer Info'!B1665:B2164,1,0)</f>
        <v>#N/A</v>
      </c>
      <c r="H1673" s="6" t="e">
        <f>VLOOKUP('Customer Info'!C1665,'Customer Info'!C1665:C2164,1)</f>
        <v>#N/A</v>
      </c>
      <c r="I1673" s="6" t="e">
        <f>VLOOKUP('Customer Info'!E1665,'Customer Info'!E1665:E2164,1,0)</f>
        <v>#N/A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366</v>
      </c>
      <c r="R1673" s="2" t="s">
        <v>28</v>
      </c>
      <c r="S1673" s="9">
        <f t="shared" si="129"/>
        <v>0.05</v>
      </c>
    </row>
    <row r="1674" spans="1:19" x14ac:dyDescent="0.3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e">
        <f>VLOOKUP('Customer Info'!B1666,'Customer Info'!B1666:B2165,1,0)</f>
        <v>#N/A</v>
      </c>
      <c r="H1674" s="6" t="e">
        <f>VLOOKUP('Customer Info'!C1666,'Customer Info'!C1666:C2165,1)</f>
        <v>#N/A</v>
      </c>
      <c r="I1674" s="6" t="e">
        <f>VLOOKUP('Customer Info'!E1666,'Customer Info'!E1666:E2165,1,0)</f>
        <v>#N/A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308</v>
      </c>
      <c r="R1674" s="2" t="s">
        <v>28</v>
      </c>
      <c r="S1674" s="9">
        <f t="shared" si="129"/>
        <v>0.05</v>
      </c>
    </row>
    <row r="1675" spans="1:19" x14ac:dyDescent="0.3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e">
        <f>VLOOKUP('Customer Info'!B1667,'Customer Info'!B1667:B2166,1,0)</f>
        <v>#N/A</v>
      </c>
      <c r="H1675" s="6" t="e">
        <f>VLOOKUP('Customer Info'!C1667,'Customer Info'!C1667:C2166,1)</f>
        <v>#N/A</v>
      </c>
      <c r="I1675" s="6" t="e">
        <f>VLOOKUP('Customer Info'!E1667,'Customer Info'!E1667:E2166,1,0)</f>
        <v>#N/A</v>
      </c>
      <c r="J1675" s="2">
        <v>90</v>
      </c>
      <c r="K1675" s="2">
        <v>81</v>
      </c>
      <c r="L1675" s="2">
        <v>2</v>
      </c>
      <c r="M1675" s="7">
        <f t="shared" ref="M1675:M1738" si="130">(K1675*L1675)</f>
        <v>162</v>
      </c>
      <c r="N1675" s="7">
        <f t="shared" ref="N1675:N1738" si="131">(J1675*L1675)</f>
        <v>180</v>
      </c>
      <c r="O1675" s="2">
        <v>10</v>
      </c>
      <c r="P1675" s="8">
        <f t="shared" ref="P1675:P1738" si="132">(N1675+O1675)</f>
        <v>190</v>
      </c>
      <c r="Q1675" s="8">
        <f t="shared" ref="Q1675:Q1738" si="133">(N1675-M1675)</f>
        <v>18</v>
      </c>
      <c r="R1675" s="2" t="s">
        <v>26</v>
      </c>
      <c r="S1675" s="9">
        <f t="shared" ref="S1675:S1738" si="134">_xlfn.IFS(P1675&gt;250000,0.15,P1675&gt;100000,0.12,P1675&gt;50000,0.09,P1675&gt;25000,0.07,P1675&gt;5000,0.05,
 TRUE,0.02)</f>
        <v>0.02</v>
      </c>
    </row>
    <row r="1676" spans="1:19" x14ac:dyDescent="0.3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e">
        <f>VLOOKUP('Customer Info'!B1668,'Customer Info'!B1668:B2167,1,0)</f>
        <v>#N/A</v>
      </c>
      <c r="H1676" s="6" t="e">
        <f>VLOOKUP('Customer Info'!C1668,'Customer Info'!C1668:C2167,1)</f>
        <v>#N/A</v>
      </c>
      <c r="I1676" s="6" t="e">
        <f>VLOOKUP('Customer Info'!E1668,'Customer Info'!E1668:E2167,1,0)</f>
        <v>#N/A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12330</v>
      </c>
      <c r="R1676" s="2" t="s">
        <v>56</v>
      </c>
      <c r="S1676" s="9">
        <f t="shared" si="134"/>
        <v>0.12</v>
      </c>
    </row>
    <row r="1677" spans="1:19" x14ac:dyDescent="0.3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e">
        <f>VLOOKUP('Customer Info'!B1669,'Customer Info'!B1669:B2168,1,0)</f>
        <v>#N/A</v>
      </c>
      <c r="H1677" s="6" t="e">
        <f>VLOOKUP('Customer Info'!C1669,'Customer Info'!C1669:C2168,1)</f>
        <v>#N/A</v>
      </c>
      <c r="I1677" s="6" t="e">
        <f>VLOOKUP('Customer Info'!E1669,'Customer Info'!E1669:E2168,1,0)</f>
        <v>#N/A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264</v>
      </c>
      <c r="R1677" s="2" t="s">
        <v>28</v>
      </c>
      <c r="S1677" s="9">
        <f t="shared" si="134"/>
        <v>0.05</v>
      </c>
    </row>
    <row r="1678" spans="1:19" x14ac:dyDescent="0.3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e">
        <f>VLOOKUP('Customer Info'!B1670,'Customer Info'!B1670:B2169,1,0)</f>
        <v>#N/A</v>
      </c>
      <c r="H1678" s="6" t="e">
        <f>VLOOKUP('Customer Info'!C1670,'Customer Info'!C1670:C2169,1)</f>
        <v>#N/A</v>
      </c>
      <c r="I1678" s="6" t="e">
        <f>VLOOKUP('Customer Info'!E1670,'Customer Info'!E1670:E2169,1,0)</f>
        <v>#N/A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18</v>
      </c>
      <c r="R1678" s="2" t="s">
        <v>28</v>
      </c>
      <c r="S1678" s="9">
        <f t="shared" si="134"/>
        <v>0.02</v>
      </c>
    </row>
    <row r="1679" spans="1:19" x14ac:dyDescent="0.3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e">
        <f>VLOOKUP('Customer Info'!B1671,'Customer Info'!B1671:B2170,1,0)</f>
        <v>#N/A</v>
      </c>
      <c r="H1679" s="6" t="e">
        <f>VLOOKUP('Customer Info'!C1671,'Customer Info'!C1671:C2170,1)</f>
        <v>#N/A</v>
      </c>
      <c r="I1679" s="6" t="e">
        <f>VLOOKUP('Customer Info'!E1671,'Customer Info'!E1671:E2170,1,0)</f>
        <v>#N/A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5400</v>
      </c>
      <c r="R1679" s="2" t="s">
        <v>50</v>
      </c>
      <c r="S1679" s="9">
        <f t="shared" si="134"/>
        <v>0.09</v>
      </c>
    </row>
    <row r="1680" spans="1:19" x14ac:dyDescent="0.3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e">
        <f>VLOOKUP('Customer Info'!B1672,'Customer Info'!B1672:B2171,1,0)</f>
        <v>#N/A</v>
      </c>
      <c r="H1680" s="6" t="e">
        <f>VLOOKUP('Customer Info'!C1672,'Customer Info'!C1672:C2171,1)</f>
        <v>#N/A</v>
      </c>
      <c r="I1680" s="6" t="e">
        <f>VLOOKUP('Customer Info'!E1672,'Customer Info'!E1672:E2171,1,0)</f>
        <v>#N/A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22</v>
      </c>
      <c r="R1680" s="2" t="s">
        <v>28</v>
      </c>
      <c r="S1680" s="9">
        <f t="shared" si="134"/>
        <v>0.02</v>
      </c>
    </row>
    <row r="1681" spans="1:19" x14ac:dyDescent="0.3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e">
        <f>VLOOKUP('Customer Info'!B1673,'Customer Info'!B1673:B2172,1,0)</f>
        <v>#N/A</v>
      </c>
      <c r="H1681" s="6" t="e">
        <f>VLOOKUP('Customer Info'!C1673,'Customer Info'!C1673:C2172,1)</f>
        <v>#N/A</v>
      </c>
      <c r="I1681" s="6" t="e">
        <f>VLOOKUP('Customer Info'!E1673,'Customer Info'!E1673:E2172,1,0)</f>
        <v>#N/A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1902</v>
      </c>
      <c r="R1681" s="2" t="s">
        <v>28</v>
      </c>
      <c r="S1681" s="9">
        <f t="shared" si="134"/>
        <v>0.05</v>
      </c>
    </row>
    <row r="1682" spans="1:19" x14ac:dyDescent="0.3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e">
        <f>VLOOKUP('Customer Info'!B1674,'Customer Info'!B1674:B2173,1,0)</f>
        <v>#N/A</v>
      </c>
      <c r="H1682" s="6" t="e">
        <f>VLOOKUP('Customer Info'!C1674,'Customer Info'!C1674:C2173,1)</f>
        <v>#N/A</v>
      </c>
      <c r="I1682" s="6" t="e">
        <f>VLOOKUP('Customer Info'!E1674,'Customer Info'!E1674:E2173,1,0)</f>
        <v>#N/A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30</v>
      </c>
      <c r="R1682" s="2" t="s">
        <v>50</v>
      </c>
      <c r="S1682" s="9">
        <f t="shared" si="134"/>
        <v>0.02</v>
      </c>
    </row>
    <row r="1683" spans="1:19" x14ac:dyDescent="0.3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e">
        <f>VLOOKUP('Customer Info'!B1675,'Customer Info'!B1675:B2174,1,0)</f>
        <v>#N/A</v>
      </c>
      <c r="H1683" s="6" t="e">
        <f>VLOOKUP('Customer Info'!C1675,'Customer Info'!C1675:C2174,1)</f>
        <v>#N/A</v>
      </c>
      <c r="I1683" s="6" t="e">
        <f>VLOOKUP('Customer Info'!E1675,'Customer Info'!E1675:E2174,1,0)</f>
        <v>#N/A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16</v>
      </c>
      <c r="R1683" s="2" t="s">
        <v>50</v>
      </c>
      <c r="S1683" s="9">
        <f t="shared" si="134"/>
        <v>0.02</v>
      </c>
    </row>
    <row r="1684" spans="1:19" x14ac:dyDescent="0.3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e">
        <f>VLOOKUP('Customer Info'!B1676,'Customer Info'!B1676:B2175,1,0)</f>
        <v>#N/A</v>
      </c>
      <c r="H1684" s="6" t="e">
        <f>VLOOKUP('Customer Info'!C1676,'Customer Info'!C1676:C2175,1)</f>
        <v>#N/A</v>
      </c>
      <c r="I1684" s="6" t="e">
        <f>VLOOKUP('Customer Info'!E1676,'Customer Info'!E1676:E2175,1,0)</f>
        <v>#N/A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219</v>
      </c>
      <c r="R1684" s="2" t="s">
        <v>26</v>
      </c>
      <c r="S1684" s="9">
        <f t="shared" si="134"/>
        <v>0.02</v>
      </c>
    </row>
    <row r="1685" spans="1:19" x14ac:dyDescent="0.3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e">
        <f>VLOOKUP('Customer Info'!B1677,'Customer Info'!B1677:B2176,1,0)</f>
        <v>#N/A</v>
      </c>
      <c r="H1685" s="6" t="e">
        <f>VLOOKUP('Customer Info'!C1677,'Customer Info'!C1677:C2176,1)</f>
        <v>#N/A</v>
      </c>
      <c r="I1685" s="6" t="e">
        <f>VLOOKUP('Customer Info'!E1677,'Customer Info'!E1677:E2176,1,0)</f>
        <v>#N/A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20</v>
      </c>
      <c r="R1685" s="2" t="s">
        <v>28</v>
      </c>
      <c r="S1685" s="9">
        <f t="shared" si="134"/>
        <v>0.02</v>
      </c>
    </row>
    <row r="1686" spans="1:19" x14ac:dyDescent="0.3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e">
        <f>VLOOKUP('Customer Info'!B1678,'Customer Info'!B1678:B2177,1,0)</f>
        <v>#N/A</v>
      </c>
      <c r="H1686" s="6" t="e">
        <f>VLOOKUP('Customer Info'!C1678,'Customer Info'!C1678:C2177,1)</f>
        <v>#N/A</v>
      </c>
      <c r="I1686" s="6" t="e">
        <f>VLOOKUP('Customer Info'!E1678,'Customer Info'!E1678:E2177,1,0)</f>
        <v>#N/A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52</v>
      </c>
      <c r="R1686" s="2" t="s">
        <v>28</v>
      </c>
      <c r="S1686" s="9">
        <f t="shared" si="134"/>
        <v>0.02</v>
      </c>
    </row>
    <row r="1687" spans="1:19" x14ac:dyDescent="0.3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e">
        <f>VLOOKUP('Customer Info'!B1679,'Customer Info'!B1679:B2178,1,0)</f>
        <v>#N/A</v>
      </c>
      <c r="H1687" s="6" t="e">
        <f>VLOOKUP('Customer Info'!C1679,'Customer Info'!C1679:C2178,1)</f>
        <v>#N/A</v>
      </c>
      <c r="I1687" s="6" t="e">
        <f>VLOOKUP('Customer Info'!E1679,'Customer Info'!E1679:E2178,1,0)</f>
        <v>#N/A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60</v>
      </c>
      <c r="R1687" s="2" t="s">
        <v>28</v>
      </c>
      <c r="S1687" s="9">
        <f t="shared" si="134"/>
        <v>0.02</v>
      </c>
    </row>
    <row r="1688" spans="1:19" x14ac:dyDescent="0.3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e">
        <f>VLOOKUP('Customer Info'!B1680,'Customer Info'!B1680:B2179,1,0)</f>
        <v>#N/A</v>
      </c>
      <c r="H1688" s="6" t="e">
        <f>VLOOKUP('Customer Info'!C1680,'Customer Info'!C1680:C2179,1)</f>
        <v>#N/A</v>
      </c>
      <c r="I1688" s="6" t="e">
        <f>VLOOKUP('Customer Info'!E1680,'Customer Info'!E1680:E2179,1,0)</f>
        <v>#N/A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360</v>
      </c>
      <c r="R1688" s="2" t="s">
        <v>50</v>
      </c>
      <c r="S1688" s="9">
        <f t="shared" si="134"/>
        <v>0.05</v>
      </c>
    </row>
    <row r="1689" spans="1:19" x14ac:dyDescent="0.3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e">
        <f>VLOOKUP('Customer Info'!B1681,'Customer Info'!B1681:B2180,1,0)</f>
        <v>#N/A</v>
      </c>
      <c r="H1689" s="6" t="e">
        <f>VLOOKUP('Customer Info'!C1681,'Customer Info'!C1681:C2180,1)</f>
        <v>#N/A</v>
      </c>
      <c r="I1689" s="6" t="e">
        <f>VLOOKUP('Customer Info'!E1681,'Customer Info'!E1681:E2180,1,0)</f>
        <v>#N/A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56</v>
      </c>
      <c r="R1689" s="2" t="s">
        <v>28</v>
      </c>
      <c r="S1689" s="9">
        <f t="shared" si="134"/>
        <v>0.02</v>
      </c>
    </row>
    <row r="1690" spans="1:19" x14ac:dyDescent="0.3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e">
        <f>VLOOKUP('Customer Info'!B1682,'Customer Info'!B1682:B2181,1,0)</f>
        <v>#N/A</v>
      </c>
      <c r="H1690" s="6" t="e">
        <f>VLOOKUP('Customer Info'!C1682,'Customer Info'!C1682:C2181,1)</f>
        <v>#N/A</v>
      </c>
      <c r="I1690" s="6" t="e">
        <f>VLOOKUP('Customer Info'!E1682,'Customer Info'!E1682:E2181,1,0)</f>
        <v>#N/A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153</v>
      </c>
      <c r="R1690" s="2" t="s">
        <v>28</v>
      </c>
      <c r="S1690" s="9">
        <f t="shared" si="134"/>
        <v>0.05</v>
      </c>
    </row>
    <row r="1691" spans="1:19" x14ac:dyDescent="0.3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e">
        <f>VLOOKUP('Customer Info'!B1683,'Customer Info'!B1683:B2182,1,0)</f>
        <v>#N/A</v>
      </c>
      <c r="H1691" s="6" t="e">
        <f>VLOOKUP('Customer Info'!C1683,'Customer Info'!C1683:C2182,1)</f>
        <v>#N/A</v>
      </c>
      <c r="I1691" s="6" t="e">
        <f>VLOOKUP('Customer Info'!E1683,'Customer Info'!E1683:E2182,1,0)</f>
        <v>#N/A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1488</v>
      </c>
      <c r="R1691" s="2" t="s">
        <v>50</v>
      </c>
      <c r="S1691" s="9">
        <f t="shared" si="134"/>
        <v>0.05</v>
      </c>
    </row>
    <row r="1692" spans="1:19" x14ac:dyDescent="0.3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e">
        <f>VLOOKUP('Customer Info'!B1684,'Customer Info'!B1684:B2183,1,0)</f>
        <v>#N/A</v>
      </c>
      <c r="H1692" s="6" t="e">
        <f>VLOOKUP('Customer Info'!C1684,'Customer Info'!C1684:C2183,1)</f>
        <v>#N/A</v>
      </c>
      <c r="I1692" s="6" t="e">
        <f>VLOOKUP('Customer Info'!E1684,'Customer Info'!E1684:E2183,1,0)</f>
        <v>#N/A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320</v>
      </c>
      <c r="R1692" s="2" t="s">
        <v>28</v>
      </c>
      <c r="S1692" s="9">
        <f t="shared" si="134"/>
        <v>0.05</v>
      </c>
    </row>
    <row r="1693" spans="1:19" x14ac:dyDescent="0.3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e">
        <f>VLOOKUP('Customer Info'!B1685,'Customer Info'!B1685:B2184,1,0)</f>
        <v>#N/A</v>
      </c>
      <c r="H1693" s="6" t="e">
        <f>VLOOKUP('Customer Info'!C1685,'Customer Info'!C1685:C2184,1)</f>
        <v>#N/A</v>
      </c>
      <c r="I1693" s="6" t="e">
        <f>VLOOKUP('Customer Info'!E1685,'Customer Info'!E1685:E2184,1,0)</f>
        <v>#N/A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1232</v>
      </c>
      <c r="R1693" s="2" t="s">
        <v>26</v>
      </c>
      <c r="S1693" s="9">
        <f t="shared" si="134"/>
        <v>0.05</v>
      </c>
    </row>
    <row r="1694" spans="1:19" x14ac:dyDescent="0.3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e">
        <f>VLOOKUP('Customer Info'!B1686,'Customer Info'!B1686:B2185,1,0)</f>
        <v>#N/A</v>
      </c>
      <c r="H1694" s="6" t="e">
        <f>VLOOKUP('Customer Info'!C1686,'Customer Info'!C1686:C2185,1)</f>
        <v>#N/A</v>
      </c>
      <c r="I1694" s="6" t="e">
        <f>VLOOKUP('Customer Info'!E1686,'Customer Info'!E1686:E2185,1,0)</f>
        <v>#N/A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146</v>
      </c>
      <c r="R1694" s="2" t="s">
        <v>28</v>
      </c>
      <c r="S1694" s="9">
        <f t="shared" si="134"/>
        <v>0.02</v>
      </c>
    </row>
    <row r="1695" spans="1:19" x14ac:dyDescent="0.3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e">
        <f>VLOOKUP('Customer Info'!B1687,'Customer Info'!B1687:B2186,1,0)</f>
        <v>#N/A</v>
      </c>
      <c r="H1695" s="6" t="e">
        <f>VLOOKUP('Customer Info'!C1687,'Customer Info'!C1687:C2186,1)</f>
        <v>#N/A</v>
      </c>
      <c r="I1695" s="6" t="e">
        <f>VLOOKUP('Customer Info'!E1687,'Customer Info'!E1687:E2186,1,0)</f>
        <v>#N/A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192</v>
      </c>
      <c r="R1695" s="2" t="s">
        <v>50</v>
      </c>
      <c r="S1695" s="9">
        <f t="shared" si="134"/>
        <v>0.02</v>
      </c>
    </row>
    <row r="1696" spans="1:19" x14ac:dyDescent="0.3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e">
        <f>VLOOKUP('Customer Info'!B1688,'Customer Info'!B1688:B2187,1,0)</f>
        <v>#N/A</v>
      </c>
      <c r="H1696" s="6" t="e">
        <f>VLOOKUP('Customer Info'!C1688,'Customer Info'!C1688:C2187,1)</f>
        <v>#N/A</v>
      </c>
      <c r="I1696" s="6" t="e">
        <f>VLOOKUP('Customer Info'!E1688,'Customer Info'!E1688:E2187,1,0)</f>
        <v>#N/A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8</v>
      </c>
      <c r="R1696" s="2" t="s">
        <v>28</v>
      </c>
      <c r="S1696" s="9">
        <f t="shared" si="134"/>
        <v>0.02</v>
      </c>
    </row>
    <row r="1697" spans="1:19" x14ac:dyDescent="0.3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e">
        <f>VLOOKUP('Customer Info'!B1689,'Customer Info'!B1689:B2188,1,0)</f>
        <v>#N/A</v>
      </c>
      <c r="H1697" s="6" t="e">
        <f>VLOOKUP('Customer Info'!C1689,'Customer Info'!C1689:C2188,1)</f>
        <v>#N/A</v>
      </c>
      <c r="I1697" s="6" t="e">
        <f>VLOOKUP('Customer Info'!E1689,'Customer Info'!E1689:E2188,1,0)</f>
        <v>#N/A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20</v>
      </c>
      <c r="R1697" s="2" t="s">
        <v>28</v>
      </c>
      <c r="S1697" s="9">
        <f t="shared" si="134"/>
        <v>0.02</v>
      </c>
    </row>
    <row r="1698" spans="1:19" x14ac:dyDescent="0.3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e">
        <f>VLOOKUP('Customer Info'!B1690,'Customer Info'!B1690:B2189,1,0)</f>
        <v>#N/A</v>
      </c>
      <c r="H1698" s="6" t="e">
        <f>VLOOKUP('Customer Info'!C1690,'Customer Info'!C1690:C2189,1)</f>
        <v>#N/A</v>
      </c>
      <c r="I1698" s="6" t="e">
        <f>VLOOKUP('Customer Info'!E1690,'Customer Info'!E1690:E2189,1,0)</f>
        <v>#N/A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3055</v>
      </c>
      <c r="R1698" s="2" t="s">
        <v>26</v>
      </c>
      <c r="S1698" s="9">
        <f t="shared" si="134"/>
        <v>0.12</v>
      </c>
    </row>
    <row r="1699" spans="1:19" x14ac:dyDescent="0.3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e">
        <f>VLOOKUP('Customer Info'!B1691,'Customer Info'!B1691:B2190,1,0)</f>
        <v>#N/A</v>
      </c>
      <c r="H1699" s="6" t="e">
        <f>VLOOKUP('Customer Info'!C1691,'Customer Info'!C1691:C2190,1)</f>
        <v>#N/A</v>
      </c>
      <c r="I1699" s="6" t="e">
        <f>VLOOKUP('Customer Info'!E1691,'Customer Info'!E1691:E2190,1,0)</f>
        <v>#N/A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96</v>
      </c>
      <c r="R1699" s="2" t="s">
        <v>28</v>
      </c>
      <c r="S1699" s="9">
        <f t="shared" si="134"/>
        <v>0.02</v>
      </c>
    </row>
    <row r="1700" spans="1:19" x14ac:dyDescent="0.3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e">
        <f>VLOOKUP('Customer Info'!B1692,'Customer Info'!B1692:B2191,1,0)</f>
        <v>#N/A</v>
      </c>
      <c r="H1700" s="6" t="e">
        <f>VLOOKUP('Customer Info'!C1692,'Customer Info'!C1692:C2191,1)</f>
        <v>#N/A</v>
      </c>
      <c r="I1700" s="6" t="e">
        <f>VLOOKUP('Customer Info'!E1692,'Customer Info'!E1692:E2191,1,0)</f>
        <v>#N/A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972</v>
      </c>
      <c r="R1700" s="2" t="s">
        <v>28</v>
      </c>
      <c r="S1700" s="9">
        <f t="shared" si="134"/>
        <v>0.05</v>
      </c>
    </row>
    <row r="1701" spans="1:19" x14ac:dyDescent="0.3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e">
        <f>VLOOKUP('Customer Info'!B1693,'Customer Info'!B1693:B2192,1,0)</f>
        <v>#N/A</v>
      </c>
      <c r="H1701" s="6" t="e">
        <f>VLOOKUP('Customer Info'!C1693,'Customer Info'!C1693:C2192,1)</f>
        <v>#N/A</v>
      </c>
      <c r="I1701" s="6" t="e">
        <f>VLOOKUP('Customer Info'!E1693,'Customer Info'!E1693:E2192,1,0)</f>
        <v>#N/A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160</v>
      </c>
      <c r="R1701" s="2" t="s">
        <v>28</v>
      </c>
      <c r="S1701" s="9">
        <f t="shared" si="134"/>
        <v>0.02</v>
      </c>
    </row>
    <row r="1702" spans="1:19" x14ac:dyDescent="0.3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e">
        <f>VLOOKUP('Customer Info'!B1694,'Customer Info'!B1694:B2193,1,0)</f>
        <v>#N/A</v>
      </c>
      <c r="H1702" s="6" t="e">
        <f>VLOOKUP('Customer Info'!C1694,'Customer Info'!C1694:C2193,1)</f>
        <v>#N/A</v>
      </c>
      <c r="I1702" s="6" t="e">
        <f>VLOOKUP('Customer Info'!E1694,'Customer Info'!E1694:E2193,1,0)</f>
        <v>#N/A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1280</v>
      </c>
      <c r="R1702" s="2" t="s">
        <v>56</v>
      </c>
      <c r="S1702" s="9">
        <f t="shared" si="134"/>
        <v>0.05</v>
      </c>
    </row>
    <row r="1703" spans="1:19" x14ac:dyDescent="0.3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e">
        <f>VLOOKUP('Customer Info'!B1695,'Customer Info'!B1695:B2194,1,0)</f>
        <v>#N/A</v>
      </c>
      <c r="H1703" s="6" t="e">
        <f>VLOOKUP('Customer Info'!C1695,'Customer Info'!C1695:C2194,1)</f>
        <v>#N/A</v>
      </c>
      <c r="I1703" s="6" t="e">
        <f>VLOOKUP('Customer Info'!E1695,'Customer Info'!E1695:E2194,1,0)</f>
        <v>#N/A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172</v>
      </c>
      <c r="R1703" s="2" t="s">
        <v>28</v>
      </c>
      <c r="S1703" s="9">
        <f t="shared" si="134"/>
        <v>0.02</v>
      </c>
    </row>
    <row r="1704" spans="1:19" x14ac:dyDescent="0.3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e">
        <f>VLOOKUP('Customer Info'!B1696,'Customer Info'!B1696:B2195,1,0)</f>
        <v>#N/A</v>
      </c>
      <c r="H1704" s="6" t="e">
        <f>VLOOKUP('Customer Info'!C1696,'Customer Info'!C1696:C2195,1)</f>
        <v>#N/A</v>
      </c>
      <c r="I1704" s="6" t="e">
        <f>VLOOKUP('Customer Info'!E1696,'Customer Info'!E1696:E2195,1,0)</f>
        <v>#N/A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441</v>
      </c>
      <c r="R1704" s="2" t="s">
        <v>28</v>
      </c>
      <c r="S1704" s="9">
        <f t="shared" si="134"/>
        <v>0.05</v>
      </c>
    </row>
    <row r="1705" spans="1:19" x14ac:dyDescent="0.3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e">
        <f>VLOOKUP('Customer Info'!B1697,'Customer Info'!B1697:B2196,1,0)</f>
        <v>#N/A</v>
      </c>
      <c r="H1705" s="6" t="e">
        <f>VLOOKUP('Customer Info'!C1697,'Customer Info'!C1697:C2196,1)</f>
        <v>#N/A</v>
      </c>
      <c r="I1705" s="6" t="e">
        <f>VLOOKUP('Customer Info'!E1697,'Customer Info'!E1697:E2196,1,0)</f>
        <v>#N/A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136</v>
      </c>
      <c r="R1705" s="2" t="s">
        <v>26</v>
      </c>
      <c r="S1705" s="9">
        <f t="shared" si="134"/>
        <v>0.02</v>
      </c>
    </row>
    <row r="1706" spans="1:19" x14ac:dyDescent="0.3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e">
        <f>VLOOKUP('Customer Info'!B1698,'Customer Info'!B1698:B2197,1,0)</f>
        <v>#N/A</v>
      </c>
      <c r="H1706" s="6" t="e">
        <f>VLOOKUP('Customer Info'!C1698,'Customer Info'!C1698:C2197,1)</f>
        <v>#N/A</v>
      </c>
      <c r="I1706" s="6" t="e">
        <f>VLOOKUP('Customer Info'!E1698,'Customer Info'!E1698:E2197,1,0)</f>
        <v>#N/A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112</v>
      </c>
      <c r="R1706" s="2" t="s">
        <v>28</v>
      </c>
      <c r="S1706" s="9">
        <f t="shared" si="134"/>
        <v>0.02</v>
      </c>
    </row>
    <row r="1707" spans="1:19" x14ac:dyDescent="0.3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e">
        <f>VLOOKUP('Customer Info'!B1699,'Customer Info'!B1699:B2198,1,0)</f>
        <v>#N/A</v>
      </c>
      <c r="H1707" s="6" t="e">
        <f>VLOOKUP('Customer Info'!C1699,'Customer Info'!C1699:C2198,1)</f>
        <v>#N/A</v>
      </c>
      <c r="I1707" s="6" t="e">
        <f>VLOOKUP('Customer Info'!E1699,'Customer Info'!E1699:E2198,1,0)</f>
        <v>#N/A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85</v>
      </c>
      <c r="R1707" s="2" t="s">
        <v>28</v>
      </c>
      <c r="S1707" s="9">
        <f t="shared" si="134"/>
        <v>0.02</v>
      </c>
    </row>
    <row r="1708" spans="1:19" x14ac:dyDescent="0.3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e">
        <f>VLOOKUP('Customer Info'!B1700,'Customer Info'!B1700:B2199,1,0)</f>
        <v>#N/A</v>
      </c>
      <c r="H1708" s="6" t="e">
        <f>VLOOKUP('Customer Info'!C1700,'Customer Info'!C1700:C2199,1)</f>
        <v>#N/A</v>
      </c>
      <c r="I1708" s="6" t="e">
        <f>VLOOKUP('Customer Info'!E1700,'Customer Info'!E1700:E2199,1,0)</f>
        <v>#N/A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64</v>
      </c>
      <c r="R1708" s="2" t="s">
        <v>28</v>
      </c>
      <c r="S1708" s="9">
        <f t="shared" si="134"/>
        <v>0.02</v>
      </c>
    </row>
    <row r="1709" spans="1:19" x14ac:dyDescent="0.3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e">
        <f>VLOOKUP('Customer Info'!B1701,'Customer Info'!B1701:B2200,1,0)</f>
        <v>#N/A</v>
      </c>
      <c r="H1709" s="6" t="e">
        <f>VLOOKUP('Customer Info'!C1701,'Customer Info'!C1701:C2200,1)</f>
        <v>#N/A</v>
      </c>
      <c r="I1709" s="6" t="e">
        <f>VLOOKUP('Customer Info'!E1701,'Customer Info'!E1701:E2200,1,0)</f>
        <v>#N/A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240</v>
      </c>
      <c r="R1709" s="2" t="s">
        <v>28</v>
      </c>
      <c r="S1709" s="9">
        <f t="shared" si="134"/>
        <v>0.02</v>
      </c>
    </row>
    <row r="1710" spans="1:19" x14ac:dyDescent="0.3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e">
        <f>VLOOKUP('Customer Info'!B1702,'Customer Info'!B1702:B2201,1,0)</f>
        <v>#N/A</v>
      </c>
      <c r="H1710" s="6" t="e">
        <f>VLOOKUP('Customer Info'!C1702,'Customer Info'!C1702:C2201,1)</f>
        <v>#N/A</v>
      </c>
      <c r="I1710" s="6" t="e">
        <f>VLOOKUP('Customer Info'!E1702,'Customer Info'!E1702:E2201,1,0)</f>
        <v>#N/A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3160</v>
      </c>
      <c r="R1710" s="2" t="s">
        <v>50</v>
      </c>
      <c r="S1710" s="9">
        <f t="shared" si="134"/>
        <v>7.0000000000000007E-2</v>
      </c>
    </row>
    <row r="1711" spans="1:19" x14ac:dyDescent="0.3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e">
        <f>VLOOKUP('Customer Info'!B1703,'Customer Info'!B1703:B2202,1,0)</f>
        <v>#N/A</v>
      </c>
      <c r="H1711" s="6" t="e">
        <f>VLOOKUP('Customer Info'!C1703,'Customer Info'!C1703:C2202,1)</f>
        <v>#N/A</v>
      </c>
      <c r="I1711" s="6" t="e">
        <f>VLOOKUP('Customer Info'!E1703,'Customer Info'!E1703:E2202,1,0)</f>
        <v>#N/A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236</v>
      </c>
      <c r="R1711" s="2" t="s">
        <v>50</v>
      </c>
      <c r="S1711" s="9">
        <f t="shared" si="134"/>
        <v>0.02</v>
      </c>
    </row>
    <row r="1712" spans="1:19" x14ac:dyDescent="0.3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e">
        <f>VLOOKUP('Customer Info'!B1704,'Customer Info'!B1704:B2203,1,0)</f>
        <v>#N/A</v>
      </c>
      <c r="H1712" s="6" t="e">
        <f>VLOOKUP('Customer Info'!C1704,'Customer Info'!C1704:C2203,1)</f>
        <v>#N/A</v>
      </c>
      <c r="I1712" s="6" t="e">
        <f>VLOOKUP('Customer Info'!E1704,'Customer Info'!E1704:E2203,1,0)</f>
        <v>#N/A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4</v>
      </c>
      <c r="R1712" s="2" t="s">
        <v>50</v>
      </c>
      <c r="S1712" s="9">
        <f t="shared" si="134"/>
        <v>0.02</v>
      </c>
    </row>
    <row r="1713" spans="1:19" x14ac:dyDescent="0.3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e">
        <f>VLOOKUP('Customer Info'!B1705,'Customer Info'!B1705:B2204,1,0)</f>
        <v>#N/A</v>
      </c>
      <c r="H1713" s="6" t="e">
        <f>VLOOKUP('Customer Info'!C1705,'Customer Info'!C1705:C2204,1)</f>
        <v>#N/A</v>
      </c>
      <c r="I1713" s="6" t="e">
        <f>VLOOKUP('Customer Info'!E1705,'Customer Info'!E1705:E2204,1,0)</f>
        <v>#N/A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117</v>
      </c>
      <c r="R1713" s="2" t="s">
        <v>50</v>
      </c>
      <c r="S1713" s="9">
        <f t="shared" si="134"/>
        <v>0.02</v>
      </c>
    </row>
    <row r="1714" spans="1:19" x14ac:dyDescent="0.3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e">
        <f>VLOOKUP('Customer Info'!B1706,'Customer Info'!B1706:B2205,1,0)</f>
        <v>#N/A</v>
      </c>
      <c r="H1714" s="6" t="e">
        <f>VLOOKUP('Customer Info'!C1706,'Customer Info'!C1706:C2205,1)</f>
        <v>#N/A</v>
      </c>
      <c r="I1714" s="6" t="e">
        <f>VLOOKUP('Customer Info'!E1706,'Customer Info'!E1706:E2205,1,0)</f>
        <v>#N/A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63</v>
      </c>
      <c r="R1714" s="2" t="s">
        <v>50</v>
      </c>
      <c r="S1714" s="9">
        <f t="shared" si="134"/>
        <v>0.02</v>
      </c>
    </row>
    <row r="1715" spans="1:19" x14ac:dyDescent="0.3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e">
        <f>VLOOKUP('Customer Info'!B1707,'Customer Info'!B1707:B2206,1,0)</f>
        <v>#N/A</v>
      </c>
      <c r="H1715" s="6" t="e">
        <f>VLOOKUP('Customer Info'!C1707,'Customer Info'!C1707:C2206,1)</f>
        <v>#N/A</v>
      </c>
      <c r="I1715" s="6" t="e">
        <f>VLOOKUP('Customer Info'!E1707,'Customer Info'!E1707:E2206,1,0)</f>
        <v>#N/A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108</v>
      </c>
      <c r="R1715" s="2" t="s">
        <v>28</v>
      </c>
      <c r="S1715" s="9">
        <f t="shared" si="134"/>
        <v>0.02</v>
      </c>
    </row>
    <row r="1716" spans="1:19" x14ac:dyDescent="0.3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e">
        <f>VLOOKUP('Customer Info'!B1708,'Customer Info'!B1708:B2207,1,0)</f>
        <v>#N/A</v>
      </c>
      <c r="H1716" s="6" t="e">
        <f>VLOOKUP('Customer Info'!C1708,'Customer Info'!C1708:C2207,1)</f>
        <v>#N/A</v>
      </c>
      <c r="I1716" s="6" t="e">
        <f>VLOOKUP('Customer Info'!E1708,'Customer Info'!E1708:E2207,1,0)</f>
        <v>#N/A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33</v>
      </c>
      <c r="R1716" s="2" t="s">
        <v>28</v>
      </c>
      <c r="S1716" s="9">
        <f t="shared" si="134"/>
        <v>0.02</v>
      </c>
    </row>
    <row r="1717" spans="1:19" x14ac:dyDescent="0.3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e">
        <f>VLOOKUP('Customer Info'!B1709,'Customer Info'!B1709:B2208,1,0)</f>
        <v>#N/A</v>
      </c>
      <c r="H1717" s="6" t="e">
        <f>VLOOKUP('Customer Info'!C1709,'Customer Info'!C1709:C2208,1)</f>
        <v>#N/A</v>
      </c>
      <c r="I1717" s="6" t="e">
        <f>VLOOKUP('Customer Info'!E1709,'Customer Info'!E1709:E2208,1,0)</f>
        <v>#N/A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700</v>
      </c>
      <c r="R1717" s="2" t="s">
        <v>28</v>
      </c>
      <c r="S1717" s="9">
        <f t="shared" si="134"/>
        <v>0.05</v>
      </c>
    </row>
    <row r="1718" spans="1:19" x14ac:dyDescent="0.3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e">
        <f>VLOOKUP('Customer Info'!B1710,'Customer Info'!B1710:B2209,1,0)</f>
        <v>#N/A</v>
      </c>
      <c r="H1718" s="6" t="e">
        <f>VLOOKUP('Customer Info'!C1710,'Customer Info'!C1710:C2209,1)</f>
        <v>#N/A</v>
      </c>
      <c r="I1718" s="6" t="e">
        <f>VLOOKUP('Customer Info'!E1710,'Customer Info'!E1710:E2209,1,0)</f>
        <v>#N/A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153</v>
      </c>
      <c r="R1718" s="2" t="s">
        <v>26</v>
      </c>
      <c r="S1718" s="9">
        <f t="shared" si="134"/>
        <v>0.05</v>
      </c>
    </row>
    <row r="1719" spans="1:19" x14ac:dyDescent="0.3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e">
        <f>VLOOKUP('Customer Info'!B1711,'Customer Info'!B1711:B2210,1,0)</f>
        <v>#N/A</v>
      </c>
      <c r="H1719" s="6" t="e">
        <f>VLOOKUP('Customer Info'!C1711,'Customer Info'!C1711:C2210,1)</f>
        <v>#N/A</v>
      </c>
      <c r="I1719" s="6" t="e">
        <f>VLOOKUP('Customer Info'!E1711,'Customer Info'!E1711:E2210,1,0)</f>
        <v>#N/A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2502</v>
      </c>
      <c r="R1719" s="2" t="s">
        <v>50</v>
      </c>
      <c r="S1719" s="9">
        <f t="shared" si="134"/>
        <v>7.0000000000000007E-2</v>
      </c>
    </row>
    <row r="1720" spans="1:19" x14ac:dyDescent="0.3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e">
        <f>VLOOKUP('Customer Info'!B1712,'Customer Info'!B1712:B2211,1,0)</f>
        <v>#N/A</v>
      </c>
      <c r="H1720" s="6" t="e">
        <f>VLOOKUP('Customer Info'!C1712,'Customer Info'!C1712:C2211,1)</f>
        <v>#N/A</v>
      </c>
      <c r="I1720" s="6" t="e">
        <f>VLOOKUP('Customer Info'!E1712,'Customer Info'!E1712:E2211,1,0)</f>
        <v>#N/A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50</v>
      </c>
      <c r="R1720" s="2" t="s">
        <v>28</v>
      </c>
      <c r="S1720" s="9">
        <f t="shared" si="134"/>
        <v>0.02</v>
      </c>
    </row>
    <row r="1721" spans="1:19" x14ac:dyDescent="0.3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e">
        <f>VLOOKUP('Customer Info'!B1713,'Customer Info'!B1713:B2212,1,0)</f>
        <v>#N/A</v>
      </c>
      <c r="H1721" s="6" t="e">
        <f>VLOOKUP('Customer Info'!C1713,'Customer Info'!C1713:C2212,1)</f>
        <v>#N/A</v>
      </c>
      <c r="I1721" s="6" t="e">
        <f>VLOOKUP('Customer Info'!E1713,'Customer Info'!E1713:E2212,1,0)</f>
        <v>#N/A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16</v>
      </c>
      <c r="R1721" s="2" t="s">
        <v>28</v>
      </c>
      <c r="S1721" s="9">
        <f t="shared" si="134"/>
        <v>0.02</v>
      </c>
    </row>
    <row r="1722" spans="1:19" x14ac:dyDescent="0.3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e">
        <f>VLOOKUP('Customer Info'!B1714,'Customer Info'!B1714:B2213,1,0)</f>
        <v>#N/A</v>
      </c>
      <c r="H1722" s="6" t="e">
        <f>VLOOKUP('Customer Info'!C1714,'Customer Info'!C1714:C2213,1)</f>
        <v>#N/A</v>
      </c>
      <c r="I1722" s="6" t="e">
        <f>VLOOKUP('Customer Info'!E1714,'Customer Info'!E1714:E2213,1,0)</f>
        <v>#N/A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430</v>
      </c>
      <c r="R1722" s="2" t="s">
        <v>50</v>
      </c>
      <c r="S1722" s="9">
        <f t="shared" si="134"/>
        <v>0.05</v>
      </c>
    </row>
    <row r="1723" spans="1:19" x14ac:dyDescent="0.3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e">
        <f>VLOOKUP('Customer Info'!B1715,'Customer Info'!B1715:B2214,1,0)</f>
        <v>#N/A</v>
      </c>
      <c r="H1723" s="6" t="e">
        <f>VLOOKUP('Customer Info'!C1715,'Customer Info'!C1715:C2214,1)</f>
        <v>#N/A</v>
      </c>
      <c r="I1723" s="6" t="e">
        <f>VLOOKUP('Customer Info'!E1715,'Customer Info'!E1715:E2214,1,0)</f>
        <v>#N/A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146</v>
      </c>
      <c r="R1723" s="2" t="s">
        <v>50</v>
      </c>
      <c r="S1723" s="9">
        <f t="shared" si="134"/>
        <v>0.02</v>
      </c>
    </row>
    <row r="1724" spans="1:19" x14ac:dyDescent="0.3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e">
        <f>VLOOKUP('Customer Info'!B1716,'Customer Info'!B1716:B2215,1,0)</f>
        <v>#N/A</v>
      </c>
      <c r="H1724" s="6" t="e">
        <f>VLOOKUP('Customer Info'!C1716,'Customer Info'!C1716:C2215,1)</f>
        <v>#N/A</v>
      </c>
      <c r="I1724" s="6" t="e">
        <f>VLOOKUP('Customer Info'!E1716,'Customer Info'!E1716:E2215,1,0)</f>
        <v>#N/A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444</v>
      </c>
      <c r="R1724" s="2" t="s">
        <v>28</v>
      </c>
      <c r="S1724" s="9">
        <f t="shared" si="134"/>
        <v>0.05</v>
      </c>
    </row>
    <row r="1725" spans="1:19" x14ac:dyDescent="0.3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e">
        <f>VLOOKUP('Customer Info'!B1717,'Customer Info'!B1717:B2216,1,0)</f>
        <v>#N/A</v>
      </c>
      <c r="H1725" s="6" t="e">
        <f>VLOOKUP('Customer Info'!C1717,'Customer Info'!C1717:C2216,1)</f>
        <v>#N/A</v>
      </c>
      <c r="I1725" s="6" t="e">
        <f>VLOOKUP('Customer Info'!E1717,'Customer Info'!E1717:E2216,1,0)</f>
        <v>#N/A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300</v>
      </c>
      <c r="R1725" s="2" t="s">
        <v>50</v>
      </c>
      <c r="S1725" s="9">
        <f t="shared" si="134"/>
        <v>0.05</v>
      </c>
    </row>
    <row r="1726" spans="1:19" x14ac:dyDescent="0.3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e">
        <f>VLOOKUP('Customer Info'!B1718,'Customer Info'!B1718:B2217,1,0)</f>
        <v>#N/A</v>
      </c>
      <c r="H1726" s="6" t="e">
        <f>VLOOKUP('Customer Info'!C1718,'Customer Info'!C1718:C2217,1)</f>
        <v>#N/A</v>
      </c>
      <c r="I1726" s="6" t="e">
        <f>VLOOKUP('Customer Info'!E1718,'Customer Info'!E1718:E2217,1,0)</f>
        <v>#N/A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3510</v>
      </c>
      <c r="R1726" s="2" t="s">
        <v>50</v>
      </c>
      <c r="S1726" s="9">
        <f t="shared" si="134"/>
        <v>7.0000000000000007E-2</v>
      </c>
    </row>
    <row r="1727" spans="1:19" x14ac:dyDescent="0.3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e">
        <f>VLOOKUP('Customer Info'!B1719,'Customer Info'!B1719:B2218,1,0)</f>
        <v>#N/A</v>
      </c>
      <c r="H1727" s="6" t="e">
        <f>VLOOKUP('Customer Info'!C1719,'Customer Info'!C1719:C2218,1)</f>
        <v>#N/A</v>
      </c>
      <c r="I1727" s="6" t="e">
        <f>VLOOKUP('Customer Info'!E1719,'Customer Info'!E1719:E2218,1,0)</f>
        <v>#N/A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247</v>
      </c>
      <c r="R1727" s="2" t="s">
        <v>28</v>
      </c>
      <c r="S1727" s="9">
        <f t="shared" si="134"/>
        <v>0.02</v>
      </c>
    </row>
    <row r="1728" spans="1:19" x14ac:dyDescent="0.3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e">
        <f>VLOOKUP('Customer Info'!B1720,'Customer Info'!B1720:B2219,1,0)</f>
        <v>#N/A</v>
      </c>
      <c r="H1728" s="6" t="e">
        <f>VLOOKUP('Customer Info'!C1720,'Customer Info'!C1720:C2219,1)</f>
        <v>#N/A</v>
      </c>
      <c r="I1728" s="6" t="e">
        <f>VLOOKUP('Customer Info'!E1720,'Customer Info'!E1720:E2219,1,0)</f>
        <v>#N/A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267</v>
      </c>
      <c r="R1728" s="2" t="s">
        <v>50</v>
      </c>
      <c r="S1728" s="9">
        <f t="shared" si="134"/>
        <v>0.02</v>
      </c>
    </row>
    <row r="1729" spans="1:19" x14ac:dyDescent="0.3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e">
        <f>VLOOKUP('Customer Info'!B1721,'Customer Info'!B1721:B2220,1,0)</f>
        <v>#N/A</v>
      </c>
      <c r="H1729" s="6" t="e">
        <f>VLOOKUP('Customer Info'!C1721,'Customer Info'!C1721:C2220,1)</f>
        <v>#N/A</v>
      </c>
      <c r="I1729" s="6" t="e">
        <f>VLOOKUP('Customer Info'!E1721,'Customer Info'!E1721:E2220,1,0)</f>
        <v>#N/A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636</v>
      </c>
      <c r="R1729" s="2" t="s">
        <v>50</v>
      </c>
      <c r="S1729" s="9">
        <f t="shared" si="134"/>
        <v>0.05</v>
      </c>
    </row>
    <row r="1730" spans="1:19" x14ac:dyDescent="0.3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e">
        <f>VLOOKUP('Customer Info'!B1722,'Customer Info'!B1722:B2221,1,0)</f>
        <v>#N/A</v>
      </c>
      <c r="H1730" s="6" t="e">
        <f>VLOOKUP('Customer Info'!C1722,'Customer Info'!C1722:C2221,1)</f>
        <v>#N/A</v>
      </c>
      <c r="I1730" s="6" t="e">
        <f>VLOOKUP('Customer Info'!E1722,'Customer Info'!E1722:E2221,1,0)</f>
        <v>#N/A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108</v>
      </c>
      <c r="R1730" s="2" t="s">
        <v>28</v>
      </c>
      <c r="S1730" s="9">
        <f t="shared" si="134"/>
        <v>0.02</v>
      </c>
    </row>
    <row r="1731" spans="1:19" x14ac:dyDescent="0.3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e">
        <f>VLOOKUP('Customer Info'!B1723,'Customer Info'!B1723:B2222,1,0)</f>
        <v>#N/A</v>
      </c>
      <c r="H1731" s="6" t="e">
        <f>VLOOKUP('Customer Info'!C1723,'Customer Info'!C1723:C2222,1)</f>
        <v>#N/A</v>
      </c>
      <c r="I1731" s="6" t="e">
        <f>VLOOKUP('Customer Info'!E1723,'Customer Info'!E1723:E2222,1,0)</f>
        <v>#N/A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413</v>
      </c>
      <c r="R1731" s="2" t="s">
        <v>50</v>
      </c>
      <c r="S1731" s="9">
        <f t="shared" si="134"/>
        <v>0.05</v>
      </c>
    </row>
    <row r="1732" spans="1:19" x14ac:dyDescent="0.3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e">
        <f>VLOOKUP('Customer Info'!B1724,'Customer Info'!B1724:B2223,1,0)</f>
        <v>#N/A</v>
      </c>
      <c r="H1732" s="6" t="e">
        <f>VLOOKUP('Customer Info'!C1724,'Customer Info'!C1724:C2223,1)</f>
        <v>#N/A</v>
      </c>
      <c r="I1732" s="6" t="e">
        <f>VLOOKUP('Customer Info'!E1724,'Customer Info'!E1724:E2223,1,0)</f>
        <v>#N/A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189</v>
      </c>
      <c r="R1732" s="2" t="s">
        <v>28</v>
      </c>
      <c r="S1732" s="9">
        <f t="shared" si="134"/>
        <v>0.02</v>
      </c>
    </row>
    <row r="1733" spans="1:19" x14ac:dyDescent="0.3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e">
        <f>VLOOKUP('Customer Info'!B1725,'Customer Info'!B1725:B2224,1,0)</f>
        <v>#N/A</v>
      </c>
      <c r="H1733" s="6" t="e">
        <f>VLOOKUP('Customer Info'!C1725,'Customer Info'!C1725:C2224,1)</f>
        <v>#N/A</v>
      </c>
      <c r="I1733" s="6" t="e">
        <f>VLOOKUP('Customer Info'!E1725,'Customer Info'!E1725:E2224,1,0)</f>
        <v>#N/A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295</v>
      </c>
      <c r="R1733" s="2" t="s">
        <v>28</v>
      </c>
      <c r="S1733" s="9">
        <f t="shared" si="134"/>
        <v>0.05</v>
      </c>
    </row>
    <row r="1734" spans="1:19" x14ac:dyDescent="0.3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e">
        <f>VLOOKUP('Customer Info'!B1726,'Customer Info'!B1726:B2225,1,0)</f>
        <v>#N/A</v>
      </c>
      <c r="H1734" s="6" t="e">
        <f>VLOOKUP('Customer Info'!C1726,'Customer Info'!C1726:C2225,1)</f>
        <v>#N/A</v>
      </c>
      <c r="I1734" s="6" t="e">
        <f>VLOOKUP('Customer Info'!E1726,'Customer Info'!E1726:E2225,1,0)</f>
        <v>#N/A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68</v>
      </c>
      <c r="R1734" s="2" t="s">
        <v>28</v>
      </c>
      <c r="S1734" s="9">
        <f t="shared" si="134"/>
        <v>0.02</v>
      </c>
    </row>
    <row r="1735" spans="1:19" x14ac:dyDescent="0.3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e">
        <f>VLOOKUP('Customer Info'!B1727,'Customer Info'!B1727:B2226,1,0)</f>
        <v>#N/A</v>
      </c>
      <c r="H1735" s="6" t="e">
        <f>VLOOKUP('Customer Info'!C1727,'Customer Info'!C1727:C2226,1)</f>
        <v>#N/A</v>
      </c>
      <c r="I1735" s="6" t="e">
        <f>VLOOKUP('Customer Info'!E1727,'Customer Info'!E1727:E2226,1,0)</f>
        <v>#N/A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1340</v>
      </c>
      <c r="R1735" s="2" t="s">
        <v>28</v>
      </c>
      <c r="S1735" s="9">
        <f t="shared" si="134"/>
        <v>7.0000000000000007E-2</v>
      </c>
    </row>
    <row r="1736" spans="1:19" x14ac:dyDescent="0.3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e">
        <f>VLOOKUP('Customer Info'!B1728,'Customer Info'!B1728:B2227,1,0)</f>
        <v>#N/A</v>
      </c>
      <c r="H1736" s="6" t="e">
        <f>VLOOKUP('Customer Info'!C1728,'Customer Info'!C1728:C2227,1)</f>
        <v>#N/A</v>
      </c>
      <c r="I1736" s="6" t="e">
        <f>VLOOKUP('Customer Info'!E1728,'Customer Info'!E1728:E2227,1,0)</f>
        <v>#N/A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30</v>
      </c>
      <c r="R1736" s="2" t="s">
        <v>50</v>
      </c>
      <c r="S1736" s="9">
        <f t="shared" si="134"/>
        <v>0.02</v>
      </c>
    </row>
    <row r="1737" spans="1:19" x14ac:dyDescent="0.3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e">
        <f>VLOOKUP('Customer Info'!B1729,'Customer Info'!B1729:B2228,1,0)</f>
        <v>#N/A</v>
      </c>
      <c r="H1737" s="6" t="e">
        <f>VLOOKUP('Customer Info'!C1729,'Customer Info'!C1729:C2228,1)</f>
        <v>#N/A</v>
      </c>
      <c r="I1737" s="6" t="e">
        <f>VLOOKUP('Customer Info'!E1729,'Customer Info'!E1729:E2228,1,0)</f>
        <v>#N/A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294</v>
      </c>
      <c r="R1737" s="2" t="s">
        <v>56</v>
      </c>
      <c r="S1737" s="9">
        <f t="shared" si="134"/>
        <v>0.02</v>
      </c>
    </row>
    <row r="1738" spans="1:19" x14ac:dyDescent="0.3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e">
        <f>VLOOKUP('Customer Info'!B1730,'Customer Info'!B1730:B2229,1,0)</f>
        <v>#N/A</v>
      </c>
      <c r="H1738" s="6" t="e">
        <f>VLOOKUP('Customer Info'!C1730,'Customer Info'!C1730:C2229,1)</f>
        <v>#N/A</v>
      </c>
      <c r="I1738" s="6" t="e">
        <f>VLOOKUP('Customer Info'!E1730,'Customer Info'!E1730:E2229,1,0)</f>
        <v>#N/A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340</v>
      </c>
      <c r="R1738" s="2" t="s">
        <v>28</v>
      </c>
      <c r="S1738" s="9">
        <f t="shared" si="134"/>
        <v>0.05</v>
      </c>
    </row>
    <row r="1739" spans="1:19" x14ac:dyDescent="0.3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e">
        <f>VLOOKUP('Customer Info'!B1731,'Customer Info'!B1731:B2230,1,0)</f>
        <v>#N/A</v>
      </c>
      <c r="H1739" s="6" t="e">
        <f>VLOOKUP('Customer Info'!C1731,'Customer Info'!C1731:C2230,1)</f>
        <v>#N/A</v>
      </c>
      <c r="I1739" s="6" t="e">
        <f>VLOOKUP('Customer Info'!E1731,'Customer Info'!E1731:E2230,1,0)</f>
        <v>#N/A</v>
      </c>
      <c r="J1739" s="2">
        <v>1533</v>
      </c>
      <c r="K1739" s="2">
        <v>1406</v>
      </c>
      <c r="L1739" s="2">
        <v>2</v>
      </c>
      <c r="M1739" s="7">
        <f t="shared" ref="M1739:M1802" si="135">(K1739*L1739)</f>
        <v>2812</v>
      </c>
      <c r="N1739" s="7">
        <f t="shared" ref="N1739:N1802" si="136">(J1739*L1739)</f>
        <v>3066</v>
      </c>
      <c r="O1739" s="2">
        <v>22</v>
      </c>
      <c r="P1739" s="8">
        <f t="shared" ref="P1739:P1802" si="137">(N1739+O1739)</f>
        <v>3088</v>
      </c>
      <c r="Q1739" s="8">
        <f t="shared" ref="Q1739:Q1802" si="138">(N1739-M1739)</f>
        <v>254</v>
      </c>
      <c r="R1739" s="2" t="s">
        <v>56</v>
      </c>
      <c r="S1739" s="9">
        <f t="shared" ref="S1739:S1802" si="139">_xlfn.IFS(P1739&gt;250000,0.15,P1739&gt;100000,0.12,P1739&gt;50000,0.09,P1739&gt;25000,0.07,P1739&gt;5000,0.05,
 TRUE,0.02)</f>
        <v>0.02</v>
      </c>
    </row>
    <row r="1740" spans="1:19" x14ac:dyDescent="0.3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e">
        <f>VLOOKUP('Customer Info'!B1732,'Customer Info'!B1732:B2231,1,0)</f>
        <v>#N/A</v>
      </c>
      <c r="H1740" s="6" t="e">
        <f>VLOOKUP('Customer Info'!C1732,'Customer Info'!C1732:C2231,1)</f>
        <v>#N/A</v>
      </c>
      <c r="I1740" s="6" t="e">
        <f>VLOOKUP('Customer Info'!E1732,'Customer Info'!E1732:E2231,1,0)</f>
        <v>#N/A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216</v>
      </c>
      <c r="R1740" s="2" t="s">
        <v>28</v>
      </c>
      <c r="S1740" s="9">
        <f t="shared" si="139"/>
        <v>0.02</v>
      </c>
    </row>
    <row r="1741" spans="1:19" x14ac:dyDescent="0.3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e">
        <f>VLOOKUP('Customer Info'!B1733,'Customer Info'!B1733:B2232,1,0)</f>
        <v>#N/A</v>
      </c>
      <c r="H1741" s="6" t="e">
        <f>VLOOKUP('Customer Info'!C1733,'Customer Info'!C1733:C2232,1)</f>
        <v>#N/A</v>
      </c>
      <c r="I1741" s="6" t="e">
        <f>VLOOKUP('Customer Info'!E1733,'Customer Info'!E1733:E2232,1,0)</f>
        <v>#N/A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20</v>
      </c>
      <c r="R1741" s="2" t="s">
        <v>50</v>
      </c>
      <c r="S1741" s="9">
        <f t="shared" si="139"/>
        <v>0.02</v>
      </c>
    </row>
    <row r="1742" spans="1:19" x14ac:dyDescent="0.3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e">
        <f>VLOOKUP('Customer Info'!B1734,'Customer Info'!B1734:B2233,1,0)</f>
        <v>#N/A</v>
      </c>
      <c r="H1742" s="6" t="e">
        <f>VLOOKUP('Customer Info'!C1734,'Customer Info'!C1734:C2233,1)</f>
        <v>#N/A</v>
      </c>
      <c r="I1742" s="6" t="e">
        <f>VLOOKUP('Customer Info'!E1734,'Customer Info'!E1734:E2233,1,0)</f>
        <v>#N/A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2804</v>
      </c>
      <c r="R1742" s="2" t="s">
        <v>28</v>
      </c>
      <c r="S1742" s="9">
        <f t="shared" si="139"/>
        <v>0.09</v>
      </c>
    </row>
    <row r="1743" spans="1:19" x14ac:dyDescent="0.3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e">
        <f>VLOOKUP('Customer Info'!B1735,'Customer Info'!B1735:B2234,1,0)</f>
        <v>#N/A</v>
      </c>
      <c r="H1743" s="6" t="e">
        <f>VLOOKUP('Customer Info'!C1735,'Customer Info'!C1735:C2234,1)</f>
        <v>#N/A</v>
      </c>
      <c r="I1743" s="6" t="e">
        <f>VLOOKUP('Customer Info'!E1735,'Customer Info'!E1735:E2234,1,0)</f>
        <v>#N/A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15</v>
      </c>
      <c r="R1743" s="2" t="s">
        <v>28</v>
      </c>
      <c r="S1743" s="9">
        <f t="shared" si="139"/>
        <v>0.02</v>
      </c>
    </row>
    <row r="1744" spans="1:19" x14ac:dyDescent="0.3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e">
        <f>VLOOKUP('Customer Info'!B1736,'Customer Info'!B1736:B2235,1,0)</f>
        <v>#N/A</v>
      </c>
      <c r="H1744" s="6" t="e">
        <f>VLOOKUP('Customer Info'!C1736,'Customer Info'!C1736:C2235,1)</f>
        <v>#N/A</v>
      </c>
      <c r="I1744" s="6" t="e">
        <f>VLOOKUP('Customer Info'!E1736,'Customer Info'!E1736:E2235,1,0)</f>
        <v>#N/A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494</v>
      </c>
      <c r="R1744" s="2" t="s">
        <v>28</v>
      </c>
      <c r="S1744" s="9">
        <f t="shared" si="139"/>
        <v>0.05</v>
      </c>
    </row>
    <row r="1745" spans="1:19" x14ac:dyDescent="0.3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e">
        <f>VLOOKUP('Customer Info'!B1737,'Customer Info'!B1737:B2236,1,0)</f>
        <v>#N/A</v>
      </c>
      <c r="H1745" s="6" t="e">
        <f>VLOOKUP('Customer Info'!C1737,'Customer Info'!C1737:C2236,1)</f>
        <v>#N/A</v>
      </c>
      <c r="I1745" s="6" t="e">
        <f>VLOOKUP('Customer Info'!E1737,'Customer Info'!E1737:E2236,1,0)</f>
        <v>#N/A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218</v>
      </c>
      <c r="R1745" s="2" t="s">
        <v>26</v>
      </c>
      <c r="S1745" s="9">
        <f t="shared" si="139"/>
        <v>0.02</v>
      </c>
    </row>
    <row r="1746" spans="1:19" x14ac:dyDescent="0.3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e">
        <f>VLOOKUP('Customer Info'!B1738,'Customer Info'!B1738:B2237,1,0)</f>
        <v>#N/A</v>
      </c>
      <c r="H1746" s="6" t="e">
        <f>VLOOKUP('Customer Info'!C1738,'Customer Info'!C1738:C2237,1)</f>
        <v>#N/A</v>
      </c>
      <c r="I1746" s="6" t="e">
        <f>VLOOKUP('Customer Info'!E1738,'Customer Info'!E1738:E2237,1,0)</f>
        <v>#N/A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104</v>
      </c>
      <c r="R1746" s="2" t="s">
        <v>28</v>
      </c>
      <c r="S1746" s="9">
        <f t="shared" si="139"/>
        <v>0.02</v>
      </c>
    </row>
    <row r="1747" spans="1:19" x14ac:dyDescent="0.3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e">
        <f>VLOOKUP('Customer Info'!B1739,'Customer Info'!B1739:B2238,1,0)</f>
        <v>#N/A</v>
      </c>
      <c r="H1747" s="6" t="e">
        <f>VLOOKUP('Customer Info'!C1739,'Customer Info'!C1739:C2238,1)</f>
        <v>#N/A</v>
      </c>
      <c r="I1747" s="6" t="e">
        <f>VLOOKUP('Customer Info'!E1739,'Customer Info'!E1739:E2238,1,0)</f>
        <v>#N/A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32</v>
      </c>
      <c r="R1747" s="2" t="s">
        <v>50</v>
      </c>
      <c r="S1747" s="9">
        <f t="shared" si="139"/>
        <v>0.02</v>
      </c>
    </row>
    <row r="1748" spans="1:19" x14ac:dyDescent="0.3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e">
        <f>VLOOKUP('Customer Info'!B1740,'Customer Info'!B1740:B2239,1,0)</f>
        <v>#N/A</v>
      </c>
      <c r="H1748" s="6" t="e">
        <f>VLOOKUP('Customer Info'!C1740,'Customer Info'!C1740:C2239,1)</f>
        <v>#N/A</v>
      </c>
      <c r="I1748" s="6" t="e">
        <f>VLOOKUP('Customer Info'!E1740,'Customer Info'!E1740:E2239,1,0)</f>
        <v>#N/A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29</v>
      </c>
      <c r="R1748" s="2" t="s">
        <v>28</v>
      </c>
      <c r="S1748" s="9">
        <f t="shared" si="139"/>
        <v>0.02</v>
      </c>
    </row>
    <row r="1749" spans="1:19" x14ac:dyDescent="0.3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e">
        <f>VLOOKUP('Customer Info'!B1741,'Customer Info'!B1741:B2240,1,0)</f>
        <v>#N/A</v>
      </c>
      <c r="H1749" s="6" t="e">
        <f>VLOOKUP('Customer Info'!C1741,'Customer Info'!C1741:C2240,1)</f>
        <v>#N/A</v>
      </c>
      <c r="I1749" s="6" t="e">
        <f>VLOOKUP('Customer Info'!E1741,'Customer Info'!E1741:E2240,1,0)</f>
        <v>#N/A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1638</v>
      </c>
      <c r="R1749" s="2" t="s">
        <v>28</v>
      </c>
      <c r="S1749" s="9">
        <f t="shared" si="139"/>
        <v>7.0000000000000007E-2</v>
      </c>
    </row>
    <row r="1750" spans="1:19" x14ac:dyDescent="0.3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e">
        <f>VLOOKUP('Customer Info'!B1742,'Customer Info'!B1742:B2241,1,0)</f>
        <v>#N/A</v>
      </c>
      <c r="H1750" s="6" t="e">
        <f>VLOOKUP('Customer Info'!C1742,'Customer Info'!C1742:C2241,1)</f>
        <v>#N/A</v>
      </c>
      <c r="I1750" s="6" t="e">
        <f>VLOOKUP('Customer Info'!E1742,'Customer Info'!E1742:E2241,1,0)</f>
        <v>#N/A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38</v>
      </c>
      <c r="R1750" s="2" t="s">
        <v>50</v>
      </c>
      <c r="S1750" s="9">
        <f t="shared" si="139"/>
        <v>0.02</v>
      </c>
    </row>
    <row r="1751" spans="1:19" x14ac:dyDescent="0.3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e">
        <f>VLOOKUP('Customer Info'!B1743,'Customer Info'!B1743:B2242,1,0)</f>
        <v>#N/A</v>
      </c>
      <c r="H1751" s="6" t="e">
        <f>VLOOKUP('Customer Info'!C1743,'Customer Info'!C1743:C2242,1)</f>
        <v>#N/A</v>
      </c>
      <c r="I1751" s="6" t="e">
        <f>VLOOKUP('Customer Info'!E1743,'Customer Info'!E1743:E2242,1,0)</f>
        <v>#N/A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138</v>
      </c>
      <c r="R1751" s="2" t="s">
        <v>28</v>
      </c>
      <c r="S1751" s="9">
        <f t="shared" si="139"/>
        <v>0.02</v>
      </c>
    </row>
    <row r="1752" spans="1:19" x14ac:dyDescent="0.3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e">
        <f>VLOOKUP('Customer Info'!B1744,'Customer Info'!B1744:B2243,1,0)</f>
        <v>#N/A</v>
      </c>
      <c r="H1752" s="6" t="e">
        <f>VLOOKUP('Customer Info'!C1744,'Customer Info'!C1744:C2243,1)</f>
        <v>#N/A</v>
      </c>
      <c r="I1752" s="6" t="e">
        <f>VLOOKUP('Customer Info'!E1744,'Customer Info'!E1744:E2243,1,0)</f>
        <v>#N/A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85</v>
      </c>
      <c r="R1752" s="2" t="s">
        <v>26</v>
      </c>
      <c r="S1752" s="9">
        <f t="shared" si="139"/>
        <v>0.02</v>
      </c>
    </row>
    <row r="1753" spans="1:19" x14ac:dyDescent="0.3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e">
        <f>VLOOKUP('Customer Info'!B1745,'Customer Info'!B1745:B2244,1,0)</f>
        <v>#N/A</v>
      </c>
      <c r="H1753" s="6" t="e">
        <f>VLOOKUP('Customer Info'!C1745,'Customer Info'!C1745:C2244,1)</f>
        <v>#N/A</v>
      </c>
      <c r="I1753" s="6" t="e">
        <f>VLOOKUP('Customer Info'!E1745,'Customer Info'!E1745:E2244,1,0)</f>
        <v>#N/A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343</v>
      </c>
      <c r="R1753" s="2" t="s">
        <v>28</v>
      </c>
      <c r="S1753" s="9">
        <f t="shared" si="139"/>
        <v>0.02</v>
      </c>
    </row>
    <row r="1754" spans="1:19" x14ac:dyDescent="0.3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e">
        <f>VLOOKUP('Customer Info'!B1746,'Customer Info'!B1746:B2245,1,0)</f>
        <v>#N/A</v>
      </c>
      <c r="H1754" s="6" t="e">
        <f>VLOOKUP('Customer Info'!C1746,'Customer Info'!C1746:C2245,1)</f>
        <v>#N/A</v>
      </c>
      <c r="I1754" s="6" t="e">
        <f>VLOOKUP('Customer Info'!E1746,'Customer Info'!E1746:E2245,1,0)</f>
        <v>#N/A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235</v>
      </c>
      <c r="R1754" s="2" t="s">
        <v>28</v>
      </c>
      <c r="S1754" s="9">
        <f t="shared" si="139"/>
        <v>0.05</v>
      </c>
    </row>
    <row r="1755" spans="1:19" x14ac:dyDescent="0.3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e">
        <f>VLOOKUP('Customer Info'!B1747,'Customer Info'!B1747:B2246,1,0)</f>
        <v>#N/A</v>
      </c>
      <c r="H1755" s="6" t="e">
        <f>VLOOKUP('Customer Info'!C1747,'Customer Info'!C1747:C2246,1)</f>
        <v>#N/A</v>
      </c>
      <c r="I1755" s="6" t="e">
        <f>VLOOKUP('Customer Info'!E1747,'Customer Info'!E1747:E2246,1,0)</f>
        <v>#N/A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1728</v>
      </c>
      <c r="R1755" s="2" t="s">
        <v>28</v>
      </c>
      <c r="S1755" s="9">
        <f t="shared" si="139"/>
        <v>7.0000000000000007E-2</v>
      </c>
    </row>
    <row r="1756" spans="1:19" x14ac:dyDescent="0.3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e">
        <f>VLOOKUP('Customer Info'!B1748,'Customer Info'!B1748:B2247,1,0)</f>
        <v>#N/A</v>
      </c>
      <c r="H1756" s="6" t="e">
        <f>VLOOKUP('Customer Info'!C1748,'Customer Info'!C1748:C2247,1)</f>
        <v>#N/A</v>
      </c>
      <c r="I1756" s="6" t="e">
        <f>VLOOKUP('Customer Info'!E1748,'Customer Info'!E1748:E2247,1,0)</f>
        <v>#N/A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408</v>
      </c>
      <c r="R1756" s="2" t="s">
        <v>50</v>
      </c>
      <c r="S1756" s="9">
        <f t="shared" si="139"/>
        <v>0.05</v>
      </c>
    </row>
    <row r="1757" spans="1:19" x14ac:dyDescent="0.3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e">
        <f>VLOOKUP('Customer Info'!B1749,'Customer Info'!B1749:B2248,1,0)</f>
        <v>#N/A</v>
      </c>
      <c r="H1757" s="6" t="e">
        <f>VLOOKUP('Customer Info'!C1749,'Customer Info'!C1749:C2248,1)</f>
        <v>#N/A</v>
      </c>
      <c r="I1757" s="6" t="e">
        <f>VLOOKUP('Customer Info'!E1749,'Customer Info'!E1749:E2248,1,0)</f>
        <v>#N/A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429</v>
      </c>
      <c r="R1757" s="2" t="s">
        <v>28</v>
      </c>
      <c r="S1757" s="9">
        <f t="shared" si="139"/>
        <v>0.05</v>
      </c>
    </row>
    <row r="1758" spans="1:19" x14ac:dyDescent="0.3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e">
        <f>VLOOKUP('Customer Info'!B1750,'Customer Info'!B1750:B2249,1,0)</f>
        <v>#N/A</v>
      </c>
      <c r="H1758" s="6" t="e">
        <f>VLOOKUP('Customer Info'!C1750,'Customer Info'!C1750:C2249,1)</f>
        <v>#N/A</v>
      </c>
      <c r="I1758" s="6" t="e">
        <f>VLOOKUP('Customer Info'!E1750,'Customer Info'!E1750:E2249,1,0)</f>
        <v>#N/A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25</v>
      </c>
      <c r="R1758" s="2" t="s">
        <v>28</v>
      </c>
      <c r="S1758" s="9">
        <f t="shared" si="139"/>
        <v>0.02</v>
      </c>
    </row>
    <row r="1759" spans="1:19" x14ac:dyDescent="0.3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e">
        <f>VLOOKUP('Customer Info'!B1751,'Customer Info'!B1751:B2250,1,0)</f>
        <v>#N/A</v>
      </c>
      <c r="H1759" s="6" t="e">
        <f>VLOOKUP('Customer Info'!C1751,'Customer Info'!C1751:C2250,1)</f>
        <v>#N/A</v>
      </c>
      <c r="I1759" s="6" t="e">
        <f>VLOOKUP('Customer Info'!E1751,'Customer Info'!E1751:E2250,1,0)</f>
        <v>#N/A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86</v>
      </c>
      <c r="R1759" s="2" t="s">
        <v>28</v>
      </c>
      <c r="S1759" s="9">
        <f t="shared" si="139"/>
        <v>0.02</v>
      </c>
    </row>
    <row r="1760" spans="1:19" x14ac:dyDescent="0.3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e">
        <f>VLOOKUP('Customer Info'!B1752,'Customer Info'!B1752:B2251,1,0)</f>
        <v>#N/A</v>
      </c>
      <c r="H1760" s="6" t="e">
        <f>VLOOKUP('Customer Info'!C1752,'Customer Info'!C1752:C2251,1)</f>
        <v>#N/A</v>
      </c>
      <c r="I1760" s="6" t="e">
        <f>VLOOKUP('Customer Info'!E1752,'Customer Info'!E1752:E2251,1,0)</f>
        <v>#N/A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43</v>
      </c>
      <c r="R1760" s="2" t="s">
        <v>28</v>
      </c>
      <c r="S1760" s="9">
        <f t="shared" si="139"/>
        <v>0.02</v>
      </c>
    </row>
    <row r="1761" spans="1:19" x14ac:dyDescent="0.3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e">
        <f>VLOOKUP('Customer Info'!B1753,'Customer Info'!B1753:B2252,1,0)</f>
        <v>#N/A</v>
      </c>
      <c r="H1761" s="6" t="e">
        <f>VLOOKUP('Customer Info'!C1753,'Customer Info'!C1753:C2252,1)</f>
        <v>#N/A</v>
      </c>
      <c r="I1761" s="6" t="e">
        <f>VLOOKUP('Customer Info'!E1753,'Customer Info'!E1753:E2252,1,0)</f>
        <v>#N/A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402</v>
      </c>
      <c r="R1761" s="2" t="s">
        <v>50</v>
      </c>
      <c r="S1761" s="9">
        <f t="shared" si="139"/>
        <v>0.02</v>
      </c>
    </row>
    <row r="1762" spans="1:19" x14ac:dyDescent="0.3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e">
        <f>VLOOKUP('Customer Info'!B1754,'Customer Info'!B1754:B2253,1,0)</f>
        <v>#N/A</v>
      </c>
      <c r="H1762" s="6" t="e">
        <f>VLOOKUP('Customer Info'!C1754,'Customer Info'!C1754:C2253,1)</f>
        <v>#N/A</v>
      </c>
      <c r="I1762" s="6" t="e">
        <f>VLOOKUP('Customer Info'!E1754,'Customer Info'!E1754:E2253,1,0)</f>
        <v>#N/A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78</v>
      </c>
      <c r="R1762" s="2" t="s">
        <v>50</v>
      </c>
      <c r="S1762" s="9">
        <f t="shared" si="139"/>
        <v>0.02</v>
      </c>
    </row>
    <row r="1763" spans="1:19" x14ac:dyDescent="0.3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e">
        <f>VLOOKUP('Customer Info'!B1755,'Customer Info'!B1755:B2254,1,0)</f>
        <v>#N/A</v>
      </c>
      <c r="H1763" s="6" t="e">
        <f>VLOOKUP('Customer Info'!C1755,'Customer Info'!C1755:C2254,1)</f>
        <v>#N/A</v>
      </c>
      <c r="I1763" s="6" t="e">
        <f>VLOOKUP('Customer Info'!E1755,'Customer Info'!E1755:E2254,1,0)</f>
        <v>#N/A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685</v>
      </c>
      <c r="R1763" s="2" t="s">
        <v>28</v>
      </c>
      <c r="S1763" s="9">
        <f t="shared" si="139"/>
        <v>0.05</v>
      </c>
    </row>
    <row r="1764" spans="1:19" x14ac:dyDescent="0.3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e">
        <f>VLOOKUP('Customer Info'!B1756,'Customer Info'!B1756:B2255,1,0)</f>
        <v>#N/A</v>
      </c>
      <c r="H1764" s="6" t="e">
        <f>VLOOKUP('Customer Info'!C1756,'Customer Info'!C1756:C2255,1)</f>
        <v>#N/A</v>
      </c>
      <c r="I1764" s="6" t="e">
        <f>VLOOKUP('Customer Info'!E1756,'Customer Info'!E1756:E2255,1,0)</f>
        <v>#N/A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78</v>
      </c>
      <c r="R1764" s="2" t="s">
        <v>28</v>
      </c>
      <c r="S1764" s="9">
        <f t="shared" si="139"/>
        <v>0.02</v>
      </c>
    </row>
    <row r="1765" spans="1:19" x14ac:dyDescent="0.3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e">
        <f>VLOOKUP('Customer Info'!B1757,'Customer Info'!B1757:B2256,1,0)</f>
        <v>#N/A</v>
      </c>
      <c r="H1765" s="6" t="e">
        <f>VLOOKUP('Customer Info'!C1757,'Customer Info'!C1757:C2256,1)</f>
        <v>#N/A</v>
      </c>
      <c r="I1765" s="6" t="e">
        <f>VLOOKUP('Customer Info'!E1757,'Customer Info'!E1757:E2256,1,0)</f>
        <v>#N/A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10</v>
      </c>
      <c r="R1765" s="2" t="s">
        <v>28</v>
      </c>
      <c r="S1765" s="9">
        <f t="shared" si="139"/>
        <v>0.02</v>
      </c>
    </row>
    <row r="1766" spans="1:19" x14ac:dyDescent="0.3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e">
        <f>VLOOKUP('Customer Info'!B1758,'Customer Info'!B1758:B2257,1,0)</f>
        <v>#N/A</v>
      </c>
      <c r="H1766" s="6" t="e">
        <f>VLOOKUP('Customer Info'!C1758,'Customer Info'!C1758:C2257,1)</f>
        <v>#N/A</v>
      </c>
      <c r="I1766" s="6" t="e">
        <f>VLOOKUP('Customer Info'!E1758,'Customer Info'!E1758:E2257,1,0)</f>
        <v>#N/A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1816</v>
      </c>
      <c r="R1766" s="2" t="s">
        <v>28</v>
      </c>
      <c r="S1766" s="9">
        <f t="shared" si="139"/>
        <v>7.0000000000000007E-2</v>
      </c>
    </row>
    <row r="1767" spans="1:19" x14ac:dyDescent="0.3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e">
        <f>VLOOKUP('Customer Info'!B1759,'Customer Info'!B1759:B2258,1,0)</f>
        <v>#N/A</v>
      </c>
      <c r="H1767" s="6" t="e">
        <f>VLOOKUP('Customer Info'!C1759,'Customer Info'!C1759:C2258,1)</f>
        <v>#N/A</v>
      </c>
      <c r="I1767" s="6" t="e">
        <f>VLOOKUP('Customer Info'!E1759,'Customer Info'!E1759:E2258,1,0)</f>
        <v>#N/A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323</v>
      </c>
      <c r="R1767" s="2" t="s">
        <v>28</v>
      </c>
      <c r="S1767" s="9">
        <f t="shared" si="139"/>
        <v>0.02</v>
      </c>
    </row>
    <row r="1768" spans="1:19" x14ac:dyDescent="0.3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e">
        <f>VLOOKUP('Customer Info'!B1760,'Customer Info'!B1760:B2259,1,0)</f>
        <v>#N/A</v>
      </c>
      <c r="H1768" s="6" t="e">
        <f>VLOOKUP('Customer Info'!C1760,'Customer Info'!C1760:C2259,1)</f>
        <v>#N/A</v>
      </c>
      <c r="I1768" s="6" t="e">
        <f>VLOOKUP('Customer Info'!E1760,'Customer Info'!E1760:E2259,1,0)</f>
        <v>#N/A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404</v>
      </c>
      <c r="R1768" s="2" t="s">
        <v>50</v>
      </c>
      <c r="S1768" s="9">
        <f t="shared" si="139"/>
        <v>0.05</v>
      </c>
    </row>
    <row r="1769" spans="1:19" x14ac:dyDescent="0.3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e">
        <f>VLOOKUP('Customer Info'!B1761,'Customer Info'!B1761:B2260,1,0)</f>
        <v>#N/A</v>
      </c>
      <c r="H1769" s="6" t="e">
        <f>VLOOKUP('Customer Info'!C1761,'Customer Info'!C1761:C2260,1)</f>
        <v>#N/A</v>
      </c>
      <c r="I1769" s="6" t="e">
        <f>VLOOKUP('Customer Info'!E1761,'Customer Info'!E1761:E2260,1,0)</f>
        <v>#N/A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400</v>
      </c>
      <c r="R1769" s="2" t="s">
        <v>28</v>
      </c>
      <c r="S1769" s="9">
        <f t="shared" si="139"/>
        <v>0.05</v>
      </c>
    </row>
    <row r="1770" spans="1:19" x14ac:dyDescent="0.3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e">
        <f>VLOOKUP('Customer Info'!B1762,'Customer Info'!B1762:B2261,1,0)</f>
        <v>#N/A</v>
      </c>
      <c r="H1770" s="6" t="e">
        <f>VLOOKUP('Customer Info'!C1762,'Customer Info'!C1762:C2261,1)</f>
        <v>#N/A</v>
      </c>
      <c r="I1770" s="6" t="e">
        <f>VLOOKUP('Customer Info'!E1762,'Customer Info'!E1762:E2261,1,0)</f>
        <v>#N/A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12</v>
      </c>
      <c r="R1770" s="2" t="s">
        <v>28</v>
      </c>
      <c r="S1770" s="9">
        <f t="shared" si="139"/>
        <v>0.02</v>
      </c>
    </row>
    <row r="1771" spans="1:19" x14ac:dyDescent="0.3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e">
        <f>VLOOKUP('Customer Info'!B1763,'Customer Info'!B1763:B2262,1,0)</f>
        <v>#N/A</v>
      </c>
      <c r="H1771" s="6" t="e">
        <f>VLOOKUP('Customer Info'!C1763,'Customer Info'!C1763:C2262,1)</f>
        <v>#N/A</v>
      </c>
      <c r="I1771" s="6" t="e">
        <f>VLOOKUP('Customer Info'!E1763,'Customer Info'!E1763:E2262,1,0)</f>
        <v>#N/A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70</v>
      </c>
      <c r="R1771" s="2" t="s">
        <v>28</v>
      </c>
      <c r="S1771" s="9">
        <f t="shared" si="139"/>
        <v>0.02</v>
      </c>
    </row>
    <row r="1772" spans="1:19" x14ac:dyDescent="0.3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e">
        <f>VLOOKUP('Customer Info'!B1764,'Customer Info'!B1764:B2263,1,0)</f>
        <v>#N/A</v>
      </c>
      <c r="H1772" s="6" t="e">
        <f>VLOOKUP('Customer Info'!C1764,'Customer Info'!C1764:C2263,1)</f>
        <v>#N/A</v>
      </c>
      <c r="I1772" s="6" t="e">
        <f>VLOOKUP('Customer Info'!E1764,'Customer Info'!E1764:E2263,1,0)</f>
        <v>#N/A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292</v>
      </c>
      <c r="R1772" s="2" t="s">
        <v>28</v>
      </c>
      <c r="S1772" s="9">
        <f t="shared" si="139"/>
        <v>0.05</v>
      </c>
    </row>
    <row r="1773" spans="1:19" x14ac:dyDescent="0.3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e">
        <f>VLOOKUP('Customer Info'!B1765,'Customer Info'!B1765:B2264,1,0)</f>
        <v>#N/A</v>
      </c>
      <c r="H1773" s="6" t="e">
        <f>VLOOKUP('Customer Info'!C1765,'Customer Info'!C1765:C2264,1)</f>
        <v>#N/A</v>
      </c>
      <c r="I1773" s="6" t="e">
        <f>VLOOKUP('Customer Info'!E1765,'Customer Info'!E1765:E2264,1,0)</f>
        <v>#N/A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306</v>
      </c>
      <c r="R1773" s="2" t="s">
        <v>28</v>
      </c>
      <c r="S1773" s="9">
        <f t="shared" si="139"/>
        <v>0.05</v>
      </c>
    </row>
    <row r="1774" spans="1:19" x14ac:dyDescent="0.3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e">
        <f>VLOOKUP('Customer Info'!B1766,'Customer Info'!B1766:B2265,1,0)</f>
        <v>#N/A</v>
      </c>
      <c r="H1774" s="6" t="e">
        <f>VLOOKUP('Customer Info'!C1766,'Customer Info'!C1766:C2265,1)</f>
        <v>#N/A</v>
      </c>
      <c r="I1774" s="6" t="e">
        <f>VLOOKUP('Customer Info'!E1766,'Customer Info'!E1766:E2265,1,0)</f>
        <v>#N/A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27</v>
      </c>
      <c r="R1774" s="2" t="s">
        <v>28</v>
      </c>
      <c r="S1774" s="9">
        <f t="shared" si="139"/>
        <v>0.02</v>
      </c>
    </row>
    <row r="1775" spans="1:19" x14ac:dyDescent="0.3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e">
        <f>VLOOKUP('Customer Info'!B1767,'Customer Info'!B1767:B2266,1,0)</f>
        <v>#N/A</v>
      </c>
      <c r="H1775" s="6" t="e">
        <f>VLOOKUP('Customer Info'!C1767,'Customer Info'!C1767:C2266,1)</f>
        <v>#N/A</v>
      </c>
      <c r="I1775" s="6" t="e">
        <f>VLOOKUP('Customer Info'!E1767,'Customer Info'!E1767:E2266,1,0)</f>
        <v>#N/A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305</v>
      </c>
      <c r="R1775" s="2" t="s">
        <v>28</v>
      </c>
      <c r="S1775" s="9">
        <f t="shared" si="139"/>
        <v>0.05</v>
      </c>
    </row>
    <row r="1776" spans="1:19" x14ac:dyDescent="0.3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e">
        <f>VLOOKUP('Customer Info'!B1768,'Customer Info'!B1768:B2267,1,0)</f>
        <v>#N/A</v>
      </c>
      <c r="H1776" s="6" t="e">
        <f>VLOOKUP('Customer Info'!C1768,'Customer Info'!C1768:C2267,1)</f>
        <v>#N/A</v>
      </c>
      <c r="I1776" s="6" t="e">
        <f>VLOOKUP('Customer Info'!E1768,'Customer Info'!E1768:E2267,1,0)</f>
        <v>#N/A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84</v>
      </c>
      <c r="R1776" s="2" t="s">
        <v>28</v>
      </c>
      <c r="S1776" s="9">
        <f t="shared" si="139"/>
        <v>0.02</v>
      </c>
    </row>
    <row r="1777" spans="1:19" x14ac:dyDescent="0.3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e">
        <f>VLOOKUP('Customer Info'!B1769,'Customer Info'!B1769:B2268,1,0)</f>
        <v>#N/A</v>
      </c>
      <c r="H1777" s="6" t="e">
        <f>VLOOKUP('Customer Info'!C1769,'Customer Info'!C1769:C2268,1)</f>
        <v>#N/A</v>
      </c>
      <c r="I1777" s="6" t="e">
        <f>VLOOKUP('Customer Info'!E1769,'Customer Info'!E1769:E2268,1,0)</f>
        <v>#N/A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680</v>
      </c>
      <c r="R1777" s="2" t="s">
        <v>28</v>
      </c>
      <c r="S1777" s="9">
        <f t="shared" si="139"/>
        <v>0.05</v>
      </c>
    </row>
    <row r="1778" spans="1:19" x14ac:dyDescent="0.3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e">
        <f>VLOOKUP('Customer Info'!B1770,'Customer Info'!B1770:B2269,1,0)</f>
        <v>#N/A</v>
      </c>
      <c r="H1778" s="6" t="e">
        <f>VLOOKUP('Customer Info'!C1770,'Customer Info'!C1770:C2269,1)</f>
        <v>#N/A</v>
      </c>
      <c r="I1778" s="6" t="e">
        <f>VLOOKUP('Customer Info'!E1770,'Customer Info'!E1770:E2269,1,0)</f>
        <v>#N/A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546</v>
      </c>
      <c r="R1778" s="2" t="s">
        <v>28</v>
      </c>
      <c r="S1778" s="9">
        <f t="shared" si="139"/>
        <v>0.05</v>
      </c>
    </row>
    <row r="1779" spans="1:19" x14ac:dyDescent="0.3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e">
        <f>VLOOKUP('Customer Info'!B1771,'Customer Info'!B1771:B2270,1,0)</f>
        <v>#N/A</v>
      </c>
      <c r="H1779" s="6" t="e">
        <f>VLOOKUP('Customer Info'!C1771,'Customer Info'!C1771:C2270,1)</f>
        <v>#N/A</v>
      </c>
      <c r="I1779" s="6" t="e">
        <f>VLOOKUP('Customer Info'!E1771,'Customer Info'!E1771:E2270,1,0)</f>
        <v>#N/A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60</v>
      </c>
      <c r="R1779" s="2" t="s">
        <v>28</v>
      </c>
      <c r="S1779" s="9">
        <f t="shared" si="139"/>
        <v>0.02</v>
      </c>
    </row>
    <row r="1780" spans="1:19" x14ac:dyDescent="0.3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e">
        <f>VLOOKUP('Customer Info'!B1772,'Customer Info'!B1772:B2271,1,0)</f>
        <v>#N/A</v>
      </c>
      <c r="H1780" s="6" t="e">
        <f>VLOOKUP('Customer Info'!C1772,'Customer Info'!C1772:C2271,1)</f>
        <v>#N/A</v>
      </c>
      <c r="I1780" s="6" t="e">
        <f>VLOOKUP('Customer Info'!E1772,'Customer Info'!E1772:E2271,1,0)</f>
        <v>#N/A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543</v>
      </c>
      <c r="R1780" s="2" t="s">
        <v>28</v>
      </c>
      <c r="S1780" s="9">
        <f t="shared" si="139"/>
        <v>0.05</v>
      </c>
    </row>
    <row r="1781" spans="1:19" x14ac:dyDescent="0.3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e">
        <f>VLOOKUP('Customer Info'!B1773,'Customer Info'!B1773:B2272,1,0)</f>
        <v>#N/A</v>
      </c>
      <c r="H1781" s="6" t="e">
        <f>VLOOKUP('Customer Info'!C1773,'Customer Info'!C1773:C2272,1)</f>
        <v>#N/A</v>
      </c>
      <c r="I1781" s="6" t="e">
        <f>VLOOKUP('Customer Info'!E1773,'Customer Info'!E1773:E2272,1,0)</f>
        <v>#N/A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813</v>
      </c>
      <c r="R1781" s="2" t="s">
        <v>28</v>
      </c>
      <c r="S1781" s="9">
        <f t="shared" si="139"/>
        <v>0.05</v>
      </c>
    </row>
    <row r="1782" spans="1:19" x14ac:dyDescent="0.3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e">
        <f>VLOOKUP('Customer Info'!B1774,'Customer Info'!B1774:B2273,1,0)</f>
        <v>#N/A</v>
      </c>
      <c r="H1782" s="6" t="e">
        <f>VLOOKUP('Customer Info'!C1774,'Customer Info'!C1774:C2273,1)</f>
        <v>#N/A</v>
      </c>
      <c r="I1782" s="6" t="e">
        <f>VLOOKUP('Customer Info'!E1774,'Customer Info'!E1774:E2273,1,0)</f>
        <v>#N/A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5902</v>
      </c>
      <c r="R1782" s="2" t="s">
        <v>28</v>
      </c>
      <c r="S1782" s="9">
        <f t="shared" si="139"/>
        <v>0.12</v>
      </c>
    </row>
    <row r="1783" spans="1:19" x14ac:dyDescent="0.3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e">
        <f>VLOOKUP('Customer Info'!B1775,'Customer Info'!B1775:B2274,1,0)</f>
        <v>#N/A</v>
      </c>
      <c r="H1783" s="6" t="e">
        <f>VLOOKUP('Customer Info'!C1775,'Customer Info'!C1775:C2274,1)</f>
        <v>#N/A</v>
      </c>
      <c r="I1783" s="6" t="e">
        <f>VLOOKUP('Customer Info'!E1775,'Customer Info'!E1775:E2274,1,0)</f>
        <v>#N/A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404</v>
      </c>
      <c r="R1783" s="2" t="s">
        <v>56</v>
      </c>
      <c r="S1783" s="9">
        <f t="shared" si="139"/>
        <v>0.05</v>
      </c>
    </row>
    <row r="1784" spans="1:19" x14ac:dyDescent="0.3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e">
        <f>VLOOKUP('Customer Info'!B1776,'Customer Info'!B1776:B2275,1,0)</f>
        <v>#N/A</v>
      </c>
      <c r="H1784" s="6" t="e">
        <f>VLOOKUP('Customer Info'!C1776,'Customer Info'!C1776:C2275,1)</f>
        <v>#N/A</v>
      </c>
      <c r="I1784" s="6" t="e">
        <f>VLOOKUP('Customer Info'!E1776,'Customer Info'!E1776:E2275,1,0)</f>
        <v>#N/A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3792</v>
      </c>
      <c r="R1784" s="2" t="s">
        <v>28</v>
      </c>
      <c r="S1784" s="9">
        <f t="shared" si="139"/>
        <v>7.0000000000000007E-2</v>
      </c>
    </row>
    <row r="1785" spans="1:19" x14ac:dyDescent="0.3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e">
        <f>VLOOKUP('Customer Info'!B1777,'Customer Info'!B1777:B2276,1,0)</f>
        <v>#N/A</v>
      </c>
      <c r="H1785" s="6" t="e">
        <f>VLOOKUP('Customer Info'!C1777,'Customer Info'!C1777:C2276,1)</f>
        <v>#N/A</v>
      </c>
      <c r="I1785" s="6" t="e">
        <f>VLOOKUP('Customer Info'!E1777,'Customer Info'!E1777:E2276,1,0)</f>
        <v>#N/A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24</v>
      </c>
      <c r="R1785" s="2" t="s">
        <v>50</v>
      </c>
      <c r="S1785" s="9">
        <f t="shared" si="139"/>
        <v>0.02</v>
      </c>
    </row>
    <row r="1786" spans="1:19" x14ac:dyDescent="0.3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e">
        <f>VLOOKUP('Customer Info'!B1778,'Customer Info'!B1778:B2277,1,0)</f>
        <v>#N/A</v>
      </c>
      <c r="H1786" s="6" t="e">
        <f>VLOOKUP('Customer Info'!C1778,'Customer Info'!C1778:C2277,1)</f>
        <v>#N/A</v>
      </c>
      <c r="I1786" s="6" t="e">
        <f>VLOOKUP('Customer Info'!E1778,'Customer Info'!E1778:E2277,1,0)</f>
        <v>#N/A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5406</v>
      </c>
      <c r="R1786" s="2" t="s">
        <v>50</v>
      </c>
      <c r="S1786" s="9">
        <f t="shared" si="139"/>
        <v>0.09</v>
      </c>
    </row>
    <row r="1787" spans="1:19" x14ac:dyDescent="0.3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e">
        <f>VLOOKUP('Customer Info'!B1779,'Customer Info'!B1779:B2278,1,0)</f>
        <v>#N/A</v>
      </c>
      <c r="H1787" s="6" t="e">
        <f>VLOOKUP('Customer Info'!C1779,'Customer Info'!C1779:C2278,1)</f>
        <v>#N/A</v>
      </c>
      <c r="I1787" s="6" t="e">
        <f>VLOOKUP('Customer Info'!E1779,'Customer Info'!E1779:E2278,1,0)</f>
        <v>#N/A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4058</v>
      </c>
      <c r="R1787" s="2" t="s">
        <v>28</v>
      </c>
      <c r="S1787" s="9">
        <f t="shared" si="139"/>
        <v>0.09</v>
      </c>
    </row>
    <row r="1788" spans="1:19" x14ac:dyDescent="0.3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e">
        <f>VLOOKUP('Customer Info'!B1780,'Customer Info'!B1780:B2279,1,0)</f>
        <v>#N/A</v>
      </c>
      <c r="H1788" s="6" t="e">
        <f>VLOOKUP('Customer Info'!C1780,'Customer Info'!C1780:C2279,1)</f>
        <v>#N/A</v>
      </c>
      <c r="I1788" s="6" t="e">
        <f>VLOOKUP('Customer Info'!E1780,'Customer Info'!E1780:E2279,1,0)</f>
        <v>#N/A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664</v>
      </c>
      <c r="R1788" s="2" t="s">
        <v>50</v>
      </c>
      <c r="S1788" s="9">
        <f t="shared" si="139"/>
        <v>0.05</v>
      </c>
    </row>
    <row r="1789" spans="1:19" x14ac:dyDescent="0.3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e">
        <f>VLOOKUP('Customer Info'!B1781,'Customer Info'!B1781:B2280,1,0)</f>
        <v>#N/A</v>
      </c>
      <c r="H1789" s="6" t="e">
        <f>VLOOKUP('Customer Info'!C1781,'Customer Info'!C1781:C2280,1)</f>
        <v>#N/A</v>
      </c>
      <c r="I1789" s="6" t="e">
        <f>VLOOKUP('Customer Info'!E1781,'Customer Info'!E1781:E2280,1,0)</f>
        <v>#N/A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1040</v>
      </c>
      <c r="R1789" s="2" t="s">
        <v>28</v>
      </c>
      <c r="S1789" s="9">
        <f t="shared" si="139"/>
        <v>0.05</v>
      </c>
    </row>
    <row r="1790" spans="1:19" x14ac:dyDescent="0.3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e">
        <f>VLOOKUP('Customer Info'!B1782,'Customer Info'!B1782:B2281,1,0)</f>
        <v>#N/A</v>
      </c>
      <c r="H1790" s="6" t="e">
        <f>VLOOKUP('Customer Info'!C1782,'Customer Info'!C1782:C2281,1)</f>
        <v>#N/A</v>
      </c>
      <c r="I1790" s="6" t="e">
        <f>VLOOKUP('Customer Info'!E1782,'Customer Info'!E1782:E2281,1,0)</f>
        <v>#N/A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12450</v>
      </c>
      <c r="R1790" s="2" t="s">
        <v>50</v>
      </c>
      <c r="S1790" s="9">
        <f t="shared" si="139"/>
        <v>0.12</v>
      </c>
    </row>
    <row r="1791" spans="1:19" x14ac:dyDescent="0.3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e">
        <f>VLOOKUP('Customer Info'!B1783,'Customer Info'!B1783:B2282,1,0)</f>
        <v>#N/A</v>
      </c>
      <c r="H1791" s="6" t="e">
        <f>VLOOKUP('Customer Info'!C1783,'Customer Info'!C1783:C2282,1)</f>
        <v>#N/A</v>
      </c>
      <c r="I1791" s="6" t="e">
        <f>VLOOKUP('Customer Info'!E1783,'Customer Info'!E1783:E2282,1,0)</f>
        <v>#N/A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9</v>
      </c>
      <c r="R1791" s="2" t="s">
        <v>26</v>
      </c>
      <c r="S1791" s="9">
        <f t="shared" si="139"/>
        <v>0.02</v>
      </c>
    </row>
    <row r="1792" spans="1:19" x14ac:dyDescent="0.3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e">
        <f>VLOOKUP('Customer Info'!B1784,'Customer Info'!B1784:B2283,1,0)</f>
        <v>#N/A</v>
      </c>
      <c r="H1792" s="6" t="e">
        <f>VLOOKUP('Customer Info'!C1784,'Customer Info'!C1784:C2283,1)</f>
        <v>#N/A</v>
      </c>
      <c r="I1792" s="6" t="e">
        <f>VLOOKUP('Customer Info'!E1784,'Customer Info'!E1784:E2283,1,0)</f>
        <v>#N/A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702</v>
      </c>
      <c r="R1792" s="2" t="s">
        <v>50</v>
      </c>
      <c r="S1792" s="9">
        <f t="shared" si="139"/>
        <v>0.05</v>
      </c>
    </row>
    <row r="1793" spans="1:19" x14ac:dyDescent="0.3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e">
        <f>VLOOKUP('Customer Info'!B1785,'Customer Info'!B1785:B2284,1,0)</f>
        <v>#N/A</v>
      </c>
      <c r="H1793" s="6" t="e">
        <f>VLOOKUP('Customer Info'!C1785,'Customer Info'!C1785:C2284,1)</f>
        <v>#N/A</v>
      </c>
      <c r="I1793" s="6" t="e">
        <f>VLOOKUP('Customer Info'!E1785,'Customer Info'!E1785:E2284,1,0)</f>
        <v>#N/A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12</v>
      </c>
      <c r="R1793" s="2" t="s">
        <v>28</v>
      </c>
      <c r="S1793" s="9">
        <f t="shared" si="139"/>
        <v>0.02</v>
      </c>
    </row>
    <row r="1794" spans="1:19" x14ac:dyDescent="0.3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e">
        <f>VLOOKUP('Customer Info'!B1786,'Customer Info'!B1786:B2285,1,0)</f>
        <v>#N/A</v>
      </c>
      <c r="H1794" s="6" t="e">
        <f>VLOOKUP('Customer Info'!C1786,'Customer Info'!C1786:C2285,1)</f>
        <v>#N/A</v>
      </c>
      <c r="I1794" s="6" t="e">
        <f>VLOOKUP('Customer Info'!E1786,'Customer Info'!E1786:E2285,1,0)</f>
        <v>#N/A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1950</v>
      </c>
      <c r="R1794" s="2" t="s">
        <v>28</v>
      </c>
      <c r="S1794" s="9">
        <f t="shared" si="139"/>
        <v>0.05</v>
      </c>
    </row>
    <row r="1795" spans="1:19" x14ac:dyDescent="0.3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e">
        <f>VLOOKUP('Customer Info'!B1787,'Customer Info'!B1787:B2286,1,0)</f>
        <v>#N/A</v>
      </c>
      <c r="H1795" s="6" t="e">
        <f>VLOOKUP('Customer Info'!C1787,'Customer Info'!C1787:C2286,1)</f>
        <v>#N/A</v>
      </c>
      <c r="I1795" s="6" t="e">
        <f>VLOOKUP('Customer Info'!E1787,'Customer Info'!E1787:E2286,1,0)</f>
        <v>#N/A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1818</v>
      </c>
      <c r="R1795" s="2" t="s">
        <v>28</v>
      </c>
      <c r="S1795" s="9">
        <f t="shared" si="139"/>
        <v>7.0000000000000007E-2</v>
      </c>
    </row>
    <row r="1796" spans="1:19" x14ac:dyDescent="0.3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e">
        <f>VLOOKUP('Customer Info'!B1788,'Customer Info'!B1788:B2287,1,0)</f>
        <v>#N/A</v>
      </c>
      <c r="H1796" s="6" t="e">
        <f>VLOOKUP('Customer Info'!C1788,'Customer Info'!C1788:C2287,1)</f>
        <v>#N/A</v>
      </c>
      <c r="I1796" s="6" t="e">
        <f>VLOOKUP('Customer Info'!E1788,'Customer Info'!E1788:E2287,1,0)</f>
        <v>#N/A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10</v>
      </c>
      <c r="R1796" s="2" t="s">
        <v>28</v>
      </c>
      <c r="S1796" s="9">
        <f t="shared" si="139"/>
        <v>0.02</v>
      </c>
    </row>
    <row r="1797" spans="1:19" x14ac:dyDescent="0.3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e">
        <f>VLOOKUP('Customer Info'!B1789,'Customer Info'!B1789:B2288,1,0)</f>
        <v>#N/A</v>
      </c>
      <c r="H1797" s="6" t="e">
        <f>VLOOKUP('Customer Info'!C1789,'Customer Info'!C1789:C2288,1)</f>
        <v>#N/A</v>
      </c>
      <c r="I1797" s="6" t="e">
        <f>VLOOKUP('Customer Info'!E1789,'Customer Info'!E1789:E2288,1,0)</f>
        <v>#N/A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594</v>
      </c>
      <c r="R1797" s="2" t="s">
        <v>56</v>
      </c>
      <c r="S1797" s="9">
        <f t="shared" si="139"/>
        <v>0.05</v>
      </c>
    </row>
    <row r="1798" spans="1:19" x14ac:dyDescent="0.3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e">
        <f>VLOOKUP('Customer Info'!B1790,'Customer Info'!B1790:B2289,1,0)</f>
        <v>#N/A</v>
      </c>
      <c r="H1798" s="6" t="e">
        <f>VLOOKUP('Customer Info'!C1790,'Customer Info'!C1790:C2289,1)</f>
        <v>#N/A</v>
      </c>
      <c r="I1798" s="6" t="e">
        <f>VLOOKUP('Customer Info'!E1790,'Customer Info'!E1790:E2289,1,0)</f>
        <v>#N/A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591</v>
      </c>
      <c r="R1798" s="2" t="s">
        <v>28</v>
      </c>
      <c r="S1798" s="9">
        <f t="shared" si="139"/>
        <v>0.05</v>
      </c>
    </row>
    <row r="1799" spans="1:19" x14ac:dyDescent="0.3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e">
        <f>VLOOKUP('Customer Info'!B1791,'Customer Info'!B1791:B2290,1,0)</f>
        <v>#N/A</v>
      </c>
      <c r="H1799" s="6" t="e">
        <f>VLOOKUP('Customer Info'!C1791,'Customer Info'!C1791:C2290,1)</f>
        <v>#N/A</v>
      </c>
      <c r="I1799" s="6" t="e">
        <f>VLOOKUP('Customer Info'!E1791,'Customer Info'!E1791:E2290,1,0)</f>
        <v>#N/A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14</v>
      </c>
      <c r="R1799" s="2" t="s">
        <v>50</v>
      </c>
      <c r="S1799" s="9">
        <f t="shared" si="139"/>
        <v>0.02</v>
      </c>
    </row>
    <row r="1800" spans="1:19" x14ac:dyDescent="0.3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e">
        <f>VLOOKUP('Customer Info'!B1792,'Customer Info'!B1792:B2291,1,0)</f>
        <v>#N/A</v>
      </c>
      <c r="H1800" s="6" t="e">
        <f>VLOOKUP('Customer Info'!C1792,'Customer Info'!C1792:C2291,1)</f>
        <v>#N/A</v>
      </c>
      <c r="I1800" s="6" t="e">
        <f>VLOOKUP('Customer Info'!E1792,'Customer Info'!E1792:E2291,1,0)</f>
        <v>#N/A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15</v>
      </c>
      <c r="R1800" s="2" t="s">
        <v>50</v>
      </c>
      <c r="S1800" s="9">
        <f t="shared" si="139"/>
        <v>0.02</v>
      </c>
    </row>
    <row r="1801" spans="1:19" x14ac:dyDescent="0.3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e">
        <f>VLOOKUP('Customer Info'!B1793,'Customer Info'!B1793:B2292,1,0)</f>
        <v>#N/A</v>
      </c>
      <c r="H1801" s="6" t="e">
        <f>VLOOKUP('Customer Info'!C1793,'Customer Info'!C1793:C2292,1)</f>
        <v>#N/A</v>
      </c>
      <c r="I1801" s="6" t="e">
        <f>VLOOKUP('Customer Info'!E1793,'Customer Info'!E1793:E2292,1,0)</f>
        <v>#N/A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223</v>
      </c>
      <c r="R1801" s="2" t="s">
        <v>28</v>
      </c>
      <c r="S1801" s="9">
        <f t="shared" si="139"/>
        <v>0.02</v>
      </c>
    </row>
    <row r="1802" spans="1:19" x14ac:dyDescent="0.3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e">
        <f>VLOOKUP('Customer Info'!B1794,'Customer Info'!B1794:B2293,1,0)</f>
        <v>#N/A</v>
      </c>
      <c r="H1802" s="6" t="e">
        <f>VLOOKUP('Customer Info'!C1794,'Customer Info'!C1794:C2293,1)</f>
        <v>#N/A</v>
      </c>
      <c r="I1802" s="6" t="e">
        <f>VLOOKUP('Customer Info'!E1794,'Customer Info'!E1794:E2293,1,0)</f>
        <v>#N/A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214</v>
      </c>
      <c r="R1802" s="2" t="s">
        <v>28</v>
      </c>
      <c r="S1802" s="9">
        <f t="shared" si="139"/>
        <v>0.02</v>
      </c>
    </row>
    <row r="1803" spans="1:19" x14ac:dyDescent="0.3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e">
        <f>VLOOKUP('Customer Info'!B1795,'Customer Info'!B1795:B2294,1,0)</f>
        <v>#N/A</v>
      </c>
      <c r="H1803" s="6" t="e">
        <f>VLOOKUP('Customer Info'!C1795,'Customer Info'!C1795:C2294,1)</f>
        <v>#N/A</v>
      </c>
      <c r="I1803" s="6" t="e">
        <f>VLOOKUP('Customer Info'!E1795,'Customer Info'!E1795:E2294,1,0)</f>
        <v>#N/A</v>
      </c>
      <c r="J1803" s="2">
        <v>2200</v>
      </c>
      <c r="K1803" s="2">
        <v>2020</v>
      </c>
      <c r="L1803" s="2">
        <v>3</v>
      </c>
      <c r="M1803" s="7">
        <f t="shared" ref="M1803:M1866" si="140">(K1803*L1803)</f>
        <v>6060</v>
      </c>
      <c r="N1803" s="7">
        <f t="shared" ref="N1803:N1866" si="141">(J1803*L1803)</f>
        <v>6600</v>
      </c>
      <c r="O1803" s="2">
        <v>65</v>
      </c>
      <c r="P1803" s="8">
        <f t="shared" ref="P1803:P1866" si="142">(N1803+O1803)</f>
        <v>6665</v>
      </c>
      <c r="Q1803" s="8">
        <f t="shared" ref="Q1803:Q1866" si="143">(N1803-M1803)</f>
        <v>540</v>
      </c>
      <c r="R1803" s="2" t="s">
        <v>50</v>
      </c>
      <c r="S1803" s="9">
        <f t="shared" ref="S1803:S1866" si="144">_xlfn.IFS(P1803&gt;250000,0.15,P1803&gt;100000,0.12,P1803&gt;50000,0.09,P1803&gt;25000,0.07,P1803&gt;5000,0.05,
 TRUE,0.02)</f>
        <v>0.05</v>
      </c>
    </row>
    <row r="1804" spans="1:19" x14ac:dyDescent="0.3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e">
        <f>VLOOKUP('Customer Info'!B1796,'Customer Info'!B1796:B2295,1,0)</f>
        <v>#N/A</v>
      </c>
      <c r="H1804" s="6" t="e">
        <f>VLOOKUP('Customer Info'!C1796,'Customer Info'!C1796:C2295,1)</f>
        <v>#N/A</v>
      </c>
      <c r="I1804" s="6" t="e">
        <f>VLOOKUP('Customer Info'!E1796,'Customer Info'!E1796:E2295,1,0)</f>
        <v>#N/A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60</v>
      </c>
      <c r="R1804" s="2" t="s">
        <v>28</v>
      </c>
      <c r="S1804" s="9">
        <f t="shared" si="144"/>
        <v>0.02</v>
      </c>
    </row>
    <row r="1805" spans="1:19" x14ac:dyDescent="0.3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e">
        <f>VLOOKUP('Customer Info'!B1797,'Customer Info'!B1797:B2296,1,0)</f>
        <v>#N/A</v>
      </c>
      <c r="H1805" s="6" t="e">
        <f>VLOOKUP('Customer Info'!C1797,'Customer Info'!C1797:C2296,1)</f>
        <v>#N/A</v>
      </c>
      <c r="I1805" s="6" t="e">
        <f>VLOOKUP('Customer Info'!E1797,'Customer Info'!E1797:E2296,1,0)</f>
        <v>#N/A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255</v>
      </c>
      <c r="R1805" s="2" t="s">
        <v>28</v>
      </c>
      <c r="S1805" s="9">
        <f t="shared" si="144"/>
        <v>0.05</v>
      </c>
    </row>
    <row r="1806" spans="1:19" x14ac:dyDescent="0.3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e">
        <f>VLOOKUP('Customer Info'!B1798,'Customer Info'!B1798:B2297,1,0)</f>
        <v>#N/A</v>
      </c>
      <c r="H1806" s="6" t="e">
        <f>VLOOKUP('Customer Info'!C1798,'Customer Info'!C1798:C2297,1)</f>
        <v>#N/A</v>
      </c>
      <c r="I1806" s="6" t="e">
        <f>VLOOKUP('Customer Info'!E1798,'Customer Info'!E1798:E2297,1,0)</f>
        <v>#N/A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254</v>
      </c>
      <c r="R1806" s="2" t="s">
        <v>50</v>
      </c>
      <c r="S1806" s="9">
        <f t="shared" si="144"/>
        <v>0.02</v>
      </c>
    </row>
    <row r="1807" spans="1:19" x14ac:dyDescent="0.3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e">
        <f>VLOOKUP('Customer Info'!B1799,'Customer Info'!B1799:B2298,1,0)</f>
        <v>#N/A</v>
      </c>
      <c r="H1807" s="6" t="e">
        <f>VLOOKUP('Customer Info'!C1799,'Customer Info'!C1799:C2298,1)</f>
        <v>#N/A</v>
      </c>
      <c r="I1807" s="6" t="e">
        <f>VLOOKUP('Customer Info'!E1799,'Customer Info'!E1799:E2298,1,0)</f>
        <v>#N/A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218</v>
      </c>
      <c r="R1807" s="2" t="s">
        <v>28</v>
      </c>
      <c r="S1807" s="9">
        <f t="shared" si="144"/>
        <v>0.02</v>
      </c>
    </row>
    <row r="1808" spans="1:19" x14ac:dyDescent="0.3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e">
        <f>VLOOKUP('Customer Info'!B1800,'Customer Info'!B1800:B2299,1,0)</f>
        <v>#N/A</v>
      </c>
      <c r="H1808" s="6" t="e">
        <f>VLOOKUP('Customer Info'!C1800,'Customer Info'!C1800:C2299,1)</f>
        <v>#N/A</v>
      </c>
      <c r="I1808" s="6" t="e">
        <f>VLOOKUP('Customer Info'!E1800,'Customer Info'!E1800:E2299,1,0)</f>
        <v>#N/A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156</v>
      </c>
      <c r="R1808" s="2" t="s">
        <v>28</v>
      </c>
      <c r="S1808" s="9">
        <f t="shared" si="144"/>
        <v>0.02</v>
      </c>
    </row>
    <row r="1809" spans="1:19" x14ac:dyDescent="0.3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e">
        <f>VLOOKUP('Customer Info'!B1801,'Customer Info'!B1801:B2300,1,0)</f>
        <v>#N/A</v>
      </c>
      <c r="H1809" s="6" t="e">
        <f>VLOOKUP('Customer Info'!C1801,'Customer Info'!C1801:C2300,1)</f>
        <v>#N/A</v>
      </c>
      <c r="I1809" s="6" t="e">
        <f>VLOOKUP('Customer Info'!E1801,'Customer Info'!E1801:E2300,1,0)</f>
        <v>#N/A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405</v>
      </c>
      <c r="R1809" s="2" t="s">
        <v>28</v>
      </c>
      <c r="S1809" s="9">
        <f t="shared" si="144"/>
        <v>0.02</v>
      </c>
    </row>
    <row r="1810" spans="1:19" x14ac:dyDescent="0.3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e">
        <f>VLOOKUP('Customer Info'!B1802,'Customer Info'!B1802:B2301,1,0)</f>
        <v>#N/A</v>
      </c>
      <c r="H1810" s="6" t="e">
        <f>VLOOKUP('Customer Info'!C1802,'Customer Info'!C1802:C2301,1)</f>
        <v>#N/A</v>
      </c>
      <c r="I1810" s="6" t="e">
        <f>VLOOKUP('Customer Info'!E1802,'Customer Info'!E1802:E2301,1,0)</f>
        <v>#N/A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40</v>
      </c>
      <c r="R1810" s="2" t="s">
        <v>28</v>
      </c>
      <c r="S1810" s="9">
        <f t="shared" si="144"/>
        <v>0.02</v>
      </c>
    </row>
    <row r="1811" spans="1:19" x14ac:dyDescent="0.3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e">
        <f>VLOOKUP('Customer Info'!B1803,'Customer Info'!B1803:B2302,1,0)</f>
        <v>#N/A</v>
      </c>
      <c r="H1811" s="6" t="e">
        <f>VLOOKUP('Customer Info'!C1803,'Customer Info'!C1803:C2302,1)</f>
        <v>#N/A</v>
      </c>
      <c r="I1811" s="6" t="e">
        <f>VLOOKUP('Customer Info'!E1803,'Customer Info'!E1803:E2302,1,0)</f>
        <v>#N/A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470</v>
      </c>
      <c r="R1811" s="2" t="s">
        <v>28</v>
      </c>
      <c r="S1811" s="9">
        <f t="shared" si="144"/>
        <v>0.02</v>
      </c>
    </row>
    <row r="1812" spans="1:19" x14ac:dyDescent="0.3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e">
        <f>VLOOKUP('Customer Info'!B1804,'Customer Info'!B1804:B2303,1,0)</f>
        <v>#N/A</v>
      </c>
      <c r="H1812" s="6" t="e">
        <f>VLOOKUP('Customer Info'!C1804,'Customer Info'!C1804:C2303,1)</f>
        <v>#N/A</v>
      </c>
      <c r="I1812" s="6" t="e">
        <f>VLOOKUP('Customer Info'!E1804,'Customer Info'!E1804:E2303,1,0)</f>
        <v>#N/A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46</v>
      </c>
      <c r="R1812" s="2" t="s">
        <v>28</v>
      </c>
      <c r="S1812" s="9">
        <f t="shared" si="144"/>
        <v>0.02</v>
      </c>
    </row>
    <row r="1813" spans="1:19" x14ac:dyDescent="0.3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e">
        <f>VLOOKUP('Customer Info'!B1805,'Customer Info'!B1805:B2304,1,0)</f>
        <v>#N/A</v>
      </c>
      <c r="H1813" s="6" t="e">
        <f>VLOOKUP('Customer Info'!C1805,'Customer Info'!C1805:C2304,1)</f>
        <v>#N/A</v>
      </c>
      <c r="I1813" s="6" t="e">
        <f>VLOOKUP('Customer Info'!E1805,'Customer Info'!E1805:E2304,1,0)</f>
        <v>#N/A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705</v>
      </c>
      <c r="R1813" s="2" t="s">
        <v>50</v>
      </c>
      <c r="S1813" s="9">
        <f t="shared" si="144"/>
        <v>0.05</v>
      </c>
    </row>
    <row r="1814" spans="1:19" x14ac:dyDescent="0.3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e">
        <f>VLOOKUP('Customer Info'!B1806,'Customer Info'!B1806:B2305,1,0)</f>
        <v>#N/A</v>
      </c>
      <c r="H1814" s="6" t="e">
        <f>VLOOKUP('Customer Info'!C1806,'Customer Info'!C1806:C2305,1)</f>
        <v>#N/A</v>
      </c>
      <c r="I1814" s="6" t="e">
        <f>VLOOKUP('Customer Info'!E1806,'Customer Info'!E1806:E2305,1,0)</f>
        <v>#N/A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550</v>
      </c>
      <c r="R1814" s="2" t="s">
        <v>28</v>
      </c>
      <c r="S1814" s="9">
        <f t="shared" si="144"/>
        <v>0.05</v>
      </c>
    </row>
    <row r="1815" spans="1:19" x14ac:dyDescent="0.3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e">
        <f>VLOOKUP('Customer Info'!B1807,'Customer Info'!B1807:B2306,1,0)</f>
        <v>#N/A</v>
      </c>
      <c r="H1815" s="6" t="e">
        <f>VLOOKUP('Customer Info'!C1807,'Customer Info'!C1807:C2306,1)</f>
        <v>#N/A</v>
      </c>
      <c r="I1815" s="6" t="e">
        <f>VLOOKUP('Customer Info'!E1807,'Customer Info'!E1807:E2306,1,0)</f>
        <v>#N/A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699</v>
      </c>
      <c r="R1815" s="2" t="s">
        <v>28</v>
      </c>
      <c r="S1815" s="9">
        <f t="shared" si="144"/>
        <v>0.05</v>
      </c>
    </row>
    <row r="1816" spans="1:19" x14ac:dyDescent="0.3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e">
        <f>VLOOKUP('Customer Info'!B1808,'Customer Info'!B1808:B2307,1,0)</f>
        <v>#N/A</v>
      </c>
      <c r="H1816" s="6" t="e">
        <f>VLOOKUP('Customer Info'!C1808,'Customer Info'!C1808:C2307,1)</f>
        <v>#N/A</v>
      </c>
      <c r="I1816" s="6" t="e">
        <f>VLOOKUP('Customer Info'!E1808,'Customer Info'!E1808:E2307,1,0)</f>
        <v>#N/A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66</v>
      </c>
      <c r="R1816" s="2" t="s">
        <v>28</v>
      </c>
      <c r="S1816" s="9">
        <f t="shared" si="144"/>
        <v>0.02</v>
      </c>
    </row>
    <row r="1817" spans="1:19" x14ac:dyDescent="0.3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e">
        <f>VLOOKUP('Customer Info'!B1809,'Customer Info'!B1809:B2308,1,0)</f>
        <v>#N/A</v>
      </c>
      <c r="H1817" s="6" t="e">
        <f>VLOOKUP('Customer Info'!C1809,'Customer Info'!C1809:C2308,1)</f>
        <v>#N/A</v>
      </c>
      <c r="I1817" s="6" t="e">
        <f>VLOOKUP('Customer Info'!E1809,'Customer Info'!E1809:E2308,1,0)</f>
        <v>#N/A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710</v>
      </c>
      <c r="R1817" s="2" t="s">
        <v>50</v>
      </c>
      <c r="S1817" s="9">
        <f t="shared" si="144"/>
        <v>0.05</v>
      </c>
    </row>
    <row r="1818" spans="1:19" x14ac:dyDescent="0.3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e">
        <f>VLOOKUP('Customer Info'!B1810,'Customer Info'!B1810:B2309,1,0)</f>
        <v>#N/A</v>
      </c>
      <c r="H1818" s="6" t="e">
        <f>VLOOKUP('Customer Info'!C1810,'Customer Info'!C1810:C2309,1)</f>
        <v>#N/A</v>
      </c>
      <c r="I1818" s="6" t="e">
        <f>VLOOKUP('Customer Info'!E1810,'Customer Info'!E1810:E2309,1,0)</f>
        <v>#N/A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216</v>
      </c>
      <c r="R1818" s="2" t="s">
        <v>50</v>
      </c>
      <c r="S1818" s="9">
        <f t="shared" si="144"/>
        <v>0.02</v>
      </c>
    </row>
    <row r="1819" spans="1:19" x14ac:dyDescent="0.3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e">
        <f>VLOOKUP('Customer Info'!B1811,'Customer Info'!B1811:B2310,1,0)</f>
        <v>#N/A</v>
      </c>
      <c r="H1819" s="6" t="e">
        <f>VLOOKUP('Customer Info'!C1811,'Customer Info'!C1811:C2310,1)</f>
        <v>#N/A</v>
      </c>
      <c r="I1819" s="6" t="e">
        <f>VLOOKUP('Customer Info'!E1811,'Customer Info'!E1811:E2310,1,0)</f>
        <v>#N/A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78</v>
      </c>
      <c r="R1819" s="2" t="s">
        <v>28</v>
      </c>
      <c r="S1819" s="9">
        <f t="shared" si="144"/>
        <v>0.02</v>
      </c>
    </row>
    <row r="1820" spans="1:19" x14ac:dyDescent="0.3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e">
        <f>VLOOKUP('Customer Info'!B1812,'Customer Info'!B1812:B2311,1,0)</f>
        <v>#N/A</v>
      </c>
      <c r="H1820" s="6" t="e">
        <f>VLOOKUP('Customer Info'!C1812,'Customer Info'!C1812:C2311,1)</f>
        <v>#N/A</v>
      </c>
      <c r="I1820" s="6" t="e">
        <f>VLOOKUP('Customer Info'!E1812,'Customer Info'!E1812:E2311,1,0)</f>
        <v>#N/A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34</v>
      </c>
      <c r="R1820" s="2" t="s">
        <v>28</v>
      </c>
      <c r="S1820" s="9">
        <f t="shared" si="144"/>
        <v>0.02</v>
      </c>
    </row>
    <row r="1821" spans="1:19" x14ac:dyDescent="0.3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e">
        <f>VLOOKUP('Customer Info'!B1813,'Customer Info'!B1813:B2312,1,0)</f>
        <v>#N/A</v>
      </c>
      <c r="H1821" s="6" t="e">
        <f>VLOOKUP('Customer Info'!C1813,'Customer Info'!C1813:C2312,1)</f>
        <v>#N/A</v>
      </c>
      <c r="I1821" s="6" t="e">
        <f>VLOOKUP('Customer Info'!E1813,'Customer Info'!E1813:E2312,1,0)</f>
        <v>#N/A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756</v>
      </c>
      <c r="R1821" s="2" t="s">
        <v>50</v>
      </c>
      <c r="S1821" s="9">
        <f t="shared" si="144"/>
        <v>0.05</v>
      </c>
    </row>
    <row r="1822" spans="1:19" x14ac:dyDescent="0.3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e">
        <f>VLOOKUP('Customer Info'!B1814,'Customer Info'!B1814:B2313,1,0)</f>
        <v>#N/A</v>
      </c>
      <c r="H1822" s="6" t="e">
        <f>VLOOKUP('Customer Info'!C1814,'Customer Info'!C1814:C2313,1)</f>
        <v>#N/A</v>
      </c>
      <c r="I1822" s="6" t="e">
        <f>VLOOKUP('Customer Info'!E1814,'Customer Info'!E1814:E2313,1,0)</f>
        <v>#N/A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657</v>
      </c>
      <c r="R1822" s="2" t="s">
        <v>28</v>
      </c>
      <c r="S1822" s="9">
        <f t="shared" si="144"/>
        <v>0.05</v>
      </c>
    </row>
    <row r="1823" spans="1:19" x14ac:dyDescent="0.3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e">
        <f>VLOOKUP('Customer Info'!B1815,'Customer Info'!B1815:B2314,1,0)</f>
        <v>#N/A</v>
      </c>
      <c r="H1823" s="6" t="e">
        <f>VLOOKUP('Customer Info'!C1815,'Customer Info'!C1815:C2314,1)</f>
        <v>#N/A</v>
      </c>
      <c r="I1823" s="6" t="e">
        <f>VLOOKUP('Customer Info'!E1815,'Customer Info'!E1815:E2314,1,0)</f>
        <v>#N/A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826</v>
      </c>
      <c r="R1823" s="2" t="s">
        <v>28</v>
      </c>
      <c r="S1823" s="9">
        <f t="shared" si="144"/>
        <v>0.05</v>
      </c>
    </row>
    <row r="1824" spans="1:19" x14ac:dyDescent="0.3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e">
        <f>VLOOKUP('Customer Info'!B1816,'Customer Info'!B1816:B2315,1,0)</f>
        <v>#N/A</v>
      </c>
      <c r="H1824" s="6" t="e">
        <f>VLOOKUP('Customer Info'!C1816,'Customer Info'!C1816:C2315,1)</f>
        <v>#N/A</v>
      </c>
      <c r="I1824" s="6" t="e">
        <f>VLOOKUP('Customer Info'!E1816,'Customer Info'!E1816:E2315,1,0)</f>
        <v>#N/A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180</v>
      </c>
      <c r="R1824" s="2" t="s">
        <v>28</v>
      </c>
      <c r="S1824" s="9">
        <f t="shared" si="144"/>
        <v>0.02</v>
      </c>
    </row>
    <row r="1825" spans="1:19" x14ac:dyDescent="0.3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e">
        <f>VLOOKUP('Customer Info'!B1817,'Customer Info'!B1817:B2316,1,0)</f>
        <v>#N/A</v>
      </c>
      <c r="H1825" s="6" t="e">
        <f>VLOOKUP('Customer Info'!C1817,'Customer Info'!C1817:C2316,1)</f>
        <v>#N/A</v>
      </c>
      <c r="I1825" s="6" t="e">
        <f>VLOOKUP('Customer Info'!E1817,'Customer Info'!E1817:E2316,1,0)</f>
        <v>#N/A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1324</v>
      </c>
      <c r="R1825" s="2" t="s">
        <v>28</v>
      </c>
      <c r="S1825" s="9">
        <f t="shared" si="144"/>
        <v>7.0000000000000007E-2</v>
      </c>
    </row>
    <row r="1826" spans="1:19" x14ac:dyDescent="0.3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e">
        <f>VLOOKUP('Customer Info'!B1818,'Customer Info'!B1818:B2317,1,0)</f>
        <v>#N/A</v>
      </c>
      <c r="H1826" s="6" t="e">
        <f>VLOOKUP('Customer Info'!C1818,'Customer Info'!C1818:C2317,1)</f>
        <v>#N/A</v>
      </c>
      <c r="I1826" s="6" t="e">
        <f>VLOOKUP('Customer Info'!E1818,'Customer Info'!E1818:E2317,1,0)</f>
        <v>#N/A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46</v>
      </c>
      <c r="R1826" s="2" t="s">
        <v>50</v>
      </c>
      <c r="S1826" s="9">
        <f t="shared" si="144"/>
        <v>0.02</v>
      </c>
    </row>
    <row r="1827" spans="1:19" x14ac:dyDescent="0.3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e">
        <f>VLOOKUP('Customer Info'!B1819,'Customer Info'!B1819:B2318,1,0)</f>
        <v>#N/A</v>
      </c>
      <c r="H1827" s="6" t="e">
        <f>VLOOKUP('Customer Info'!C1819,'Customer Info'!C1819:C2318,1)</f>
        <v>#N/A</v>
      </c>
      <c r="I1827" s="6" t="e">
        <f>VLOOKUP('Customer Info'!E1819,'Customer Info'!E1819:E2318,1,0)</f>
        <v>#N/A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326</v>
      </c>
      <c r="R1827" s="2" t="s">
        <v>28</v>
      </c>
      <c r="S1827" s="9">
        <f t="shared" si="144"/>
        <v>0.02</v>
      </c>
    </row>
    <row r="1828" spans="1:19" x14ac:dyDescent="0.3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e">
        <f>VLOOKUP('Customer Info'!B1820,'Customer Info'!B1820:B2319,1,0)</f>
        <v>#N/A</v>
      </c>
      <c r="H1828" s="6" t="e">
        <f>VLOOKUP('Customer Info'!C1820,'Customer Info'!C1820:C2319,1)</f>
        <v>#N/A</v>
      </c>
      <c r="I1828" s="6" t="e">
        <f>VLOOKUP('Customer Info'!E1820,'Customer Info'!E1820:E2319,1,0)</f>
        <v>#N/A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483</v>
      </c>
      <c r="R1828" s="2" t="s">
        <v>50</v>
      </c>
      <c r="S1828" s="9">
        <f t="shared" si="144"/>
        <v>0.05</v>
      </c>
    </row>
    <row r="1829" spans="1:19" x14ac:dyDescent="0.3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e">
        <f>VLOOKUP('Customer Info'!B1821,'Customer Info'!B1821:B2320,1,0)</f>
        <v>#N/A</v>
      </c>
      <c r="H1829" s="6" t="e">
        <f>VLOOKUP('Customer Info'!C1821,'Customer Info'!C1821:C2320,1)</f>
        <v>#N/A</v>
      </c>
      <c r="I1829" s="6" t="e">
        <f>VLOOKUP('Customer Info'!E1821,'Customer Info'!E1821:E2320,1,0)</f>
        <v>#N/A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837</v>
      </c>
      <c r="R1829" s="2" t="s">
        <v>28</v>
      </c>
      <c r="S1829" s="9">
        <f t="shared" si="144"/>
        <v>0.05</v>
      </c>
    </row>
    <row r="1830" spans="1:19" x14ac:dyDescent="0.3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e">
        <f>VLOOKUP('Customer Info'!B1822,'Customer Info'!B1822:B2321,1,0)</f>
        <v>#N/A</v>
      </c>
      <c r="H1830" s="6" t="e">
        <f>VLOOKUP('Customer Info'!C1822,'Customer Info'!C1822:C2321,1)</f>
        <v>#N/A</v>
      </c>
      <c r="I1830" s="6" t="e">
        <f>VLOOKUP('Customer Info'!E1822,'Customer Info'!E1822:E2321,1,0)</f>
        <v>#N/A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375</v>
      </c>
      <c r="R1830" s="2" t="s">
        <v>28</v>
      </c>
      <c r="S1830" s="9">
        <f t="shared" si="144"/>
        <v>0.05</v>
      </c>
    </row>
    <row r="1831" spans="1:19" x14ac:dyDescent="0.3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e">
        <f>VLOOKUP('Customer Info'!B1823,'Customer Info'!B1823:B2322,1,0)</f>
        <v>#N/A</v>
      </c>
      <c r="H1831" s="6" t="e">
        <f>VLOOKUP('Customer Info'!C1823,'Customer Info'!C1823:C2322,1)</f>
        <v>#N/A</v>
      </c>
      <c r="I1831" s="6" t="e">
        <f>VLOOKUP('Customer Info'!E1823,'Customer Info'!E1823:E2322,1,0)</f>
        <v>#N/A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180</v>
      </c>
      <c r="R1831" s="2" t="s">
        <v>28</v>
      </c>
      <c r="S1831" s="9">
        <f t="shared" si="144"/>
        <v>0.02</v>
      </c>
    </row>
    <row r="1832" spans="1:19" x14ac:dyDescent="0.3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e">
        <f>VLOOKUP('Customer Info'!B1824,'Customer Info'!B1824:B2323,1,0)</f>
        <v>#N/A</v>
      </c>
      <c r="H1832" s="6" t="e">
        <f>VLOOKUP('Customer Info'!C1824,'Customer Info'!C1824:C2323,1)</f>
        <v>#N/A</v>
      </c>
      <c r="I1832" s="6" t="e">
        <f>VLOOKUP('Customer Info'!E1824,'Customer Info'!E1824:E2323,1,0)</f>
        <v>#N/A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49</v>
      </c>
      <c r="R1832" s="2" t="s">
        <v>26</v>
      </c>
      <c r="S1832" s="9">
        <f t="shared" si="144"/>
        <v>0.02</v>
      </c>
    </row>
    <row r="1833" spans="1:19" x14ac:dyDescent="0.3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e">
        <f>VLOOKUP('Customer Info'!B1825,'Customer Info'!B1825:B2324,1,0)</f>
        <v>#N/A</v>
      </c>
      <c r="H1833" s="6" t="e">
        <f>VLOOKUP('Customer Info'!C1825,'Customer Info'!C1825:C2324,1)</f>
        <v>#N/A</v>
      </c>
      <c r="I1833" s="6" t="e">
        <f>VLOOKUP('Customer Info'!E1825,'Customer Info'!E1825:E2324,1,0)</f>
        <v>#N/A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6</v>
      </c>
      <c r="R1833" s="2" t="s">
        <v>56</v>
      </c>
      <c r="S1833" s="9">
        <f t="shared" si="144"/>
        <v>0.02</v>
      </c>
    </row>
    <row r="1834" spans="1:19" x14ac:dyDescent="0.3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e">
        <f>VLOOKUP('Customer Info'!B1826,'Customer Info'!B1826:B2325,1,0)</f>
        <v>#N/A</v>
      </c>
      <c r="H1834" s="6" t="e">
        <f>VLOOKUP('Customer Info'!C1826,'Customer Info'!C1826:C2325,1)</f>
        <v>#N/A</v>
      </c>
      <c r="I1834" s="6" t="e">
        <f>VLOOKUP('Customer Info'!E1826,'Customer Info'!E1826:E2325,1,0)</f>
        <v>#N/A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52</v>
      </c>
      <c r="R1834" s="2" t="s">
        <v>50</v>
      </c>
      <c r="S1834" s="9">
        <f t="shared" si="144"/>
        <v>0.02</v>
      </c>
    </row>
    <row r="1835" spans="1:19" x14ac:dyDescent="0.3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e">
        <f>VLOOKUP('Customer Info'!B1827,'Customer Info'!B1827:B2326,1,0)</f>
        <v>#N/A</v>
      </c>
      <c r="H1835" s="6" t="e">
        <f>VLOOKUP('Customer Info'!C1827,'Customer Info'!C1827:C2326,1)</f>
        <v>#N/A</v>
      </c>
      <c r="I1835" s="6" t="e">
        <f>VLOOKUP('Customer Info'!E1827,'Customer Info'!E1827:E2326,1,0)</f>
        <v>#N/A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14</v>
      </c>
      <c r="R1835" s="2" t="s">
        <v>28</v>
      </c>
      <c r="S1835" s="9">
        <f t="shared" si="144"/>
        <v>0.02</v>
      </c>
    </row>
    <row r="1836" spans="1:19" x14ac:dyDescent="0.3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e">
        <f>VLOOKUP('Customer Info'!B1828,'Customer Info'!B1828:B2327,1,0)</f>
        <v>#N/A</v>
      </c>
      <c r="H1836" s="6" t="e">
        <f>VLOOKUP('Customer Info'!C1828,'Customer Info'!C1828:C2327,1)</f>
        <v>#N/A</v>
      </c>
      <c r="I1836" s="6" t="e">
        <f>VLOOKUP('Customer Info'!E1828,'Customer Info'!E1828:E2327,1,0)</f>
        <v>#N/A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636</v>
      </c>
      <c r="R1836" s="2" t="s">
        <v>50</v>
      </c>
      <c r="S1836" s="9">
        <f t="shared" si="144"/>
        <v>0.05</v>
      </c>
    </row>
    <row r="1837" spans="1:19" x14ac:dyDescent="0.3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e">
        <f>VLOOKUP('Customer Info'!B1829,'Customer Info'!B1829:B2328,1,0)</f>
        <v>#N/A</v>
      </c>
      <c r="H1837" s="6" t="e">
        <f>VLOOKUP('Customer Info'!C1829,'Customer Info'!C1829:C2328,1)</f>
        <v>#N/A</v>
      </c>
      <c r="I1837" s="6" t="e">
        <f>VLOOKUP('Customer Info'!E1829,'Customer Info'!E1829:E2328,1,0)</f>
        <v>#N/A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320</v>
      </c>
      <c r="R1837" s="2" t="s">
        <v>50</v>
      </c>
      <c r="S1837" s="9">
        <f t="shared" si="144"/>
        <v>0.02</v>
      </c>
    </row>
    <row r="1838" spans="1:19" x14ac:dyDescent="0.3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e">
        <f>VLOOKUP('Customer Info'!B1830,'Customer Info'!B1830:B2329,1,0)</f>
        <v>#N/A</v>
      </c>
      <c r="H1838" s="6" t="e">
        <f>VLOOKUP('Customer Info'!C1830,'Customer Info'!C1830:C2329,1)</f>
        <v>#N/A</v>
      </c>
      <c r="I1838" s="6" t="e">
        <f>VLOOKUP('Customer Info'!E1830,'Customer Info'!E1830:E2329,1,0)</f>
        <v>#N/A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14483</v>
      </c>
      <c r="R1838" s="2" t="s">
        <v>28</v>
      </c>
      <c r="S1838" s="9">
        <f t="shared" si="144"/>
        <v>0.15</v>
      </c>
    </row>
    <row r="1839" spans="1:19" x14ac:dyDescent="0.3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e">
        <f>VLOOKUP('Customer Info'!B1831,'Customer Info'!B1831:B2330,1,0)</f>
        <v>#N/A</v>
      </c>
      <c r="H1839" s="6" t="e">
        <f>VLOOKUP('Customer Info'!C1831,'Customer Info'!C1831:C2330,1)</f>
        <v>#N/A</v>
      </c>
      <c r="I1839" s="6" t="e">
        <f>VLOOKUP('Customer Info'!E1831,'Customer Info'!E1831:E2330,1,0)</f>
        <v>#N/A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20</v>
      </c>
      <c r="R1839" s="2" t="s">
        <v>28</v>
      </c>
      <c r="S1839" s="9">
        <f t="shared" si="144"/>
        <v>0.02</v>
      </c>
    </row>
    <row r="1840" spans="1:19" x14ac:dyDescent="0.3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e">
        <f>VLOOKUP('Customer Info'!B1832,'Customer Info'!B1832:B2331,1,0)</f>
        <v>#N/A</v>
      </c>
      <c r="H1840" s="6" t="e">
        <f>VLOOKUP('Customer Info'!C1832,'Customer Info'!C1832:C2331,1)</f>
        <v>#N/A</v>
      </c>
      <c r="I1840" s="6" t="e">
        <f>VLOOKUP('Customer Info'!E1832,'Customer Info'!E1832:E2331,1,0)</f>
        <v>#N/A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825</v>
      </c>
      <c r="R1840" s="2" t="s">
        <v>28</v>
      </c>
      <c r="S1840" s="9">
        <f t="shared" si="144"/>
        <v>0.05</v>
      </c>
    </row>
    <row r="1841" spans="1:19" x14ac:dyDescent="0.3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e">
        <f>VLOOKUP('Customer Info'!B1833,'Customer Info'!B1833:B2332,1,0)</f>
        <v>#N/A</v>
      </c>
      <c r="H1841" s="6" t="e">
        <f>VLOOKUP('Customer Info'!C1833,'Customer Info'!C1833:C2332,1)</f>
        <v>#N/A</v>
      </c>
      <c r="I1841" s="6" t="e">
        <f>VLOOKUP('Customer Info'!E1833,'Customer Info'!E1833:E2332,1,0)</f>
        <v>#N/A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364</v>
      </c>
      <c r="R1841" s="2" t="s">
        <v>28</v>
      </c>
      <c r="S1841" s="9">
        <f t="shared" si="144"/>
        <v>0.02</v>
      </c>
    </row>
    <row r="1842" spans="1:19" x14ac:dyDescent="0.3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e">
        <f>VLOOKUP('Customer Info'!B1834,'Customer Info'!B1834:B2333,1,0)</f>
        <v>#N/A</v>
      </c>
      <c r="H1842" s="6" t="e">
        <f>VLOOKUP('Customer Info'!C1834,'Customer Info'!C1834:C2333,1)</f>
        <v>#N/A</v>
      </c>
      <c r="I1842" s="6" t="e">
        <f>VLOOKUP('Customer Info'!E1834,'Customer Info'!E1834:E2333,1,0)</f>
        <v>#N/A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106</v>
      </c>
      <c r="R1842" s="2" t="s">
        <v>28</v>
      </c>
      <c r="S1842" s="9">
        <f t="shared" si="144"/>
        <v>0.02</v>
      </c>
    </row>
    <row r="1843" spans="1:19" x14ac:dyDescent="0.3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e">
        <f>VLOOKUP('Customer Info'!B1835,'Customer Info'!B1835:B2334,1,0)</f>
        <v>#N/A</v>
      </c>
      <c r="H1843" s="6" t="e">
        <f>VLOOKUP('Customer Info'!C1835,'Customer Info'!C1835:C2334,1)</f>
        <v>#N/A</v>
      </c>
      <c r="I1843" s="6" t="e">
        <f>VLOOKUP('Customer Info'!E1835,'Customer Info'!E1835:E2334,1,0)</f>
        <v>#N/A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28</v>
      </c>
      <c r="R1843" s="2" t="s">
        <v>50</v>
      </c>
      <c r="S1843" s="9">
        <f t="shared" si="144"/>
        <v>0.02</v>
      </c>
    </row>
    <row r="1844" spans="1:19" x14ac:dyDescent="0.3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e">
        <f>VLOOKUP('Customer Info'!B1836,'Customer Info'!B1836:B2335,1,0)</f>
        <v>#N/A</v>
      </c>
      <c r="H1844" s="6" t="e">
        <f>VLOOKUP('Customer Info'!C1836,'Customer Info'!C1836:C2335,1)</f>
        <v>#N/A</v>
      </c>
      <c r="I1844" s="6" t="e">
        <f>VLOOKUP('Customer Info'!E1836,'Customer Info'!E1836:E2335,1,0)</f>
        <v>#N/A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49</v>
      </c>
      <c r="R1844" s="2" t="s">
        <v>50</v>
      </c>
      <c r="S1844" s="9">
        <f t="shared" si="144"/>
        <v>0.02</v>
      </c>
    </row>
    <row r="1845" spans="1:19" x14ac:dyDescent="0.3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e">
        <f>VLOOKUP('Customer Info'!B1837,'Customer Info'!B1837:B2336,1,0)</f>
        <v>#N/A</v>
      </c>
      <c r="H1845" s="6" t="e">
        <f>VLOOKUP('Customer Info'!C1837,'Customer Info'!C1837:C2336,1)</f>
        <v>#N/A</v>
      </c>
      <c r="I1845" s="6" t="e">
        <f>VLOOKUP('Customer Info'!E1837,'Customer Info'!E1837:E2336,1,0)</f>
        <v>#N/A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20</v>
      </c>
      <c r="R1845" s="2" t="s">
        <v>26</v>
      </c>
      <c r="S1845" s="9">
        <f t="shared" si="144"/>
        <v>0.02</v>
      </c>
    </row>
    <row r="1846" spans="1:19" x14ac:dyDescent="0.3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e">
        <f>VLOOKUP('Customer Info'!B1838,'Customer Info'!B1838:B2337,1,0)</f>
        <v>#N/A</v>
      </c>
      <c r="H1846" s="6" t="e">
        <f>VLOOKUP('Customer Info'!C1838,'Customer Info'!C1838:C2337,1)</f>
        <v>#N/A</v>
      </c>
      <c r="I1846" s="6" t="e">
        <f>VLOOKUP('Customer Info'!E1838,'Customer Info'!E1838:E2337,1,0)</f>
        <v>#N/A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225</v>
      </c>
      <c r="R1846" s="2" t="s">
        <v>28</v>
      </c>
      <c r="S1846" s="9">
        <f t="shared" si="144"/>
        <v>0.05</v>
      </c>
    </row>
    <row r="1847" spans="1:19" x14ac:dyDescent="0.3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e">
        <f>VLOOKUP('Customer Info'!B1839,'Customer Info'!B1839:B2338,1,0)</f>
        <v>#N/A</v>
      </c>
      <c r="H1847" s="6" t="e">
        <f>VLOOKUP('Customer Info'!C1839,'Customer Info'!C1839:C2338,1)</f>
        <v>#N/A</v>
      </c>
      <c r="I1847" s="6" t="e">
        <f>VLOOKUP('Customer Info'!E1839,'Customer Info'!E1839:E2338,1,0)</f>
        <v>#N/A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90</v>
      </c>
      <c r="R1847" s="2" t="s">
        <v>28</v>
      </c>
      <c r="S1847" s="9">
        <f t="shared" si="144"/>
        <v>0.02</v>
      </c>
    </row>
    <row r="1848" spans="1:19" x14ac:dyDescent="0.3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e">
        <f>VLOOKUP('Customer Info'!B1840,'Customer Info'!B1840:B2339,1,0)</f>
        <v>#N/A</v>
      </c>
      <c r="H1848" s="6" t="e">
        <f>VLOOKUP('Customer Info'!C1840,'Customer Info'!C1840:C2339,1)</f>
        <v>#N/A</v>
      </c>
      <c r="I1848" s="6" t="e">
        <f>VLOOKUP('Customer Info'!E1840,'Customer Info'!E1840:E2339,1,0)</f>
        <v>#N/A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14</v>
      </c>
      <c r="R1848" s="2" t="s">
        <v>28</v>
      </c>
      <c r="S1848" s="9">
        <f t="shared" si="144"/>
        <v>0.02</v>
      </c>
    </row>
    <row r="1849" spans="1:19" x14ac:dyDescent="0.3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e">
        <f>VLOOKUP('Customer Info'!B1841,'Customer Info'!B1841:B2340,1,0)</f>
        <v>#N/A</v>
      </c>
      <c r="H1849" s="6" t="e">
        <f>VLOOKUP('Customer Info'!C1841,'Customer Info'!C1841:C2340,1)</f>
        <v>#N/A</v>
      </c>
      <c r="I1849" s="6" t="e">
        <f>VLOOKUP('Customer Info'!E1841,'Customer Info'!E1841:E2340,1,0)</f>
        <v>#N/A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162</v>
      </c>
      <c r="R1849" s="2" t="s">
        <v>50</v>
      </c>
      <c r="S1849" s="9">
        <f t="shared" si="144"/>
        <v>0.02</v>
      </c>
    </row>
    <row r="1850" spans="1:19" x14ac:dyDescent="0.3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e">
        <f>VLOOKUP('Customer Info'!B1842,'Customer Info'!B1842:B2341,1,0)</f>
        <v>#N/A</v>
      </c>
      <c r="H1850" s="6" t="e">
        <f>VLOOKUP('Customer Info'!C1842,'Customer Info'!C1842:C2341,1)</f>
        <v>#N/A</v>
      </c>
      <c r="I1850" s="6" t="e">
        <f>VLOOKUP('Customer Info'!E1842,'Customer Info'!E1842:E2341,1,0)</f>
        <v>#N/A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300</v>
      </c>
      <c r="R1850" s="2" t="s">
        <v>50</v>
      </c>
      <c r="S1850" s="9">
        <f t="shared" si="144"/>
        <v>0.05</v>
      </c>
    </row>
    <row r="1851" spans="1:19" x14ac:dyDescent="0.3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e">
        <f>VLOOKUP('Customer Info'!B1843,'Customer Info'!B1843:B2342,1,0)</f>
        <v>#N/A</v>
      </c>
      <c r="H1851" s="6" t="e">
        <f>VLOOKUP('Customer Info'!C1843,'Customer Info'!C1843:C2342,1)</f>
        <v>#N/A</v>
      </c>
      <c r="I1851" s="6" t="e">
        <f>VLOOKUP('Customer Info'!E1843,'Customer Info'!E1843:E2342,1,0)</f>
        <v>#N/A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360</v>
      </c>
      <c r="R1851" s="2" t="s">
        <v>28</v>
      </c>
      <c r="S1851" s="9">
        <f t="shared" si="144"/>
        <v>0.02</v>
      </c>
    </row>
    <row r="1852" spans="1:19" x14ac:dyDescent="0.3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e">
        <f>VLOOKUP('Customer Info'!B1844,'Customer Info'!B1844:B2343,1,0)</f>
        <v>#N/A</v>
      </c>
      <c r="H1852" s="6" t="e">
        <f>VLOOKUP('Customer Info'!C1844,'Customer Info'!C1844:C2343,1)</f>
        <v>#N/A</v>
      </c>
      <c r="I1852" s="6" t="e">
        <f>VLOOKUP('Customer Info'!E1844,'Customer Info'!E1844:E2343,1,0)</f>
        <v>#N/A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70</v>
      </c>
      <c r="R1852" s="2" t="s">
        <v>28</v>
      </c>
      <c r="S1852" s="9">
        <f t="shared" si="144"/>
        <v>0.02</v>
      </c>
    </row>
    <row r="1853" spans="1:19" x14ac:dyDescent="0.3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e">
        <f>VLOOKUP('Customer Info'!B1845,'Customer Info'!B1845:B2344,1,0)</f>
        <v>#N/A</v>
      </c>
      <c r="H1853" s="6" t="e">
        <f>VLOOKUP('Customer Info'!C1845,'Customer Info'!C1845:C2344,1)</f>
        <v>#N/A</v>
      </c>
      <c r="I1853" s="6" t="e">
        <f>VLOOKUP('Customer Info'!E1845,'Customer Info'!E1845:E2344,1,0)</f>
        <v>#N/A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576</v>
      </c>
      <c r="R1853" s="2" t="s">
        <v>50</v>
      </c>
      <c r="S1853" s="9">
        <f t="shared" si="144"/>
        <v>0.05</v>
      </c>
    </row>
    <row r="1854" spans="1:19" x14ac:dyDescent="0.3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e">
        <f>VLOOKUP('Customer Info'!B1846,'Customer Info'!B1846:B2345,1,0)</f>
        <v>#N/A</v>
      </c>
      <c r="H1854" s="6" t="e">
        <f>VLOOKUP('Customer Info'!C1846,'Customer Info'!C1846:C2345,1)</f>
        <v>#N/A</v>
      </c>
      <c r="I1854" s="6" t="e">
        <f>VLOOKUP('Customer Info'!E1846,'Customer Info'!E1846:E2345,1,0)</f>
        <v>#N/A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1005</v>
      </c>
      <c r="R1854" s="2" t="s">
        <v>28</v>
      </c>
      <c r="S1854" s="9">
        <f t="shared" si="144"/>
        <v>0.05</v>
      </c>
    </row>
    <row r="1855" spans="1:19" x14ac:dyDescent="0.3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e">
        <f>VLOOKUP('Customer Info'!B1847,'Customer Info'!B1847:B2346,1,0)</f>
        <v>#N/A</v>
      </c>
      <c r="H1855" s="6" t="e">
        <f>VLOOKUP('Customer Info'!C1847,'Customer Info'!C1847:C2346,1)</f>
        <v>#N/A</v>
      </c>
      <c r="I1855" s="6" t="e">
        <f>VLOOKUP('Customer Info'!E1847,'Customer Info'!E1847:E2346,1,0)</f>
        <v>#N/A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594</v>
      </c>
      <c r="R1855" s="2" t="s">
        <v>28</v>
      </c>
      <c r="S1855" s="9">
        <f t="shared" si="144"/>
        <v>0.05</v>
      </c>
    </row>
    <row r="1856" spans="1:19" x14ac:dyDescent="0.3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e">
        <f>VLOOKUP('Customer Info'!B1848,'Customer Info'!B1848:B2347,1,0)</f>
        <v>#N/A</v>
      </c>
      <c r="H1856" s="6" t="e">
        <f>VLOOKUP('Customer Info'!C1848,'Customer Info'!C1848:C2347,1)</f>
        <v>#N/A</v>
      </c>
      <c r="I1856" s="6" t="e">
        <f>VLOOKUP('Customer Info'!E1848,'Customer Info'!E1848:E2347,1,0)</f>
        <v>#N/A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6</v>
      </c>
      <c r="R1856" s="2" t="s">
        <v>28</v>
      </c>
      <c r="S1856" s="9">
        <f t="shared" si="144"/>
        <v>0.02</v>
      </c>
    </row>
    <row r="1857" spans="1:19" x14ac:dyDescent="0.3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e">
        <f>VLOOKUP('Customer Info'!B1849,'Customer Info'!B1849:B2348,1,0)</f>
        <v>#N/A</v>
      </c>
      <c r="H1857" s="6" t="e">
        <f>VLOOKUP('Customer Info'!C1849,'Customer Info'!C1849:C2348,1)</f>
        <v>#N/A</v>
      </c>
      <c r="I1857" s="6" t="e">
        <f>VLOOKUP('Customer Info'!E1849,'Customer Info'!E1849:E2348,1,0)</f>
        <v>#N/A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169</v>
      </c>
      <c r="R1857" s="2" t="s">
        <v>28</v>
      </c>
      <c r="S1857" s="9">
        <f t="shared" si="144"/>
        <v>0.05</v>
      </c>
    </row>
    <row r="1858" spans="1:19" x14ac:dyDescent="0.3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e">
        <f>VLOOKUP('Customer Info'!B1850,'Customer Info'!B1850:B2349,1,0)</f>
        <v>#N/A</v>
      </c>
      <c r="H1858" s="6" t="e">
        <f>VLOOKUP('Customer Info'!C1850,'Customer Info'!C1850:C2349,1)</f>
        <v>#N/A</v>
      </c>
      <c r="I1858" s="6" t="e">
        <f>VLOOKUP('Customer Info'!E1850,'Customer Info'!E1850:E2349,1,0)</f>
        <v>#N/A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539</v>
      </c>
      <c r="R1858" s="2" t="s">
        <v>28</v>
      </c>
      <c r="S1858" s="9">
        <f t="shared" si="144"/>
        <v>0.05</v>
      </c>
    </row>
    <row r="1859" spans="1:19" x14ac:dyDescent="0.3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e">
        <f>VLOOKUP('Customer Info'!B1851,'Customer Info'!B1851:B2350,1,0)</f>
        <v>#N/A</v>
      </c>
      <c r="H1859" s="6" t="e">
        <f>VLOOKUP('Customer Info'!C1851,'Customer Info'!C1851:C2350,1)</f>
        <v>#N/A</v>
      </c>
      <c r="I1859" s="6" t="e">
        <f>VLOOKUP('Customer Info'!E1851,'Customer Info'!E1851:E2350,1,0)</f>
        <v>#N/A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18</v>
      </c>
      <c r="R1859" s="2" t="s">
        <v>28</v>
      </c>
      <c r="S1859" s="9">
        <f t="shared" si="144"/>
        <v>0.02</v>
      </c>
    </row>
    <row r="1860" spans="1:19" x14ac:dyDescent="0.3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e">
        <f>VLOOKUP('Customer Info'!B1852,'Customer Info'!B1852:B2351,1,0)</f>
        <v>#N/A</v>
      </c>
      <c r="H1860" s="6" t="e">
        <f>VLOOKUP('Customer Info'!C1852,'Customer Info'!C1852:C2351,1)</f>
        <v>#N/A</v>
      </c>
      <c r="I1860" s="6" t="e">
        <f>VLOOKUP('Customer Info'!E1852,'Customer Info'!E1852:E2351,1,0)</f>
        <v>#N/A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8</v>
      </c>
      <c r="R1860" s="2" t="s">
        <v>28</v>
      </c>
      <c r="S1860" s="9">
        <f t="shared" si="144"/>
        <v>0.02</v>
      </c>
    </row>
    <row r="1861" spans="1:19" x14ac:dyDescent="0.3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e">
        <f>VLOOKUP('Customer Info'!B1853,'Customer Info'!B1853:B2352,1,0)</f>
        <v>#N/A</v>
      </c>
      <c r="H1861" s="6" t="e">
        <f>VLOOKUP('Customer Info'!C1853,'Customer Info'!C1853:C2352,1)</f>
        <v>#N/A</v>
      </c>
      <c r="I1861" s="6" t="e">
        <f>VLOOKUP('Customer Info'!E1853,'Customer Info'!E1853:E2352,1,0)</f>
        <v>#N/A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637</v>
      </c>
      <c r="R1861" s="2" t="s">
        <v>28</v>
      </c>
      <c r="S1861" s="9">
        <f t="shared" si="144"/>
        <v>0.05</v>
      </c>
    </row>
    <row r="1862" spans="1:19" x14ac:dyDescent="0.3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e">
        <f>VLOOKUP('Customer Info'!B1854,'Customer Info'!B1854:B2353,1,0)</f>
        <v>#N/A</v>
      </c>
      <c r="H1862" s="6" t="e">
        <f>VLOOKUP('Customer Info'!C1854,'Customer Info'!C1854:C2353,1)</f>
        <v>#N/A</v>
      </c>
      <c r="I1862" s="6" t="e">
        <f>VLOOKUP('Customer Info'!E1854,'Customer Info'!E1854:E2353,1,0)</f>
        <v>#N/A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666</v>
      </c>
      <c r="R1862" s="2" t="s">
        <v>28</v>
      </c>
      <c r="S1862" s="9">
        <f t="shared" si="144"/>
        <v>0.05</v>
      </c>
    </row>
    <row r="1863" spans="1:19" x14ac:dyDescent="0.3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e">
        <f>VLOOKUP('Customer Info'!B1855,'Customer Info'!B1855:B2354,1,0)</f>
        <v>#N/A</v>
      </c>
      <c r="H1863" s="6" t="e">
        <f>VLOOKUP('Customer Info'!C1855,'Customer Info'!C1855:C2354,1)</f>
        <v>#N/A</v>
      </c>
      <c r="I1863" s="6" t="e">
        <f>VLOOKUP('Customer Info'!E1855,'Customer Info'!E1855:E2354,1,0)</f>
        <v>#N/A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454</v>
      </c>
      <c r="R1863" s="2" t="s">
        <v>50</v>
      </c>
      <c r="S1863" s="9">
        <f t="shared" si="144"/>
        <v>0.05</v>
      </c>
    </row>
    <row r="1864" spans="1:19" x14ac:dyDescent="0.3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e">
        <f>VLOOKUP('Customer Info'!B1856,'Customer Info'!B1856:B2355,1,0)</f>
        <v>#N/A</v>
      </c>
      <c r="H1864" s="6" t="e">
        <f>VLOOKUP('Customer Info'!C1856,'Customer Info'!C1856:C2355,1)</f>
        <v>#N/A</v>
      </c>
      <c r="I1864" s="6" t="e">
        <f>VLOOKUP('Customer Info'!E1856,'Customer Info'!E1856:E2355,1,0)</f>
        <v>#N/A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21</v>
      </c>
      <c r="R1864" s="2" t="s">
        <v>28</v>
      </c>
      <c r="S1864" s="9">
        <f t="shared" si="144"/>
        <v>0.02</v>
      </c>
    </row>
    <row r="1865" spans="1:19" x14ac:dyDescent="0.3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e">
        <f>VLOOKUP('Customer Info'!B1857,'Customer Info'!B1857:B2356,1,0)</f>
        <v>#N/A</v>
      </c>
      <c r="H1865" s="6" t="e">
        <f>VLOOKUP('Customer Info'!C1857,'Customer Info'!C1857:C2356,1)</f>
        <v>#N/A</v>
      </c>
      <c r="I1865" s="6" t="e">
        <f>VLOOKUP('Customer Info'!E1857,'Customer Info'!E1857:E2356,1,0)</f>
        <v>#N/A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184</v>
      </c>
      <c r="R1865" s="2" t="s">
        <v>28</v>
      </c>
      <c r="S1865" s="9">
        <f t="shared" si="144"/>
        <v>0.05</v>
      </c>
    </row>
    <row r="1866" spans="1:19" x14ac:dyDescent="0.3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e">
        <f>VLOOKUP('Customer Info'!B1858,'Customer Info'!B1858:B2357,1,0)</f>
        <v>#N/A</v>
      </c>
      <c r="H1866" s="6" t="e">
        <f>VLOOKUP('Customer Info'!C1858,'Customer Info'!C1858:C2357,1)</f>
        <v>#N/A</v>
      </c>
      <c r="I1866" s="6" t="e">
        <f>VLOOKUP('Customer Info'!E1858,'Customer Info'!E1858:E2357,1,0)</f>
        <v>#N/A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448</v>
      </c>
      <c r="R1866" s="2" t="s">
        <v>28</v>
      </c>
      <c r="S1866" s="9">
        <f t="shared" si="144"/>
        <v>0.02</v>
      </c>
    </row>
    <row r="1867" spans="1:19" x14ac:dyDescent="0.3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e">
        <f>VLOOKUP('Customer Info'!B1859,'Customer Info'!B1859:B2358,1,0)</f>
        <v>#N/A</v>
      </c>
      <c r="H1867" s="6" t="e">
        <f>VLOOKUP('Customer Info'!C1859,'Customer Info'!C1859:C2358,1)</f>
        <v>#N/A</v>
      </c>
      <c r="I1867" s="6" t="e">
        <f>VLOOKUP('Customer Info'!E1859,'Customer Info'!E1859:E2358,1,0)</f>
        <v>#N/A</v>
      </c>
      <c r="J1867" s="2">
        <v>25155</v>
      </c>
      <c r="K1867" s="2">
        <v>23753</v>
      </c>
      <c r="L1867" s="2">
        <v>3</v>
      </c>
      <c r="M1867" s="7">
        <f t="shared" ref="M1867:M1930" si="145">(K1867*L1867)</f>
        <v>71259</v>
      </c>
      <c r="N1867" s="7">
        <f t="shared" ref="N1867:N1930" si="146">(J1867*L1867)</f>
        <v>75465</v>
      </c>
      <c r="O1867" s="2">
        <v>36</v>
      </c>
      <c r="P1867" s="8">
        <f t="shared" ref="P1867:P1930" si="147">(N1867+O1867)</f>
        <v>75501</v>
      </c>
      <c r="Q1867" s="8">
        <f t="shared" ref="Q1867:Q1930" si="148">(N1867-M1867)</f>
        <v>4206</v>
      </c>
      <c r="R1867" s="2" t="s">
        <v>28</v>
      </c>
      <c r="S1867" s="9">
        <f t="shared" ref="S1867:S1930" si="149">_xlfn.IFS(P1867&gt;250000,0.15,P1867&gt;100000,0.12,P1867&gt;50000,0.09,P1867&gt;25000,0.07,P1867&gt;5000,0.05,
 TRUE,0.02)</f>
        <v>0.09</v>
      </c>
    </row>
    <row r="1868" spans="1:19" x14ac:dyDescent="0.3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e">
        <f>VLOOKUP('Customer Info'!B1860,'Customer Info'!B1860:B2359,1,0)</f>
        <v>#N/A</v>
      </c>
      <c r="H1868" s="6" t="e">
        <f>VLOOKUP('Customer Info'!C1860,'Customer Info'!C1860:C2359,1)</f>
        <v>#N/A</v>
      </c>
      <c r="I1868" s="6" t="e">
        <f>VLOOKUP('Customer Info'!E1860,'Customer Info'!E1860:E2359,1,0)</f>
        <v>#N/A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333</v>
      </c>
      <c r="R1868" s="2" t="s">
        <v>56</v>
      </c>
      <c r="S1868" s="9">
        <f t="shared" si="149"/>
        <v>0.05</v>
      </c>
    </row>
    <row r="1869" spans="1:19" x14ac:dyDescent="0.3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e">
        <f>VLOOKUP('Customer Info'!B1861,'Customer Info'!B1861:B2360,1,0)</f>
        <v>#N/A</v>
      </c>
      <c r="H1869" s="6" t="e">
        <f>VLOOKUP('Customer Info'!C1861,'Customer Info'!C1861:C2360,1)</f>
        <v>#N/A</v>
      </c>
      <c r="I1869" s="6" t="e">
        <f>VLOOKUP('Customer Info'!E1861,'Customer Info'!E1861:E2360,1,0)</f>
        <v>#N/A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17</v>
      </c>
      <c r="R1869" s="2" t="s">
        <v>28</v>
      </c>
      <c r="S1869" s="9">
        <f t="shared" si="149"/>
        <v>0.02</v>
      </c>
    </row>
    <row r="1870" spans="1:19" x14ac:dyDescent="0.3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e">
        <f>VLOOKUP('Customer Info'!B1862,'Customer Info'!B1862:B2361,1,0)</f>
        <v>#N/A</v>
      </c>
      <c r="H1870" s="6" t="e">
        <f>VLOOKUP('Customer Info'!C1862,'Customer Info'!C1862:C2361,1)</f>
        <v>#N/A</v>
      </c>
      <c r="I1870" s="6" t="e">
        <f>VLOOKUP('Customer Info'!E1862,'Customer Info'!E1862:E2361,1,0)</f>
        <v>#N/A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1434</v>
      </c>
      <c r="R1870" s="2" t="s">
        <v>26</v>
      </c>
      <c r="S1870" s="9">
        <f t="shared" si="149"/>
        <v>0.05</v>
      </c>
    </row>
    <row r="1871" spans="1:19" x14ac:dyDescent="0.3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e">
        <f>VLOOKUP('Customer Info'!B1863,'Customer Info'!B1863:B2362,1,0)</f>
        <v>#N/A</v>
      </c>
      <c r="H1871" s="6" t="e">
        <f>VLOOKUP('Customer Info'!C1863,'Customer Info'!C1863:C2362,1)</f>
        <v>#N/A</v>
      </c>
      <c r="I1871" s="6" t="e">
        <f>VLOOKUP('Customer Info'!E1863,'Customer Info'!E1863:E2362,1,0)</f>
        <v>#N/A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117</v>
      </c>
      <c r="R1871" s="2" t="s">
        <v>28</v>
      </c>
      <c r="S1871" s="9">
        <f t="shared" si="149"/>
        <v>0.02</v>
      </c>
    </row>
    <row r="1872" spans="1:19" x14ac:dyDescent="0.3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e">
        <f>VLOOKUP('Customer Info'!B1864,'Customer Info'!B1864:B2363,1,0)</f>
        <v>#N/A</v>
      </c>
      <c r="H1872" s="6" t="e">
        <f>VLOOKUP('Customer Info'!C1864,'Customer Info'!C1864:C2363,1)</f>
        <v>#N/A</v>
      </c>
      <c r="I1872" s="6" t="e">
        <f>VLOOKUP('Customer Info'!E1864,'Customer Info'!E1864:E2363,1,0)</f>
        <v>#N/A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234</v>
      </c>
      <c r="R1872" s="2" t="s">
        <v>50</v>
      </c>
      <c r="S1872" s="9">
        <f t="shared" si="149"/>
        <v>0.02</v>
      </c>
    </row>
    <row r="1873" spans="1:19" x14ac:dyDescent="0.3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e">
        <f>VLOOKUP('Customer Info'!B1865,'Customer Info'!B1865:B2364,1,0)</f>
        <v>#N/A</v>
      </c>
      <c r="H1873" s="6" t="e">
        <f>VLOOKUP('Customer Info'!C1865,'Customer Info'!C1865:C2364,1)</f>
        <v>#N/A</v>
      </c>
      <c r="I1873" s="6" t="e">
        <f>VLOOKUP('Customer Info'!E1865,'Customer Info'!E1865:E2364,1,0)</f>
        <v>#N/A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402</v>
      </c>
      <c r="R1873" s="2" t="s">
        <v>26</v>
      </c>
      <c r="S1873" s="9">
        <f t="shared" si="149"/>
        <v>0.05</v>
      </c>
    </row>
    <row r="1874" spans="1:19" x14ac:dyDescent="0.3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e">
        <f>VLOOKUP('Customer Info'!B1866,'Customer Info'!B1866:B2365,1,0)</f>
        <v>#N/A</v>
      </c>
      <c r="H1874" s="6" t="e">
        <f>VLOOKUP('Customer Info'!C1866,'Customer Info'!C1866:C2365,1)</f>
        <v>#N/A</v>
      </c>
      <c r="I1874" s="6" t="e">
        <f>VLOOKUP('Customer Info'!E1866,'Customer Info'!E1866:E2365,1,0)</f>
        <v>#N/A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310</v>
      </c>
      <c r="R1874" s="2" t="s">
        <v>50</v>
      </c>
      <c r="S1874" s="9">
        <f t="shared" si="149"/>
        <v>0.05</v>
      </c>
    </row>
    <row r="1875" spans="1:19" x14ac:dyDescent="0.3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e">
        <f>VLOOKUP('Customer Info'!B1867,'Customer Info'!B1867:B2366,1,0)</f>
        <v>#N/A</v>
      </c>
      <c r="H1875" s="6" t="e">
        <f>VLOOKUP('Customer Info'!C1867,'Customer Info'!C1867:C2366,1)</f>
        <v>#N/A</v>
      </c>
      <c r="I1875" s="6" t="e">
        <f>VLOOKUP('Customer Info'!E1867,'Customer Info'!E1867:E2366,1,0)</f>
        <v>#N/A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182</v>
      </c>
      <c r="R1875" s="2" t="s">
        <v>28</v>
      </c>
      <c r="S1875" s="9">
        <f t="shared" si="149"/>
        <v>0.02</v>
      </c>
    </row>
    <row r="1876" spans="1:19" x14ac:dyDescent="0.3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e">
        <f>VLOOKUP('Customer Info'!B1868,'Customer Info'!B1868:B2367,1,0)</f>
        <v>#N/A</v>
      </c>
      <c r="H1876" s="6" t="e">
        <f>VLOOKUP('Customer Info'!C1868,'Customer Info'!C1868:C2367,1)</f>
        <v>#N/A</v>
      </c>
      <c r="I1876" s="6" t="e">
        <f>VLOOKUP('Customer Info'!E1868,'Customer Info'!E1868:E2367,1,0)</f>
        <v>#N/A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4276</v>
      </c>
      <c r="R1876" s="2" t="s">
        <v>28</v>
      </c>
      <c r="S1876" s="9">
        <f t="shared" si="149"/>
        <v>0.09</v>
      </c>
    </row>
    <row r="1877" spans="1:19" x14ac:dyDescent="0.3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e">
        <f>VLOOKUP('Customer Info'!B1869,'Customer Info'!B1869:B2368,1,0)</f>
        <v>#N/A</v>
      </c>
      <c r="H1877" s="6" t="e">
        <f>VLOOKUP('Customer Info'!C1869,'Customer Info'!C1869:C2368,1)</f>
        <v>#N/A</v>
      </c>
      <c r="I1877" s="6" t="e">
        <f>VLOOKUP('Customer Info'!E1869,'Customer Info'!E1869:E2368,1,0)</f>
        <v>#N/A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88</v>
      </c>
      <c r="R1877" s="2" t="s">
        <v>50</v>
      </c>
      <c r="S1877" s="9">
        <f t="shared" si="149"/>
        <v>0.02</v>
      </c>
    </row>
    <row r="1878" spans="1:19" x14ac:dyDescent="0.3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e">
        <f>VLOOKUP('Customer Info'!B1870,'Customer Info'!B1870:B2369,1,0)</f>
        <v>#N/A</v>
      </c>
      <c r="H1878" s="6" t="e">
        <f>VLOOKUP('Customer Info'!C1870,'Customer Info'!C1870:C2369,1)</f>
        <v>#N/A</v>
      </c>
      <c r="I1878" s="6" t="e">
        <f>VLOOKUP('Customer Info'!E1870,'Customer Info'!E1870:E2369,1,0)</f>
        <v>#N/A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264</v>
      </c>
      <c r="R1878" s="2" t="s">
        <v>28</v>
      </c>
      <c r="S1878" s="9">
        <f t="shared" si="149"/>
        <v>0.02</v>
      </c>
    </row>
    <row r="1879" spans="1:19" x14ac:dyDescent="0.3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e">
        <f>VLOOKUP('Customer Info'!B1871,'Customer Info'!B1871:B2370,1,0)</f>
        <v>#N/A</v>
      </c>
      <c r="H1879" s="6" t="e">
        <f>VLOOKUP('Customer Info'!C1871,'Customer Info'!C1871:C2370,1)</f>
        <v>#N/A</v>
      </c>
      <c r="I1879" s="6" t="e">
        <f>VLOOKUP('Customer Info'!E1871,'Customer Info'!E1871:E2370,1,0)</f>
        <v>#N/A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396</v>
      </c>
      <c r="R1879" s="2" t="s">
        <v>50</v>
      </c>
      <c r="S1879" s="9">
        <f t="shared" si="149"/>
        <v>0.05</v>
      </c>
    </row>
    <row r="1880" spans="1:19" x14ac:dyDescent="0.3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e">
        <f>VLOOKUP('Customer Info'!B1872,'Customer Info'!B1872:B2371,1,0)</f>
        <v>#N/A</v>
      </c>
      <c r="H1880" s="6" t="e">
        <f>VLOOKUP('Customer Info'!C1872,'Customer Info'!C1872:C2371,1)</f>
        <v>#N/A</v>
      </c>
      <c r="I1880" s="6" t="e">
        <f>VLOOKUP('Customer Info'!E1872,'Customer Info'!E1872:E2371,1,0)</f>
        <v>#N/A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504</v>
      </c>
      <c r="R1880" s="2" t="s">
        <v>28</v>
      </c>
      <c r="S1880" s="9">
        <f t="shared" si="149"/>
        <v>0.05</v>
      </c>
    </row>
    <row r="1881" spans="1:19" x14ac:dyDescent="0.3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e">
        <f>VLOOKUP('Customer Info'!B1873,'Customer Info'!B1873:B2372,1,0)</f>
        <v>#N/A</v>
      </c>
      <c r="H1881" s="6" t="e">
        <f>VLOOKUP('Customer Info'!C1873,'Customer Info'!C1873:C2372,1)</f>
        <v>#N/A</v>
      </c>
      <c r="I1881" s="6" t="e">
        <f>VLOOKUP('Customer Info'!E1873,'Customer Info'!E1873:E2372,1,0)</f>
        <v>#N/A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184</v>
      </c>
      <c r="R1881" s="2" t="s">
        <v>28</v>
      </c>
      <c r="S1881" s="9">
        <f t="shared" si="149"/>
        <v>0.02</v>
      </c>
    </row>
    <row r="1882" spans="1:19" x14ac:dyDescent="0.3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e">
        <f>VLOOKUP('Customer Info'!B1874,'Customer Info'!B1874:B2373,1,0)</f>
        <v>#N/A</v>
      </c>
      <c r="H1882" s="6" t="e">
        <f>VLOOKUP('Customer Info'!C1874,'Customer Info'!C1874:C2373,1)</f>
        <v>#N/A</v>
      </c>
      <c r="I1882" s="6" t="e">
        <f>VLOOKUP('Customer Info'!E1874,'Customer Info'!E1874:E2373,1,0)</f>
        <v>#N/A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175</v>
      </c>
      <c r="R1882" s="2" t="s">
        <v>28</v>
      </c>
      <c r="S1882" s="9">
        <f t="shared" si="149"/>
        <v>0.02</v>
      </c>
    </row>
    <row r="1883" spans="1:19" x14ac:dyDescent="0.3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e">
        <f>VLOOKUP('Customer Info'!B1875,'Customer Info'!B1875:B2374,1,0)</f>
        <v>#N/A</v>
      </c>
      <c r="H1883" s="6" t="e">
        <f>VLOOKUP('Customer Info'!C1875,'Customer Info'!C1875:C2374,1)</f>
        <v>#N/A</v>
      </c>
      <c r="I1883" s="6" t="e">
        <f>VLOOKUP('Customer Info'!E1875,'Customer Info'!E1875:E2374,1,0)</f>
        <v>#N/A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559</v>
      </c>
      <c r="R1883" s="2" t="s">
        <v>28</v>
      </c>
      <c r="S1883" s="9">
        <f t="shared" si="149"/>
        <v>0.05</v>
      </c>
    </row>
    <row r="1884" spans="1:19" x14ac:dyDescent="0.3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e">
        <f>VLOOKUP('Customer Info'!B1876,'Customer Info'!B1876:B2375,1,0)</f>
        <v>#N/A</v>
      </c>
      <c r="H1884" s="6" t="e">
        <f>VLOOKUP('Customer Info'!C1876,'Customer Info'!C1876:C2375,1)</f>
        <v>#N/A</v>
      </c>
      <c r="I1884" s="6" t="e">
        <f>VLOOKUP('Customer Info'!E1876,'Customer Info'!E1876:E2375,1,0)</f>
        <v>#N/A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948</v>
      </c>
      <c r="R1884" s="2" t="s">
        <v>28</v>
      </c>
      <c r="S1884" s="9">
        <f t="shared" si="149"/>
        <v>0.05</v>
      </c>
    </row>
    <row r="1885" spans="1:19" x14ac:dyDescent="0.3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e">
        <f>VLOOKUP('Customer Info'!B1877,'Customer Info'!B1877:B2376,1,0)</f>
        <v>#N/A</v>
      </c>
      <c r="H1885" s="6" t="e">
        <f>VLOOKUP('Customer Info'!C1877,'Customer Info'!C1877:C2376,1)</f>
        <v>#N/A</v>
      </c>
      <c r="I1885" s="6" t="e">
        <f>VLOOKUP('Customer Info'!E1877,'Customer Info'!E1877:E2376,1,0)</f>
        <v>#N/A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650</v>
      </c>
      <c r="R1885" s="2" t="s">
        <v>28</v>
      </c>
      <c r="S1885" s="9">
        <f t="shared" si="149"/>
        <v>0.05</v>
      </c>
    </row>
    <row r="1886" spans="1:19" x14ac:dyDescent="0.3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e">
        <f>VLOOKUP('Customer Info'!B1878,'Customer Info'!B1878:B2377,1,0)</f>
        <v>#N/A</v>
      </c>
      <c r="H1886" s="6" t="e">
        <f>VLOOKUP('Customer Info'!C1878,'Customer Info'!C1878:C2377,1)</f>
        <v>#N/A</v>
      </c>
      <c r="I1886" s="6" t="e">
        <f>VLOOKUP('Customer Info'!E1878,'Customer Info'!E1878:E2377,1,0)</f>
        <v>#N/A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665</v>
      </c>
      <c r="R1886" s="2" t="s">
        <v>28</v>
      </c>
      <c r="S1886" s="9">
        <f t="shared" si="149"/>
        <v>0.05</v>
      </c>
    </row>
    <row r="1887" spans="1:19" x14ac:dyDescent="0.3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e">
        <f>VLOOKUP('Customer Info'!B1879,'Customer Info'!B1879:B2378,1,0)</f>
        <v>#N/A</v>
      </c>
      <c r="H1887" s="6" t="e">
        <f>VLOOKUP('Customer Info'!C1879,'Customer Info'!C1879:C2378,1)</f>
        <v>#N/A</v>
      </c>
      <c r="I1887" s="6" t="e">
        <f>VLOOKUP('Customer Info'!E1879,'Customer Info'!E1879:E2378,1,0)</f>
        <v>#N/A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129</v>
      </c>
      <c r="R1887" s="2" t="s">
        <v>28</v>
      </c>
      <c r="S1887" s="9">
        <f t="shared" si="149"/>
        <v>0.05</v>
      </c>
    </row>
    <row r="1888" spans="1:19" x14ac:dyDescent="0.3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e">
        <f>VLOOKUP('Customer Info'!B1880,'Customer Info'!B1880:B2379,1,0)</f>
        <v>#N/A</v>
      </c>
      <c r="H1888" s="6" t="e">
        <f>VLOOKUP('Customer Info'!C1880,'Customer Info'!C1880:C2379,1)</f>
        <v>#N/A</v>
      </c>
      <c r="I1888" s="6" t="e">
        <f>VLOOKUP('Customer Info'!E1880,'Customer Info'!E1880:E2379,1,0)</f>
        <v>#N/A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90</v>
      </c>
      <c r="R1888" s="2" t="s">
        <v>50</v>
      </c>
      <c r="S1888" s="9">
        <f t="shared" si="149"/>
        <v>0.02</v>
      </c>
    </row>
    <row r="1889" spans="1:19" x14ac:dyDescent="0.3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e">
        <f>VLOOKUP('Customer Info'!B1881,'Customer Info'!B1881:B2380,1,0)</f>
        <v>#N/A</v>
      </c>
      <c r="H1889" s="6" t="e">
        <f>VLOOKUP('Customer Info'!C1881,'Customer Info'!C1881:C2380,1)</f>
        <v>#N/A</v>
      </c>
      <c r="I1889" s="6" t="e">
        <f>VLOOKUP('Customer Info'!E1881,'Customer Info'!E1881:E2380,1,0)</f>
        <v>#N/A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90</v>
      </c>
      <c r="R1889" s="2" t="s">
        <v>28</v>
      </c>
      <c r="S1889" s="9">
        <f t="shared" si="149"/>
        <v>0.02</v>
      </c>
    </row>
    <row r="1890" spans="1:19" x14ac:dyDescent="0.3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e">
        <f>VLOOKUP('Customer Info'!B1882,'Customer Info'!B1882:B2381,1,0)</f>
        <v>#N/A</v>
      </c>
      <c r="H1890" s="6" t="e">
        <f>VLOOKUP('Customer Info'!C1882,'Customer Info'!C1882:C2381,1)</f>
        <v>#N/A</v>
      </c>
      <c r="I1890" s="6" t="e">
        <f>VLOOKUP('Customer Info'!E1882,'Customer Info'!E1882:E2381,1,0)</f>
        <v>#N/A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444</v>
      </c>
      <c r="R1890" s="2" t="s">
        <v>28</v>
      </c>
      <c r="S1890" s="9">
        <f t="shared" si="149"/>
        <v>0.05</v>
      </c>
    </row>
    <row r="1891" spans="1:19" x14ac:dyDescent="0.3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e">
        <f>VLOOKUP('Customer Info'!B1883,'Customer Info'!B1883:B2382,1,0)</f>
        <v>#N/A</v>
      </c>
      <c r="H1891" s="6" t="e">
        <f>VLOOKUP('Customer Info'!C1883,'Customer Info'!C1883:C2382,1)</f>
        <v>#N/A</v>
      </c>
      <c r="I1891" s="6" t="e">
        <f>VLOOKUP('Customer Info'!E1883,'Customer Info'!E1883:E2382,1,0)</f>
        <v>#N/A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1060</v>
      </c>
      <c r="R1891" s="2" t="s">
        <v>50</v>
      </c>
      <c r="S1891" s="9">
        <f t="shared" si="149"/>
        <v>0.05</v>
      </c>
    </row>
    <row r="1892" spans="1:19" x14ac:dyDescent="0.3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e">
        <f>VLOOKUP('Customer Info'!B1884,'Customer Info'!B1884:B2383,1,0)</f>
        <v>#N/A</v>
      </c>
      <c r="H1892" s="6" t="e">
        <f>VLOOKUP('Customer Info'!C1884,'Customer Info'!C1884:C2383,1)</f>
        <v>#N/A</v>
      </c>
      <c r="I1892" s="6" t="e">
        <f>VLOOKUP('Customer Info'!E1884,'Customer Info'!E1884:E2383,1,0)</f>
        <v>#N/A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92</v>
      </c>
      <c r="R1892" s="2" t="s">
        <v>50</v>
      </c>
      <c r="S1892" s="9">
        <f t="shared" si="149"/>
        <v>0.02</v>
      </c>
    </row>
    <row r="1893" spans="1:19" x14ac:dyDescent="0.3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e">
        <f>VLOOKUP('Customer Info'!B1885,'Customer Info'!B1885:B2384,1,0)</f>
        <v>#N/A</v>
      </c>
      <c r="H1893" s="6" t="e">
        <f>VLOOKUP('Customer Info'!C1885,'Customer Info'!C1885:C2384,1)</f>
        <v>#N/A</v>
      </c>
      <c r="I1893" s="6" t="e">
        <f>VLOOKUP('Customer Info'!E1885,'Customer Info'!E1885:E2384,1,0)</f>
        <v>#N/A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39</v>
      </c>
      <c r="R1893" s="2" t="s">
        <v>28</v>
      </c>
      <c r="S1893" s="9">
        <f t="shared" si="149"/>
        <v>0.02</v>
      </c>
    </row>
    <row r="1894" spans="1:19" x14ac:dyDescent="0.3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e">
        <f>VLOOKUP('Customer Info'!B1886,'Customer Info'!B1886:B2385,1,0)</f>
        <v>#N/A</v>
      </c>
      <c r="H1894" s="6" t="e">
        <f>VLOOKUP('Customer Info'!C1886,'Customer Info'!C1886:C2385,1)</f>
        <v>#N/A</v>
      </c>
      <c r="I1894" s="6" t="e">
        <f>VLOOKUP('Customer Info'!E1886,'Customer Info'!E1886:E2385,1,0)</f>
        <v>#N/A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40</v>
      </c>
      <c r="R1894" s="2" t="s">
        <v>26</v>
      </c>
      <c r="S1894" s="9">
        <f t="shared" si="149"/>
        <v>0.02</v>
      </c>
    </row>
    <row r="1895" spans="1:19" x14ac:dyDescent="0.3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e">
        <f>VLOOKUP('Customer Info'!B1887,'Customer Info'!B1887:B2386,1,0)</f>
        <v>#N/A</v>
      </c>
      <c r="H1895" s="6" t="e">
        <f>VLOOKUP('Customer Info'!C1887,'Customer Info'!C1887:C2386,1)</f>
        <v>#N/A</v>
      </c>
      <c r="I1895" s="6" t="e">
        <f>VLOOKUP('Customer Info'!E1887,'Customer Info'!E1887:E2386,1,0)</f>
        <v>#N/A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60</v>
      </c>
      <c r="R1895" s="2" t="s">
        <v>28</v>
      </c>
      <c r="S1895" s="9">
        <f t="shared" si="149"/>
        <v>0.02</v>
      </c>
    </row>
    <row r="1896" spans="1:19" x14ac:dyDescent="0.3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e">
        <f>VLOOKUP('Customer Info'!B1888,'Customer Info'!B1888:B2387,1,0)</f>
        <v>#N/A</v>
      </c>
      <c r="H1896" s="6" t="e">
        <f>VLOOKUP('Customer Info'!C1888,'Customer Info'!C1888:C2387,1)</f>
        <v>#N/A</v>
      </c>
      <c r="I1896" s="6" t="e">
        <f>VLOOKUP('Customer Info'!E1888,'Customer Info'!E1888:E2387,1,0)</f>
        <v>#N/A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12</v>
      </c>
      <c r="R1896" s="2" t="s">
        <v>56</v>
      </c>
      <c r="S1896" s="9">
        <f t="shared" si="149"/>
        <v>0.02</v>
      </c>
    </row>
    <row r="1897" spans="1:19" x14ac:dyDescent="0.3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e">
        <f>VLOOKUP('Customer Info'!B1889,'Customer Info'!B1889:B2388,1,0)</f>
        <v>#N/A</v>
      </c>
      <c r="H1897" s="6" t="e">
        <f>VLOOKUP('Customer Info'!C1889,'Customer Info'!C1889:C2388,1)</f>
        <v>#N/A</v>
      </c>
      <c r="I1897" s="6" t="e">
        <f>VLOOKUP('Customer Info'!E1889,'Customer Info'!E1889:E2388,1,0)</f>
        <v>#N/A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320</v>
      </c>
      <c r="R1897" s="2" t="s">
        <v>28</v>
      </c>
      <c r="S1897" s="9">
        <f t="shared" si="149"/>
        <v>0.05</v>
      </c>
    </row>
    <row r="1898" spans="1:19" x14ac:dyDescent="0.3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e">
        <f>VLOOKUP('Customer Info'!B1890,'Customer Info'!B1890:B2389,1,0)</f>
        <v>#N/A</v>
      </c>
      <c r="H1898" s="6" t="e">
        <f>VLOOKUP('Customer Info'!C1890,'Customer Info'!C1890:C2389,1)</f>
        <v>#N/A</v>
      </c>
      <c r="I1898" s="6" t="e">
        <f>VLOOKUP('Customer Info'!E1890,'Customer Info'!E1890:E2389,1,0)</f>
        <v>#N/A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15</v>
      </c>
      <c r="R1898" s="2" t="s">
        <v>50</v>
      </c>
      <c r="S1898" s="9">
        <f t="shared" si="149"/>
        <v>0.02</v>
      </c>
    </row>
    <row r="1899" spans="1:19" x14ac:dyDescent="0.3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e">
        <f>VLOOKUP('Customer Info'!B1891,'Customer Info'!B1891:B2390,1,0)</f>
        <v>#N/A</v>
      </c>
      <c r="H1899" s="6" t="e">
        <f>VLOOKUP('Customer Info'!C1891,'Customer Info'!C1891:C2390,1)</f>
        <v>#N/A</v>
      </c>
      <c r="I1899" s="6" t="e">
        <f>VLOOKUP('Customer Info'!E1891,'Customer Info'!E1891:E2390,1,0)</f>
        <v>#N/A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428</v>
      </c>
      <c r="R1899" s="2" t="s">
        <v>28</v>
      </c>
      <c r="S1899" s="9">
        <f t="shared" si="149"/>
        <v>0.05</v>
      </c>
    </row>
    <row r="1900" spans="1:19" x14ac:dyDescent="0.3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e">
        <f>VLOOKUP('Customer Info'!B1892,'Customer Info'!B1892:B2391,1,0)</f>
        <v>#N/A</v>
      </c>
      <c r="H1900" s="6" t="e">
        <f>VLOOKUP('Customer Info'!C1892,'Customer Info'!C1892:C2391,1)</f>
        <v>#N/A</v>
      </c>
      <c r="I1900" s="6" t="e">
        <f>VLOOKUP('Customer Info'!E1892,'Customer Info'!E1892:E2391,1,0)</f>
        <v>#N/A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13</v>
      </c>
      <c r="R1900" s="2" t="s">
        <v>28</v>
      </c>
      <c r="S1900" s="9">
        <f t="shared" si="149"/>
        <v>0.02</v>
      </c>
    </row>
    <row r="1901" spans="1:19" x14ac:dyDescent="0.3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e">
        <f>VLOOKUP('Customer Info'!B1893,'Customer Info'!B1893:B2392,1,0)</f>
        <v>#N/A</v>
      </c>
      <c r="H1901" s="6" t="e">
        <f>VLOOKUP('Customer Info'!C1893,'Customer Info'!C1893:C2392,1)</f>
        <v>#N/A</v>
      </c>
      <c r="I1901" s="6" t="e">
        <f>VLOOKUP('Customer Info'!E1893,'Customer Info'!E1893:E2392,1,0)</f>
        <v>#N/A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170</v>
      </c>
      <c r="R1901" s="2" t="s">
        <v>28</v>
      </c>
      <c r="S1901" s="9">
        <f t="shared" si="149"/>
        <v>0.02</v>
      </c>
    </row>
    <row r="1902" spans="1:19" x14ac:dyDescent="0.3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e">
        <f>VLOOKUP('Customer Info'!B1894,'Customer Info'!B1894:B2393,1,0)</f>
        <v>#N/A</v>
      </c>
      <c r="H1902" s="6" t="e">
        <f>VLOOKUP('Customer Info'!C1894,'Customer Info'!C1894:C2393,1)</f>
        <v>#N/A</v>
      </c>
      <c r="I1902" s="6" t="e">
        <f>VLOOKUP('Customer Info'!E1894,'Customer Info'!E1894:E2393,1,0)</f>
        <v>#N/A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2432</v>
      </c>
      <c r="R1902" s="2" t="s">
        <v>50</v>
      </c>
      <c r="S1902" s="9">
        <f t="shared" si="149"/>
        <v>7.0000000000000007E-2</v>
      </c>
    </row>
    <row r="1903" spans="1:19" x14ac:dyDescent="0.3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e">
        <f>VLOOKUP('Customer Info'!B1895,'Customer Info'!B1895:B2394,1,0)</f>
        <v>#N/A</v>
      </c>
      <c r="H1903" s="6" t="e">
        <f>VLOOKUP('Customer Info'!C1895,'Customer Info'!C1895:C2394,1)</f>
        <v>#N/A</v>
      </c>
      <c r="I1903" s="6" t="e">
        <f>VLOOKUP('Customer Info'!E1895,'Customer Info'!E1895:E2394,1,0)</f>
        <v>#N/A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48</v>
      </c>
      <c r="R1903" s="2" t="s">
        <v>28</v>
      </c>
      <c r="S1903" s="9">
        <f t="shared" si="149"/>
        <v>0.02</v>
      </c>
    </row>
    <row r="1904" spans="1:19" x14ac:dyDescent="0.3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e">
        <f>VLOOKUP('Customer Info'!B1896,'Customer Info'!B1896:B2395,1,0)</f>
        <v>#N/A</v>
      </c>
      <c r="H1904" s="6" t="e">
        <f>VLOOKUP('Customer Info'!C1896,'Customer Info'!C1896:C2395,1)</f>
        <v>#N/A</v>
      </c>
      <c r="I1904" s="6" t="e">
        <f>VLOOKUP('Customer Info'!E1896,'Customer Info'!E1896:E2395,1,0)</f>
        <v>#N/A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381</v>
      </c>
      <c r="R1904" s="2" t="s">
        <v>28</v>
      </c>
      <c r="S1904" s="9">
        <f t="shared" si="149"/>
        <v>0.02</v>
      </c>
    </row>
    <row r="1905" spans="1:19" x14ac:dyDescent="0.3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e">
        <f>VLOOKUP('Customer Info'!B1897,'Customer Info'!B1897:B2396,1,0)</f>
        <v>#N/A</v>
      </c>
      <c r="H1905" s="6" t="e">
        <f>VLOOKUP('Customer Info'!C1897,'Customer Info'!C1897:C2396,1)</f>
        <v>#N/A</v>
      </c>
      <c r="I1905" s="6" t="e">
        <f>VLOOKUP('Customer Info'!E1897,'Customer Info'!E1897:E2396,1,0)</f>
        <v>#N/A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64</v>
      </c>
      <c r="R1905" s="2" t="s">
        <v>26</v>
      </c>
      <c r="S1905" s="9">
        <f t="shared" si="149"/>
        <v>0.02</v>
      </c>
    </row>
    <row r="1906" spans="1:19" x14ac:dyDescent="0.3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e">
        <f>VLOOKUP('Customer Info'!B1898,'Customer Info'!B1898:B2397,1,0)</f>
        <v>#N/A</v>
      </c>
      <c r="H1906" s="6" t="e">
        <f>VLOOKUP('Customer Info'!C1898,'Customer Info'!C1898:C2397,1)</f>
        <v>#N/A</v>
      </c>
      <c r="I1906" s="6" t="e">
        <f>VLOOKUP('Customer Info'!E1898,'Customer Info'!E1898:E2397,1,0)</f>
        <v>#N/A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4150</v>
      </c>
      <c r="R1906" s="2" t="s">
        <v>28</v>
      </c>
      <c r="S1906" s="9">
        <f t="shared" si="149"/>
        <v>0.09</v>
      </c>
    </row>
    <row r="1907" spans="1:19" x14ac:dyDescent="0.3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e">
        <f>VLOOKUP('Customer Info'!B1899,'Customer Info'!B1899:B2398,1,0)</f>
        <v>#N/A</v>
      </c>
      <c r="H1907" s="6" t="e">
        <f>VLOOKUP('Customer Info'!C1899,'Customer Info'!C1899:C2398,1)</f>
        <v>#N/A</v>
      </c>
      <c r="I1907" s="6" t="e">
        <f>VLOOKUP('Customer Info'!E1899,'Customer Info'!E1899:E2398,1,0)</f>
        <v>#N/A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708</v>
      </c>
      <c r="R1907" s="2" t="s">
        <v>50</v>
      </c>
      <c r="S1907" s="9">
        <f t="shared" si="149"/>
        <v>0.05</v>
      </c>
    </row>
    <row r="1908" spans="1:19" x14ac:dyDescent="0.3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e">
        <f>VLOOKUP('Customer Info'!B1900,'Customer Info'!B1900:B2399,1,0)</f>
        <v>#N/A</v>
      </c>
      <c r="H1908" s="6" t="e">
        <f>VLOOKUP('Customer Info'!C1900,'Customer Info'!C1900:C2399,1)</f>
        <v>#N/A</v>
      </c>
      <c r="I1908" s="6" t="e">
        <f>VLOOKUP('Customer Info'!E1900,'Customer Info'!E1900:E2399,1,0)</f>
        <v>#N/A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93</v>
      </c>
      <c r="R1908" s="2" t="s">
        <v>28</v>
      </c>
      <c r="S1908" s="9">
        <f t="shared" si="149"/>
        <v>0.02</v>
      </c>
    </row>
    <row r="1909" spans="1:19" x14ac:dyDescent="0.3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e">
        <f>VLOOKUP('Customer Info'!B1901,'Customer Info'!B1901:B2400,1,0)</f>
        <v>#N/A</v>
      </c>
      <c r="H1909" s="6" t="e">
        <f>VLOOKUP('Customer Info'!C1901,'Customer Info'!C1901:C2400,1)</f>
        <v>#N/A</v>
      </c>
      <c r="I1909" s="6" t="e">
        <f>VLOOKUP('Customer Info'!E1901,'Customer Info'!E1901:E2400,1,0)</f>
        <v>#N/A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99</v>
      </c>
      <c r="R1909" s="2" t="s">
        <v>28</v>
      </c>
      <c r="S1909" s="9">
        <f t="shared" si="149"/>
        <v>0.02</v>
      </c>
    </row>
    <row r="1910" spans="1:19" x14ac:dyDescent="0.3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e">
        <f>VLOOKUP('Customer Info'!B1902,'Customer Info'!B1902:B2401,1,0)</f>
        <v>#N/A</v>
      </c>
      <c r="H1910" s="6" t="e">
        <f>VLOOKUP('Customer Info'!C1902,'Customer Info'!C1902:C2401,1)</f>
        <v>#N/A</v>
      </c>
      <c r="I1910" s="6" t="e">
        <f>VLOOKUP('Customer Info'!E1902,'Customer Info'!E1902:E2401,1,0)</f>
        <v>#N/A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832</v>
      </c>
      <c r="R1910" s="2" t="s">
        <v>28</v>
      </c>
      <c r="S1910" s="9">
        <f t="shared" si="149"/>
        <v>0.05</v>
      </c>
    </row>
    <row r="1911" spans="1:19" x14ac:dyDescent="0.3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e">
        <f>VLOOKUP('Customer Info'!B1903,'Customer Info'!B1903:B2402,1,0)</f>
        <v>#N/A</v>
      </c>
      <c r="H1911" s="6" t="e">
        <f>VLOOKUP('Customer Info'!C1903,'Customer Info'!C1903:C2402,1)</f>
        <v>#N/A</v>
      </c>
      <c r="I1911" s="6" t="e">
        <f>VLOOKUP('Customer Info'!E1903,'Customer Info'!E1903:E2402,1,0)</f>
        <v>#N/A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18</v>
      </c>
      <c r="R1911" s="2" t="s">
        <v>28</v>
      </c>
      <c r="S1911" s="9">
        <f t="shared" si="149"/>
        <v>0.02</v>
      </c>
    </row>
    <row r="1912" spans="1:19" x14ac:dyDescent="0.3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e">
        <f>VLOOKUP('Customer Info'!B1904,'Customer Info'!B1904:B2403,1,0)</f>
        <v>#N/A</v>
      </c>
      <c r="H1912" s="6" t="e">
        <f>VLOOKUP('Customer Info'!C1904,'Customer Info'!C1904:C2403,1)</f>
        <v>#N/A</v>
      </c>
      <c r="I1912" s="6" t="e">
        <f>VLOOKUP('Customer Info'!E1904,'Customer Info'!E1904:E2403,1,0)</f>
        <v>#N/A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336</v>
      </c>
      <c r="R1912" s="2" t="s">
        <v>26</v>
      </c>
      <c r="S1912" s="9">
        <f t="shared" si="149"/>
        <v>0.05</v>
      </c>
    </row>
    <row r="1913" spans="1:19" x14ac:dyDescent="0.3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e">
        <f>VLOOKUP('Customer Info'!B1905,'Customer Info'!B1905:B2404,1,0)</f>
        <v>#N/A</v>
      </c>
      <c r="H1913" s="6" t="e">
        <f>VLOOKUP('Customer Info'!C1905,'Customer Info'!C1905:C2404,1)</f>
        <v>#N/A</v>
      </c>
      <c r="I1913" s="6" t="e">
        <f>VLOOKUP('Customer Info'!E1905,'Customer Info'!E1905:E2404,1,0)</f>
        <v>#N/A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472</v>
      </c>
      <c r="R1913" s="2" t="s">
        <v>28</v>
      </c>
      <c r="S1913" s="9">
        <f t="shared" si="149"/>
        <v>0.05</v>
      </c>
    </row>
    <row r="1914" spans="1:19" x14ac:dyDescent="0.3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e">
        <f>VLOOKUP('Customer Info'!B1906,'Customer Info'!B1906:B2405,1,0)</f>
        <v>#N/A</v>
      </c>
      <c r="H1914" s="6" t="e">
        <f>VLOOKUP('Customer Info'!C1906,'Customer Info'!C1906:C2405,1)</f>
        <v>#N/A</v>
      </c>
      <c r="I1914" s="6" t="e">
        <f>VLOOKUP('Customer Info'!E1906,'Customer Info'!E1906:E2405,1,0)</f>
        <v>#N/A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240</v>
      </c>
      <c r="R1914" s="2" t="s">
        <v>28</v>
      </c>
      <c r="S1914" s="9">
        <f t="shared" si="149"/>
        <v>0.02</v>
      </c>
    </row>
    <row r="1915" spans="1:19" x14ac:dyDescent="0.3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e">
        <f>VLOOKUP('Customer Info'!B1907,'Customer Info'!B1907:B2406,1,0)</f>
        <v>#N/A</v>
      </c>
      <c r="H1915" s="6" t="e">
        <f>VLOOKUP('Customer Info'!C1907,'Customer Info'!C1907:C2406,1)</f>
        <v>#N/A</v>
      </c>
      <c r="I1915" s="6" t="e">
        <f>VLOOKUP('Customer Info'!E1907,'Customer Info'!E1907:E2406,1,0)</f>
        <v>#N/A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101</v>
      </c>
      <c r="R1915" s="2" t="s">
        <v>50</v>
      </c>
      <c r="S1915" s="9">
        <f t="shared" si="149"/>
        <v>0.02</v>
      </c>
    </row>
    <row r="1916" spans="1:19" x14ac:dyDescent="0.3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e">
        <f>VLOOKUP('Customer Info'!B1908,'Customer Info'!B1908:B2407,1,0)</f>
        <v>#N/A</v>
      </c>
      <c r="H1916" s="6" t="e">
        <f>VLOOKUP('Customer Info'!C1908,'Customer Info'!C1908:C2407,1)</f>
        <v>#N/A</v>
      </c>
      <c r="I1916" s="6" t="e">
        <f>VLOOKUP('Customer Info'!E1908,'Customer Info'!E1908:E2407,1,0)</f>
        <v>#N/A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475</v>
      </c>
      <c r="R1916" s="2" t="s">
        <v>50</v>
      </c>
      <c r="S1916" s="9">
        <f t="shared" si="149"/>
        <v>0.05</v>
      </c>
    </row>
    <row r="1917" spans="1:19" x14ac:dyDescent="0.3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e">
        <f>VLOOKUP('Customer Info'!B1909,'Customer Info'!B1909:B2408,1,0)</f>
        <v>#N/A</v>
      </c>
      <c r="H1917" s="6" t="e">
        <f>VLOOKUP('Customer Info'!C1909,'Customer Info'!C1909:C2408,1)</f>
        <v>#N/A</v>
      </c>
      <c r="I1917" s="6" t="e">
        <f>VLOOKUP('Customer Info'!E1909,'Customer Info'!E1909:E2408,1,0)</f>
        <v>#N/A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170</v>
      </c>
      <c r="R1917" s="2" t="s">
        <v>28</v>
      </c>
      <c r="S1917" s="9">
        <f t="shared" si="149"/>
        <v>0.02</v>
      </c>
    </row>
    <row r="1918" spans="1:19" x14ac:dyDescent="0.3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e">
        <f>VLOOKUP('Customer Info'!B1910,'Customer Info'!B1910:B2409,1,0)</f>
        <v>#N/A</v>
      </c>
      <c r="H1918" s="6" t="e">
        <f>VLOOKUP('Customer Info'!C1910,'Customer Info'!C1910:C2409,1)</f>
        <v>#N/A</v>
      </c>
      <c r="I1918" s="6" t="e">
        <f>VLOOKUP('Customer Info'!E1910,'Customer Info'!E1910:E2409,1,0)</f>
        <v>#N/A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2528</v>
      </c>
      <c r="R1918" s="2" t="s">
        <v>26</v>
      </c>
      <c r="S1918" s="9">
        <f t="shared" si="149"/>
        <v>7.0000000000000007E-2</v>
      </c>
    </row>
    <row r="1919" spans="1:19" x14ac:dyDescent="0.3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e">
        <f>VLOOKUP('Customer Info'!B1911,'Customer Info'!B1911:B2410,1,0)</f>
        <v>#N/A</v>
      </c>
      <c r="H1919" s="6" t="e">
        <f>VLOOKUP('Customer Info'!C1911,'Customer Info'!C1911:C2410,1)</f>
        <v>#N/A</v>
      </c>
      <c r="I1919" s="6" t="e">
        <f>VLOOKUP('Customer Info'!E1911,'Customer Info'!E1911:E2410,1,0)</f>
        <v>#N/A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10</v>
      </c>
      <c r="R1919" s="2" t="s">
        <v>50</v>
      </c>
      <c r="S1919" s="9">
        <f t="shared" si="149"/>
        <v>0.02</v>
      </c>
    </row>
    <row r="1920" spans="1:19" x14ac:dyDescent="0.3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e">
        <f>VLOOKUP('Customer Info'!B1912,'Customer Info'!B1912:B2411,1,0)</f>
        <v>#N/A</v>
      </c>
      <c r="H1920" s="6" t="e">
        <f>VLOOKUP('Customer Info'!C1912,'Customer Info'!C1912:C2411,1)</f>
        <v>#N/A</v>
      </c>
      <c r="I1920" s="6" t="e">
        <f>VLOOKUP('Customer Info'!E1912,'Customer Info'!E1912:E2411,1,0)</f>
        <v>#N/A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112</v>
      </c>
      <c r="R1920" s="2" t="s">
        <v>50</v>
      </c>
      <c r="S1920" s="9">
        <f t="shared" si="149"/>
        <v>0.02</v>
      </c>
    </row>
    <row r="1921" spans="1:19" x14ac:dyDescent="0.3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e">
        <f>VLOOKUP('Customer Info'!B1913,'Customer Info'!B1913:B2412,1,0)</f>
        <v>#N/A</v>
      </c>
      <c r="H1921" s="6" t="e">
        <f>VLOOKUP('Customer Info'!C1913,'Customer Info'!C1913:C2412,1)</f>
        <v>#N/A</v>
      </c>
      <c r="I1921" s="6" t="e">
        <f>VLOOKUP('Customer Info'!E1913,'Customer Info'!E1913:E2412,1,0)</f>
        <v>#N/A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288</v>
      </c>
      <c r="R1921" s="2" t="s">
        <v>28</v>
      </c>
      <c r="S1921" s="9">
        <f t="shared" si="149"/>
        <v>0.02</v>
      </c>
    </row>
    <row r="1922" spans="1:19" x14ac:dyDescent="0.3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e">
        <f>VLOOKUP('Customer Info'!B1914,'Customer Info'!B1914:B2413,1,0)</f>
        <v>#N/A</v>
      </c>
      <c r="H1922" s="6" t="e">
        <f>VLOOKUP('Customer Info'!C1914,'Customer Info'!C1914:C2413,1)</f>
        <v>#N/A</v>
      </c>
      <c r="I1922" s="6" t="e">
        <f>VLOOKUP('Customer Info'!E1914,'Customer Info'!E1914:E2413,1,0)</f>
        <v>#N/A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464</v>
      </c>
      <c r="R1922" s="2" t="s">
        <v>28</v>
      </c>
      <c r="S1922" s="9">
        <f t="shared" si="149"/>
        <v>0.05</v>
      </c>
    </row>
    <row r="1923" spans="1:19" x14ac:dyDescent="0.3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e">
        <f>VLOOKUP('Customer Info'!B1915,'Customer Info'!B1915:B2414,1,0)</f>
        <v>#N/A</v>
      </c>
      <c r="H1923" s="6" t="e">
        <f>VLOOKUP('Customer Info'!C1915,'Customer Info'!C1915:C2414,1)</f>
        <v>#N/A</v>
      </c>
      <c r="I1923" s="6" t="e">
        <f>VLOOKUP('Customer Info'!E1915,'Customer Info'!E1915:E2414,1,0)</f>
        <v>#N/A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301</v>
      </c>
      <c r="R1923" s="2" t="s">
        <v>28</v>
      </c>
      <c r="S1923" s="9">
        <f t="shared" si="149"/>
        <v>0.05</v>
      </c>
    </row>
    <row r="1924" spans="1:19" x14ac:dyDescent="0.3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e">
        <f>VLOOKUP('Customer Info'!B1916,'Customer Info'!B1916:B2415,1,0)</f>
        <v>#N/A</v>
      </c>
      <c r="H1924" s="6" t="e">
        <f>VLOOKUP('Customer Info'!C1916,'Customer Info'!C1916:C2415,1)</f>
        <v>#N/A</v>
      </c>
      <c r="I1924" s="6" t="e">
        <f>VLOOKUP('Customer Info'!E1916,'Customer Info'!E1916:E2415,1,0)</f>
        <v>#N/A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9492</v>
      </c>
      <c r="R1924" s="2" t="s">
        <v>28</v>
      </c>
      <c r="S1924" s="9">
        <f t="shared" si="149"/>
        <v>0.12</v>
      </c>
    </row>
    <row r="1925" spans="1:19" x14ac:dyDescent="0.3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e">
        <f>VLOOKUP('Customer Info'!B1917,'Customer Info'!B1917:B2416,1,0)</f>
        <v>#N/A</v>
      </c>
      <c r="H1925" s="6" t="e">
        <f>VLOOKUP('Customer Info'!C1917,'Customer Info'!C1917:C2416,1)</f>
        <v>#N/A</v>
      </c>
      <c r="I1925" s="6" t="e">
        <f>VLOOKUP('Customer Info'!E1917,'Customer Info'!E1917:E2416,1,0)</f>
        <v>#N/A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79</v>
      </c>
      <c r="R1925" s="2" t="s">
        <v>50</v>
      </c>
      <c r="S1925" s="9">
        <f t="shared" si="149"/>
        <v>0.02</v>
      </c>
    </row>
    <row r="1926" spans="1:19" x14ac:dyDescent="0.3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e">
        <f>VLOOKUP('Customer Info'!B1918,'Customer Info'!B1918:B2417,1,0)</f>
        <v>#N/A</v>
      </c>
      <c r="H1926" s="6" t="e">
        <f>VLOOKUP('Customer Info'!C1918,'Customer Info'!C1918:C2417,1)</f>
        <v>#N/A</v>
      </c>
      <c r="I1926" s="6" t="e">
        <f>VLOOKUP('Customer Info'!E1918,'Customer Info'!E1918:E2417,1,0)</f>
        <v>#N/A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558</v>
      </c>
      <c r="R1926" s="2" t="s">
        <v>26</v>
      </c>
      <c r="S1926" s="9">
        <f t="shared" si="149"/>
        <v>0.05</v>
      </c>
    </row>
    <row r="1927" spans="1:19" x14ac:dyDescent="0.3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e">
        <f>VLOOKUP('Customer Info'!B1919,'Customer Info'!B1919:B2418,1,0)</f>
        <v>#N/A</v>
      </c>
      <c r="H1927" s="6" t="e">
        <f>VLOOKUP('Customer Info'!C1919,'Customer Info'!C1919:C2418,1)</f>
        <v>#N/A</v>
      </c>
      <c r="I1927" s="6" t="e">
        <f>VLOOKUP('Customer Info'!E1919,'Customer Info'!E1919:E2418,1,0)</f>
        <v>#N/A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450</v>
      </c>
      <c r="R1927" s="2" t="s">
        <v>26</v>
      </c>
      <c r="S1927" s="9">
        <f t="shared" si="149"/>
        <v>0.05</v>
      </c>
    </row>
    <row r="1928" spans="1:19" x14ac:dyDescent="0.3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e">
        <f>VLOOKUP('Customer Info'!B1920,'Customer Info'!B1920:B2419,1,0)</f>
        <v>#N/A</v>
      </c>
      <c r="H1928" s="6" t="e">
        <f>VLOOKUP('Customer Info'!C1920,'Customer Info'!C1920:C2419,1)</f>
        <v>#N/A</v>
      </c>
      <c r="I1928" s="6" t="e">
        <f>VLOOKUP('Customer Info'!E1920,'Customer Info'!E1920:E2419,1,0)</f>
        <v>#N/A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34</v>
      </c>
      <c r="R1928" s="2" t="s">
        <v>28</v>
      </c>
      <c r="S1928" s="9">
        <f t="shared" si="149"/>
        <v>0.02</v>
      </c>
    </row>
    <row r="1929" spans="1:19" x14ac:dyDescent="0.3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e">
        <f>VLOOKUP('Customer Info'!B1921,'Customer Info'!B1921:B2420,1,0)</f>
        <v>#N/A</v>
      </c>
      <c r="H1929" s="6" t="e">
        <f>VLOOKUP('Customer Info'!C1921,'Customer Info'!C1921:C2420,1)</f>
        <v>#N/A</v>
      </c>
      <c r="I1929" s="6" t="e">
        <f>VLOOKUP('Customer Info'!E1921,'Customer Info'!E1921:E2420,1,0)</f>
        <v>#N/A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42</v>
      </c>
      <c r="R1929" s="2" t="s">
        <v>28</v>
      </c>
      <c r="S1929" s="9">
        <f t="shared" si="149"/>
        <v>0.02</v>
      </c>
    </row>
    <row r="1930" spans="1:19" x14ac:dyDescent="0.3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e">
        <f>VLOOKUP('Customer Info'!B1922,'Customer Info'!B1922:B2421,1,0)</f>
        <v>#N/A</v>
      </c>
      <c r="H1930" s="6" t="e">
        <f>VLOOKUP('Customer Info'!C1922,'Customer Info'!C1922:C2421,1)</f>
        <v>#N/A</v>
      </c>
      <c r="I1930" s="6" t="e">
        <f>VLOOKUP('Customer Info'!E1922,'Customer Info'!E1922:E2421,1,0)</f>
        <v>#N/A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322</v>
      </c>
      <c r="R1930" s="2" t="s">
        <v>28</v>
      </c>
      <c r="S1930" s="9">
        <f t="shared" si="149"/>
        <v>0.05</v>
      </c>
    </row>
    <row r="1931" spans="1:19" x14ac:dyDescent="0.3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e">
        <f>VLOOKUP('Customer Info'!B1923,'Customer Info'!B1923:B2422,1,0)</f>
        <v>#N/A</v>
      </c>
      <c r="H1931" s="6" t="e">
        <f>VLOOKUP('Customer Info'!C1923,'Customer Info'!C1923:C2422,1)</f>
        <v>#N/A</v>
      </c>
      <c r="I1931" s="6" t="e">
        <f>VLOOKUP('Customer Info'!E1923,'Customer Info'!E1923:E2422,1,0)</f>
        <v>#N/A</v>
      </c>
      <c r="J1931" s="2">
        <v>220</v>
      </c>
      <c r="K1931" s="2">
        <v>206</v>
      </c>
      <c r="L1931" s="2">
        <v>4</v>
      </c>
      <c r="M1931" s="7">
        <f t="shared" ref="M1931:M1994" si="150">(K1931*L1931)</f>
        <v>824</v>
      </c>
      <c r="N1931" s="7">
        <f t="shared" ref="N1931:N1994" si="151">(J1931*L1931)</f>
        <v>880</v>
      </c>
      <c r="O1931" s="2">
        <v>41</v>
      </c>
      <c r="P1931" s="8">
        <f t="shared" ref="P1931:P1994" si="152">(N1931+O1931)</f>
        <v>921</v>
      </c>
      <c r="Q1931" s="8">
        <f t="shared" ref="Q1931:Q1994" si="153">(N1931-M1931)</f>
        <v>56</v>
      </c>
      <c r="R1931" s="2" t="s">
        <v>28</v>
      </c>
      <c r="S1931" s="9">
        <f t="shared" ref="S1931:S1994" si="154">_xlfn.IFS(P1931&gt;250000,0.15,P1931&gt;100000,0.12,P1931&gt;50000,0.09,P1931&gt;25000,0.07,P1931&gt;5000,0.05,
 TRUE,0.02)</f>
        <v>0.02</v>
      </c>
    </row>
    <row r="1932" spans="1:19" x14ac:dyDescent="0.3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e">
        <f>VLOOKUP('Customer Info'!B1924,'Customer Info'!B1924:B2423,1,0)</f>
        <v>#N/A</v>
      </c>
      <c r="H1932" s="6" t="e">
        <f>VLOOKUP('Customer Info'!C1924,'Customer Info'!C1924:C2423,1)</f>
        <v>#N/A</v>
      </c>
      <c r="I1932" s="6" t="e">
        <f>VLOOKUP('Customer Info'!E1924,'Customer Info'!E1924:E2423,1,0)</f>
        <v>#N/A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93</v>
      </c>
      <c r="R1932" s="2" t="s">
        <v>28</v>
      </c>
      <c r="S1932" s="9">
        <f t="shared" si="154"/>
        <v>0.02</v>
      </c>
    </row>
    <row r="1933" spans="1:19" x14ac:dyDescent="0.3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e">
        <f>VLOOKUP('Customer Info'!B1925,'Customer Info'!B1925:B2424,1,0)</f>
        <v>#N/A</v>
      </c>
      <c r="H1933" s="6" t="e">
        <f>VLOOKUP('Customer Info'!C1925,'Customer Info'!C1925:C2424,1)</f>
        <v>#N/A</v>
      </c>
      <c r="I1933" s="6" t="e">
        <f>VLOOKUP('Customer Info'!E1925,'Customer Info'!E1925:E2424,1,0)</f>
        <v>#N/A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334</v>
      </c>
      <c r="R1933" s="2" t="s">
        <v>26</v>
      </c>
      <c r="S1933" s="9">
        <f t="shared" si="154"/>
        <v>0.02</v>
      </c>
    </row>
    <row r="1934" spans="1:19" x14ac:dyDescent="0.3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e">
        <f>VLOOKUP('Customer Info'!B1926,'Customer Info'!B1926:B2425,1,0)</f>
        <v>#N/A</v>
      </c>
      <c r="H1934" s="6" t="e">
        <f>VLOOKUP('Customer Info'!C1926,'Customer Info'!C1926:C2425,1)</f>
        <v>#N/A</v>
      </c>
      <c r="I1934" s="6" t="e">
        <f>VLOOKUP('Customer Info'!E1926,'Customer Info'!E1926:E2425,1,0)</f>
        <v>#N/A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4058</v>
      </c>
      <c r="R1934" s="2" t="s">
        <v>50</v>
      </c>
      <c r="S1934" s="9">
        <f t="shared" si="154"/>
        <v>0.09</v>
      </c>
    </row>
    <row r="1935" spans="1:19" x14ac:dyDescent="0.3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e">
        <f>VLOOKUP('Customer Info'!B1927,'Customer Info'!B1927:B2426,1,0)</f>
        <v>#N/A</v>
      </c>
      <c r="H1935" s="6" t="e">
        <f>VLOOKUP('Customer Info'!C1927,'Customer Info'!C1927:C2426,1)</f>
        <v>#N/A</v>
      </c>
      <c r="I1935" s="6" t="e">
        <f>VLOOKUP('Customer Info'!E1927,'Customer Info'!E1927:E2426,1,0)</f>
        <v>#N/A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202</v>
      </c>
      <c r="R1935" s="2" t="s">
        <v>28</v>
      </c>
      <c r="S1935" s="9">
        <f t="shared" si="154"/>
        <v>0.02</v>
      </c>
    </row>
    <row r="1936" spans="1:19" x14ac:dyDescent="0.3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e">
        <f>VLOOKUP('Customer Info'!B1928,'Customer Info'!B1928:B2427,1,0)</f>
        <v>#N/A</v>
      </c>
      <c r="H1936" s="6" t="e">
        <f>VLOOKUP('Customer Info'!C1928,'Customer Info'!C1928:C2427,1)</f>
        <v>#N/A</v>
      </c>
      <c r="I1936" s="6" t="e">
        <f>VLOOKUP('Customer Info'!E1928,'Customer Info'!E1928:E2427,1,0)</f>
        <v>#N/A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36</v>
      </c>
      <c r="R1936" s="2" t="s">
        <v>28</v>
      </c>
      <c r="S1936" s="9">
        <f t="shared" si="154"/>
        <v>0.02</v>
      </c>
    </row>
    <row r="1937" spans="1:19" x14ac:dyDescent="0.3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e">
        <f>VLOOKUP('Customer Info'!B1929,'Customer Info'!B1929:B2428,1,0)</f>
        <v>#N/A</v>
      </c>
      <c r="H1937" s="6" t="e">
        <f>VLOOKUP('Customer Info'!C1929,'Customer Info'!C1929:C2428,1)</f>
        <v>#N/A</v>
      </c>
      <c r="I1937" s="6" t="e">
        <f>VLOOKUP('Customer Info'!E1929,'Customer Info'!E1929:E2428,1,0)</f>
        <v>#N/A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1005</v>
      </c>
      <c r="R1937" s="2" t="s">
        <v>50</v>
      </c>
      <c r="S1937" s="9">
        <f t="shared" si="154"/>
        <v>0.05</v>
      </c>
    </row>
    <row r="1938" spans="1:19" x14ac:dyDescent="0.3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e">
        <f>VLOOKUP('Customer Info'!B1930,'Customer Info'!B1930:B2429,1,0)</f>
        <v>#N/A</v>
      </c>
      <c r="H1938" s="6" t="e">
        <f>VLOOKUP('Customer Info'!C1930,'Customer Info'!C1930:C2429,1)</f>
        <v>#N/A</v>
      </c>
      <c r="I1938" s="6" t="e">
        <f>VLOOKUP('Customer Info'!E1930,'Customer Info'!E1930:E2429,1,0)</f>
        <v>#N/A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93</v>
      </c>
      <c r="R1938" s="2" t="s">
        <v>28</v>
      </c>
      <c r="S1938" s="9">
        <f t="shared" si="154"/>
        <v>0.02</v>
      </c>
    </row>
    <row r="1939" spans="1:19" x14ac:dyDescent="0.3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e">
        <f>VLOOKUP('Customer Info'!B1931,'Customer Info'!B1931:B2430,1,0)</f>
        <v>#N/A</v>
      </c>
      <c r="H1939" s="6" t="e">
        <f>VLOOKUP('Customer Info'!C1931,'Customer Info'!C1931:C2430,1)</f>
        <v>#N/A</v>
      </c>
      <c r="I1939" s="6" t="e">
        <f>VLOOKUP('Customer Info'!E1931,'Customer Info'!E1931:E2430,1,0)</f>
        <v>#N/A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2075</v>
      </c>
      <c r="R1939" s="2" t="s">
        <v>28</v>
      </c>
      <c r="S1939" s="9">
        <f t="shared" si="154"/>
        <v>7.0000000000000007E-2</v>
      </c>
    </row>
    <row r="1940" spans="1:19" x14ac:dyDescent="0.3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e">
        <f>VLOOKUP('Customer Info'!B1932,'Customer Info'!B1932:B2431,1,0)</f>
        <v>#N/A</v>
      </c>
      <c r="H1940" s="6" t="e">
        <f>VLOOKUP('Customer Info'!C1932,'Customer Info'!C1932:C2431,1)</f>
        <v>#N/A</v>
      </c>
      <c r="I1940" s="6" t="e">
        <f>VLOOKUP('Customer Info'!E1932,'Customer Info'!E1932:E2431,1,0)</f>
        <v>#N/A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2703</v>
      </c>
      <c r="R1940" s="2" t="s">
        <v>28</v>
      </c>
      <c r="S1940" s="9">
        <f t="shared" si="154"/>
        <v>7.0000000000000007E-2</v>
      </c>
    </row>
    <row r="1941" spans="1:19" x14ac:dyDescent="0.3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e">
        <f>VLOOKUP('Customer Info'!B1933,'Customer Info'!B1933:B2432,1,0)</f>
        <v>#N/A</v>
      </c>
      <c r="H1941" s="6" t="e">
        <f>VLOOKUP('Customer Info'!C1933,'Customer Info'!C1933:C2432,1)</f>
        <v>#N/A</v>
      </c>
      <c r="I1941" s="6" t="e">
        <f>VLOOKUP('Customer Info'!E1933,'Customer Info'!E1933:E2432,1,0)</f>
        <v>#N/A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380</v>
      </c>
      <c r="R1941" s="2" t="s">
        <v>28</v>
      </c>
      <c r="S1941" s="9">
        <f t="shared" si="154"/>
        <v>0.05</v>
      </c>
    </row>
    <row r="1942" spans="1:19" x14ac:dyDescent="0.3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e">
        <f>VLOOKUP('Customer Info'!B1934,'Customer Info'!B1934:B2433,1,0)</f>
        <v>#N/A</v>
      </c>
      <c r="H1942" s="6" t="e">
        <f>VLOOKUP('Customer Info'!C1934,'Customer Info'!C1934:C2433,1)</f>
        <v>#N/A</v>
      </c>
      <c r="I1942" s="6" t="e">
        <f>VLOOKUP('Customer Info'!E1934,'Customer Info'!E1934:E2433,1,0)</f>
        <v>#N/A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18</v>
      </c>
      <c r="R1942" s="2" t="s">
        <v>50</v>
      </c>
      <c r="S1942" s="9">
        <f t="shared" si="154"/>
        <v>0.02</v>
      </c>
    </row>
    <row r="1943" spans="1:19" x14ac:dyDescent="0.3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e">
        <f>VLOOKUP('Customer Info'!B1935,'Customer Info'!B1935:B2434,1,0)</f>
        <v>#N/A</v>
      </c>
      <c r="H1943" s="6" t="e">
        <f>VLOOKUP('Customer Info'!C1935,'Customer Info'!C1935:C2434,1)</f>
        <v>#N/A</v>
      </c>
      <c r="I1943" s="6" t="e">
        <f>VLOOKUP('Customer Info'!E1935,'Customer Info'!E1935:E2434,1,0)</f>
        <v>#N/A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919</v>
      </c>
      <c r="R1943" s="2" t="s">
        <v>50</v>
      </c>
      <c r="S1943" s="9">
        <f t="shared" si="154"/>
        <v>0.05</v>
      </c>
    </row>
    <row r="1944" spans="1:19" x14ac:dyDescent="0.3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e">
        <f>VLOOKUP('Customer Info'!B1936,'Customer Info'!B1936:B2435,1,0)</f>
        <v>#N/A</v>
      </c>
      <c r="H1944" s="6" t="e">
        <f>VLOOKUP('Customer Info'!C1936,'Customer Info'!C1936:C2435,1)</f>
        <v>#N/A</v>
      </c>
      <c r="I1944" s="6" t="e">
        <f>VLOOKUP('Customer Info'!E1936,'Customer Info'!E1936:E2435,1,0)</f>
        <v>#N/A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75</v>
      </c>
      <c r="R1944" s="2" t="s">
        <v>56</v>
      </c>
      <c r="S1944" s="9">
        <f t="shared" si="154"/>
        <v>0.02</v>
      </c>
    </row>
    <row r="1945" spans="1:19" x14ac:dyDescent="0.3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e">
        <f>VLOOKUP('Customer Info'!B1937,'Customer Info'!B1937:B2436,1,0)</f>
        <v>#N/A</v>
      </c>
      <c r="H1945" s="6" t="e">
        <f>VLOOKUP('Customer Info'!C1937,'Customer Info'!C1937:C2436,1)</f>
        <v>#N/A</v>
      </c>
      <c r="I1945" s="6" t="e">
        <f>VLOOKUP('Customer Info'!E1937,'Customer Info'!E1937:E2436,1,0)</f>
        <v>#N/A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84</v>
      </c>
      <c r="R1945" s="2" t="s">
        <v>28</v>
      </c>
      <c r="S1945" s="9">
        <f t="shared" si="154"/>
        <v>0.02</v>
      </c>
    </row>
    <row r="1946" spans="1:19" x14ac:dyDescent="0.3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e">
        <f>VLOOKUP('Customer Info'!B1938,'Customer Info'!B1938:B2437,1,0)</f>
        <v>#N/A</v>
      </c>
      <c r="H1946" s="6" t="e">
        <f>VLOOKUP('Customer Info'!C1938,'Customer Info'!C1938:C2437,1)</f>
        <v>#N/A</v>
      </c>
      <c r="I1946" s="6" t="e">
        <f>VLOOKUP('Customer Info'!E1938,'Customer Info'!E1938:E2437,1,0)</f>
        <v>#N/A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446</v>
      </c>
      <c r="R1946" s="2" t="s">
        <v>50</v>
      </c>
      <c r="S1946" s="9">
        <f t="shared" si="154"/>
        <v>0.05</v>
      </c>
    </row>
    <row r="1947" spans="1:19" x14ac:dyDescent="0.3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e">
        <f>VLOOKUP('Customer Info'!B1939,'Customer Info'!B1939:B2438,1,0)</f>
        <v>#N/A</v>
      </c>
      <c r="H1947" s="6" t="e">
        <f>VLOOKUP('Customer Info'!C1939,'Customer Info'!C1939:C2438,1)</f>
        <v>#N/A</v>
      </c>
      <c r="I1947" s="6" t="e">
        <f>VLOOKUP('Customer Info'!E1939,'Customer Info'!E1939:E2438,1,0)</f>
        <v>#N/A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348</v>
      </c>
      <c r="R1947" s="2" t="s">
        <v>50</v>
      </c>
      <c r="S1947" s="9">
        <f t="shared" si="154"/>
        <v>0.05</v>
      </c>
    </row>
    <row r="1948" spans="1:19" x14ac:dyDescent="0.3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e">
        <f>VLOOKUP('Customer Info'!B1940,'Customer Info'!B1940:B2439,1,0)</f>
        <v>#N/A</v>
      </c>
      <c r="H1948" s="6" t="e">
        <f>VLOOKUP('Customer Info'!C1940,'Customer Info'!C1940:C2439,1)</f>
        <v>#N/A</v>
      </c>
      <c r="I1948" s="6" t="e">
        <f>VLOOKUP('Customer Info'!E1940,'Customer Info'!E1940:E2439,1,0)</f>
        <v>#N/A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972</v>
      </c>
      <c r="R1948" s="2" t="s">
        <v>56</v>
      </c>
      <c r="S1948" s="9">
        <f t="shared" si="154"/>
        <v>0.05</v>
      </c>
    </row>
    <row r="1949" spans="1:19" x14ac:dyDescent="0.3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e">
        <f>VLOOKUP('Customer Info'!B1941,'Customer Info'!B1941:B2440,1,0)</f>
        <v>#N/A</v>
      </c>
      <c r="H1949" s="6" t="e">
        <f>VLOOKUP('Customer Info'!C1941,'Customer Info'!C1941:C2440,1)</f>
        <v>#N/A</v>
      </c>
      <c r="I1949" s="6" t="e">
        <f>VLOOKUP('Customer Info'!E1941,'Customer Info'!E1941:E2440,1,0)</f>
        <v>#N/A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68</v>
      </c>
      <c r="R1949" s="2" t="s">
        <v>28</v>
      </c>
      <c r="S1949" s="9">
        <f t="shared" si="154"/>
        <v>0.02</v>
      </c>
    </row>
    <row r="1950" spans="1:19" x14ac:dyDescent="0.3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e">
        <f>VLOOKUP('Customer Info'!B1942,'Customer Info'!B1942:B2441,1,0)</f>
        <v>#N/A</v>
      </c>
      <c r="H1950" s="6" t="e">
        <f>VLOOKUP('Customer Info'!C1942,'Customer Info'!C1942:C2441,1)</f>
        <v>#N/A</v>
      </c>
      <c r="I1950" s="6" t="e">
        <f>VLOOKUP('Customer Info'!E1942,'Customer Info'!E1942:E2441,1,0)</f>
        <v>#N/A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117</v>
      </c>
      <c r="R1950" s="2" t="s">
        <v>28</v>
      </c>
      <c r="S1950" s="9">
        <f t="shared" si="154"/>
        <v>0.02</v>
      </c>
    </row>
    <row r="1951" spans="1:19" x14ac:dyDescent="0.3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e">
        <f>VLOOKUP('Customer Info'!B1943,'Customer Info'!B1943:B2442,1,0)</f>
        <v>#N/A</v>
      </c>
      <c r="H1951" s="6" t="e">
        <f>VLOOKUP('Customer Info'!C1943,'Customer Info'!C1943:C2442,1)</f>
        <v>#N/A</v>
      </c>
      <c r="I1951" s="6" t="e">
        <f>VLOOKUP('Customer Info'!E1943,'Customer Info'!E1943:E2442,1,0)</f>
        <v>#N/A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953</v>
      </c>
      <c r="R1951" s="2" t="s">
        <v>28</v>
      </c>
      <c r="S1951" s="9">
        <f t="shared" si="154"/>
        <v>0.05</v>
      </c>
    </row>
    <row r="1952" spans="1:19" x14ac:dyDescent="0.3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e">
        <f>VLOOKUP('Customer Info'!B1944,'Customer Info'!B1944:B2443,1,0)</f>
        <v>#N/A</v>
      </c>
      <c r="H1952" s="6" t="e">
        <f>VLOOKUP('Customer Info'!C1944,'Customer Info'!C1944:C2443,1)</f>
        <v>#N/A</v>
      </c>
      <c r="I1952" s="6" t="e">
        <f>VLOOKUP('Customer Info'!E1944,'Customer Info'!E1944:E2443,1,0)</f>
        <v>#N/A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26</v>
      </c>
      <c r="R1952" s="2" t="s">
        <v>50</v>
      </c>
      <c r="S1952" s="9">
        <f t="shared" si="154"/>
        <v>0.02</v>
      </c>
    </row>
    <row r="1953" spans="1:19" x14ac:dyDescent="0.3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e">
        <f>VLOOKUP('Customer Info'!B1945,'Customer Info'!B1945:B2444,1,0)</f>
        <v>#N/A</v>
      </c>
      <c r="H1953" s="6" t="e">
        <f>VLOOKUP('Customer Info'!C1945,'Customer Info'!C1945:C2444,1)</f>
        <v>#N/A</v>
      </c>
      <c r="I1953" s="6" t="e">
        <f>VLOOKUP('Customer Info'!E1945,'Customer Info'!E1945:E2444,1,0)</f>
        <v>#N/A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479</v>
      </c>
      <c r="R1953" s="2" t="s">
        <v>28</v>
      </c>
      <c r="S1953" s="9">
        <f t="shared" si="154"/>
        <v>0.05</v>
      </c>
    </row>
    <row r="1954" spans="1:19" x14ac:dyDescent="0.3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e">
        <f>VLOOKUP('Customer Info'!B1946,'Customer Info'!B1946:B2445,1,0)</f>
        <v>#N/A</v>
      </c>
      <c r="H1954" s="6" t="e">
        <f>VLOOKUP('Customer Info'!C1946,'Customer Info'!C1946:C2445,1)</f>
        <v>#N/A</v>
      </c>
      <c r="I1954" s="6" t="e">
        <f>VLOOKUP('Customer Info'!E1946,'Customer Info'!E1946:E2445,1,0)</f>
        <v>#N/A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1200</v>
      </c>
      <c r="R1954" s="2" t="s">
        <v>56</v>
      </c>
      <c r="S1954" s="9">
        <f t="shared" si="154"/>
        <v>0.05</v>
      </c>
    </row>
    <row r="1955" spans="1:19" x14ac:dyDescent="0.3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e">
        <f>VLOOKUP('Customer Info'!B1947,'Customer Info'!B1947:B2446,1,0)</f>
        <v>#N/A</v>
      </c>
      <c r="H1955" s="6" t="e">
        <f>VLOOKUP('Customer Info'!C1947,'Customer Info'!C1947:C2446,1)</f>
        <v>#N/A</v>
      </c>
      <c r="I1955" s="6" t="e">
        <f>VLOOKUP('Customer Info'!E1947,'Customer Info'!E1947:E2446,1,0)</f>
        <v>#N/A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104</v>
      </c>
      <c r="R1955" s="2" t="s">
        <v>50</v>
      </c>
      <c r="S1955" s="9">
        <f t="shared" si="154"/>
        <v>0.02</v>
      </c>
    </row>
    <row r="1956" spans="1:19" x14ac:dyDescent="0.3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e">
        <f>VLOOKUP('Customer Info'!B1948,'Customer Info'!B1948:B2447,1,0)</f>
        <v>#N/A</v>
      </c>
      <c r="H1956" s="6" t="e">
        <f>VLOOKUP('Customer Info'!C1948,'Customer Info'!C1948:C2447,1)</f>
        <v>#N/A</v>
      </c>
      <c r="I1956" s="6" t="e">
        <f>VLOOKUP('Customer Info'!E1948,'Customer Info'!E1948:E2447,1,0)</f>
        <v>#N/A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540</v>
      </c>
      <c r="R1956" s="2" t="s">
        <v>28</v>
      </c>
      <c r="S1956" s="9">
        <f t="shared" si="154"/>
        <v>0.05</v>
      </c>
    </row>
    <row r="1957" spans="1:19" x14ac:dyDescent="0.3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e">
        <f>VLOOKUP('Customer Info'!B1949,'Customer Info'!B1949:B2448,1,0)</f>
        <v>#N/A</v>
      </c>
      <c r="H1957" s="6" t="e">
        <f>VLOOKUP('Customer Info'!C1949,'Customer Info'!C1949:C2448,1)</f>
        <v>#N/A</v>
      </c>
      <c r="I1957" s="6" t="e">
        <f>VLOOKUP('Customer Info'!E1949,'Customer Info'!E1949:E2448,1,0)</f>
        <v>#N/A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376</v>
      </c>
      <c r="R1957" s="2" t="s">
        <v>50</v>
      </c>
      <c r="S1957" s="9">
        <f t="shared" si="154"/>
        <v>0.02</v>
      </c>
    </row>
    <row r="1958" spans="1:19" x14ac:dyDescent="0.3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e">
        <f>VLOOKUP('Customer Info'!B1950,'Customer Info'!B1950:B2449,1,0)</f>
        <v>#N/A</v>
      </c>
      <c r="H1958" s="6" t="e">
        <f>VLOOKUP('Customer Info'!C1950,'Customer Info'!C1950:C2449,1)</f>
        <v>#N/A</v>
      </c>
      <c r="I1958" s="6" t="e">
        <f>VLOOKUP('Customer Info'!E1950,'Customer Info'!E1950:E2449,1,0)</f>
        <v>#N/A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266</v>
      </c>
      <c r="R1958" s="2" t="s">
        <v>50</v>
      </c>
      <c r="S1958" s="9">
        <f t="shared" si="154"/>
        <v>0.02</v>
      </c>
    </row>
    <row r="1959" spans="1:19" x14ac:dyDescent="0.3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e">
        <f>VLOOKUP('Customer Info'!B1951,'Customer Info'!B1951:B2450,1,0)</f>
        <v>#N/A</v>
      </c>
      <c r="H1959" s="6" t="e">
        <f>VLOOKUP('Customer Info'!C1951,'Customer Info'!C1951:C2450,1)</f>
        <v>#N/A</v>
      </c>
      <c r="I1959" s="6" t="e">
        <f>VLOOKUP('Customer Info'!E1951,'Customer Info'!E1951:E2450,1,0)</f>
        <v>#N/A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10</v>
      </c>
      <c r="R1959" s="2" t="s">
        <v>28</v>
      </c>
      <c r="S1959" s="9">
        <f t="shared" si="154"/>
        <v>0.02</v>
      </c>
    </row>
    <row r="1960" spans="1:19" x14ac:dyDescent="0.3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e">
        <f>VLOOKUP('Customer Info'!B1952,'Customer Info'!B1952:B2451,1,0)</f>
        <v>#N/A</v>
      </c>
      <c r="H1960" s="6" t="e">
        <f>VLOOKUP('Customer Info'!C1952,'Customer Info'!C1952:C2451,1)</f>
        <v>#N/A</v>
      </c>
      <c r="I1960" s="6" t="e">
        <f>VLOOKUP('Customer Info'!E1952,'Customer Info'!E1952:E2451,1,0)</f>
        <v>#N/A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14</v>
      </c>
      <c r="R1960" s="2" t="s">
        <v>50</v>
      </c>
      <c r="S1960" s="9">
        <f t="shared" si="154"/>
        <v>0.02</v>
      </c>
    </row>
    <row r="1961" spans="1:19" x14ac:dyDescent="0.3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e">
        <f>VLOOKUP('Customer Info'!B1953,'Customer Info'!B1953:B2452,1,0)</f>
        <v>#N/A</v>
      </c>
      <c r="H1961" s="6" t="e">
        <f>VLOOKUP('Customer Info'!C1953,'Customer Info'!C1953:C2452,1)</f>
        <v>#N/A</v>
      </c>
      <c r="I1961" s="6" t="e">
        <f>VLOOKUP('Customer Info'!E1953,'Customer Info'!E1953:E2452,1,0)</f>
        <v>#N/A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59</v>
      </c>
      <c r="R1961" s="2" t="s">
        <v>28</v>
      </c>
      <c r="S1961" s="9">
        <f t="shared" si="154"/>
        <v>0.02</v>
      </c>
    </row>
    <row r="1962" spans="1:19" x14ac:dyDescent="0.3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e">
        <f>VLOOKUP('Customer Info'!B1954,'Customer Info'!B1954:B2453,1,0)</f>
        <v>#N/A</v>
      </c>
      <c r="H1962" s="6" t="e">
        <f>VLOOKUP('Customer Info'!C1954,'Customer Info'!C1954:C2453,1)</f>
        <v>#N/A</v>
      </c>
      <c r="I1962" s="6" t="e">
        <f>VLOOKUP('Customer Info'!E1954,'Customer Info'!E1954:E2453,1,0)</f>
        <v>#N/A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321</v>
      </c>
      <c r="R1962" s="2" t="s">
        <v>50</v>
      </c>
      <c r="S1962" s="9">
        <f t="shared" si="154"/>
        <v>0.02</v>
      </c>
    </row>
    <row r="1963" spans="1:19" x14ac:dyDescent="0.3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e">
        <f>VLOOKUP('Customer Info'!B1955,'Customer Info'!B1955:B2454,1,0)</f>
        <v>#N/A</v>
      </c>
      <c r="H1963" s="6" t="e">
        <f>VLOOKUP('Customer Info'!C1955,'Customer Info'!C1955:C2454,1)</f>
        <v>#N/A</v>
      </c>
      <c r="I1963" s="6" t="e">
        <f>VLOOKUP('Customer Info'!E1955,'Customer Info'!E1955:E2454,1,0)</f>
        <v>#N/A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3144</v>
      </c>
      <c r="R1963" s="2" t="s">
        <v>50</v>
      </c>
      <c r="S1963" s="9">
        <f t="shared" si="154"/>
        <v>7.0000000000000007E-2</v>
      </c>
    </row>
    <row r="1964" spans="1:19" x14ac:dyDescent="0.3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e">
        <f>VLOOKUP('Customer Info'!B1956,'Customer Info'!B1956:B2455,1,0)</f>
        <v>#N/A</v>
      </c>
      <c r="H1964" s="6" t="e">
        <f>VLOOKUP('Customer Info'!C1956,'Customer Info'!C1956:C2455,1)</f>
        <v>#N/A</v>
      </c>
      <c r="I1964" s="6" t="e">
        <f>VLOOKUP('Customer Info'!E1956,'Customer Info'!E1956:E2455,1,0)</f>
        <v>#N/A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2280</v>
      </c>
      <c r="R1964" s="2" t="s">
        <v>50</v>
      </c>
      <c r="S1964" s="9">
        <f t="shared" si="154"/>
        <v>7.0000000000000007E-2</v>
      </c>
    </row>
    <row r="1965" spans="1:19" x14ac:dyDescent="0.3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e">
        <f>VLOOKUP('Customer Info'!B1957,'Customer Info'!B1957:B2456,1,0)</f>
        <v>#N/A</v>
      </c>
      <c r="H1965" s="6" t="e">
        <f>VLOOKUP('Customer Info'!C1957,'Customer Info'!C1957:C2456,1)</f>
        <v>#N/A</v>
      </c>
      <c r="I1965" s="6" t="e">
        <f>VLOOKUP('Customer Info'!E1957,'Customer Info'!E1957:E2456,1,0)</f>
        <v>#N/A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205</v>
      </c>
      <c r="R1965" s="2" t="s">
        <v>50</v>
      </c>
      <c r="S1965" s="9">
        <f t="shared" si="154"/>
        <v>0.02</v>
      </c>
    </row>
    <row r="1966" spans="1:19" x14ac:dyDescent="0.3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e">
        <f>VLOOKUP('Customer Info'!B1958,'Customer Info'!B1958:B2457,1,0)</f>
        <v>#N/A</v>
      </c>
      <c r="H1966" s="6" t="e">
        <f>VLOOKUP('Customer Info'!C1958,'Customer Info'!C1958:C2457,1)</f>
        <v>#N/A</v>
      </c>
      <c r="I1966" s="6" t="e">
        <f>VLOOKUP('Customer Info'!E1958,'Customer Info'!E1958:E2457,1,0)</f>
        <v>#N/A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901</v>
      </c>
      <c r="R1966" s="2" t="s">
        <v>50</v>
      </c>
      <c r="S1966" s="9">
        <f t="shared" si="154"/>
        <v>0.05</v>
      </c>
    </row>
    <row r="1967" spans="1:19" x14ac:dyDescent="0.3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e">
        <f>VLOOKUP('Customer Info'!B1959,'Customer Info'!B1959:B2458,1,0)</f>
        <v>#N/A</v>
      </c>
      <c r="H1967" s="6" t="e">
        <f>VLOOKUP('Customer Info'!C1959,'Customer Info'!C1959:C2458,1)</f>
        <v>#N/A</v>
      </c>
      <c r="I1967" s="6" t="e">
        <f>VLOOKUP('Customer Info'!E1959,'Customer Info'!E1959:E2458,1,0)</f>
        <v>#N/A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132</v>
      </c>
      <c r="R1967" s="2" t="s">
        <v>50</v>
      </c>
      <c r="S1967" s="9">
        <f t="shared" si="154"/>
        <v>0.02</v>
      </c>
    </row>
    <row r="1968" spans="1:19" x14ac:dyDescent="0.3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e">
        <f>VLOOKUP('Customer Info'!B1960,'Customer Info'!B1960:B2459,1,0)</f>
        <v>#N/A</v>
      </c>
      <c r="H1968" s="6" t="e">
        <f>VLOOKUP('Customer Info'!C1960,'Customer Info'!C1960:C2459,1)</f>
        <v>#N/A</v>
      </c>
      <c r="I1968" s="6" t="e">
        <f>VLOOKUP('Customer Info'!E1960,'Customer Info'!E1960:E2459,1,0)</f>
        <v>#N/A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632</v>
      </c>
      <c r="R1968" s="2" t="s">
        <v>50</v>
      </c>
      <c r="S1968" s="9">
        <f t="shared" si="154"/>
        <v>0.05</v>
      </c>
    </row>
    <row r="1969" spans="1:19" x14ac:dyDescent="0.3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e">
        <f>VLOOKUP('Customer Info'!B1961,'Customer Info'!B1961:B2460,1,0)</f>
        <v>#N/A</v>
      </c>
      <c r="H1969" s="6" t="e">
        <f>VLOOKUP('Customer Info'!C1961,'Customer Info'!C1961:C2460,1)</f>
        <v>#N/A</v>
      </c>
      <c r="I1969" s="6" t="e">
        <f>VLOOKUP('Customer Info'!E1961,'Customer Info'!E1961:E2460,1,0)</f>
        <v>#N/A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735</v>
      </c>
      <c r="R1969" s="2" t="s">
        <v>28</v>
      </c>
      <c r="S1969" s="9">
        <f t="shared" si="154"/>
        <v>0.05</v>
      </c>
    </row>
    <row r="1970" spans="1:19" x14ac:dyDescent="0.3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e">
        <f>VLOOKUP('Customer Info'!B1962,'Customer Info'!B1962:B2461,1,0)</f>
        <v>#N/A</v>
      </c>
      <c r="H1970" s="6" t="e">
        <f>VLOOKUP('Customer Info'!C1962,'Customer Info'!C1962:C2461,1)</f>
        <v>#N/A</v>
      </c>
      <c r="I1970" s="6" t="e">
        <f>VLOOKUP('Customer Info'!E1962,'Customer Info'!E1962:E2461,1,0)</f>
        <v>#N/A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635</v>
      </c>
      <c r="R1970" s="2" t="s">
        <v>50</v>
      </c>
      <c r="S1970" s="9">
        <f t="shared" si="154"/>
        <v>0.05</v>
      </c>
    </row>
    <row r="1971" spans="1:19" x14ac:dyDescent="0.3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e">
        <f>VLOOKUP('Customer Info'!B1963,'Customer Info'!B1963:B2462,1,0)</f>
        <v>#N/A</v>
      </c>
      <c r="H1971" s="6" t="e">
        <f>VLOOKUP('Customer Info'!C1963,'Customer Info'!C1963:C2462,1)</f>
        <v>#N/A</v>
      </c>
      <c r="I1971" s="6" t="e">
        <f>VLOOKUP('Customer Info'!E1963,'Customer Info'!E1963:E2462,1,0)</f>
        <v>#N/A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101</v>
      </c>
      <c r="R1971" s="2" t="s">
        <v>28</v>
      </c>
      <c r="S1971" s="9">
        <f t="shared" si="154"/>
        <v>0.02</v>
      </c>
    </row>
    <row r="1972" spans="1:19" x14ac:dyDescent="0.3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e">
        <f>VLOOKUP('Customer Info'!B1964,'Customer Info'!B1964:B2463,1,0)</f>
        <v>#N/A</v>
      </c>
      <c r="H1972" s="6" t="e">
        <f>VLOOKUP('Customer Info'!C1964,'Customer Info'!C1964:C2463,1)</f>
        <v>#N/A</v>
      </c>
      <c r="I1972" s="6" t="e">
        <f>VLOOKUP('Customer Info'!E1964,'Customer Info'!E1964:E2463,1,0)</f>
        <v>#N/A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106</v>
      </c>
      <c r="R1972" s="2" t="s">
        <v>28</v>
      </c>
      <c r="S1972" s="9">
        <f t="shared" si="154"/>
        <v>0.02</v>
      </c>
    </row>
    <row r="1973" spans="1:19" x14ac:dyDescent="0.3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e">
        <f>VLOOKUP('Customer Info'!B1965,'Customer Info'!B1965:B2464,1,0)</f>
        <v>#N/A</v>
      </c>
      <c r="H1973" s="6" t="e">
        <f>VLOOKUP('Customer Info'!C1965,'Customer Info'!C1965:C2464,1)</f>
        <v>#N/A</v>
      </c>
      <c r="I1973" s="6" t="e">
        <f>VLOOKUP('Customer Info'!E1965,'Customer Info'!E1965:E2464,1,0)</f>
        <v>#N/A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12</v>
      </c>
      <c r="R1973" s="2" t="s">
        <v>28</v>
      </c>
      <c r="S1973" s="9">
        <f t="shared" si="154"/>
        <v>0.02</v>
      </c>
    </row>
    <row r="1974" spans="1:19" x14ac:dyDescent="0.3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e">
        <f>VLOOKUP('Customer Info'!B1966,'Customer Info'!B1966:B2465,1,0)</f>
        <v>#N/A</v>
      </c>
      <c r="H1974" s="6" t="e">
        <f>VLOOKUP('Customer Info'!C1966,'Customer Info'!C1966:C2465,1)</f>
        <v>#N/A</v>
      </c>
      <c r="I1974" s="6" t="e">
        <f>VLOOKUP('Customer Info'!E1966,'Customer Info'!E1966:E2465,1,0)</f>
        <v>#N/A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91</v>
      </c>
      <c r="R1974" s="2" t="s">
        <v>28</v>
      </c>
      <c r="S1974" s="9">
        <f t="shared" si="154"/>
        <v>0.02</v>
      </c>
    </row>
    <row r="1975" spans="1:19" x14ac:dyDescent="0.3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e">
        <f>VLOOKUP('Customer Info'!B1967,'Customer Info'!B1967:B2466,1,0)</f>
        <v>#N/A</v>
      </c>
      <c r="H1975" s="6" t="e">
        <f>VLOOKUP('Customer Info'!C1967,'Customer Info'!C1967:C2466,1)</f>
        <v>#N/A</v>
      </c>
      <c r="I1975" s="6" t="e">
        <f>VLOOKUP('Customer Info'!E1967,'Customer Info'!E1967:E2466,1,0)</f>
        <v>#N/A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6225</v>
      </c>
      <c r="R1975" s="2" t="s">
        <v>28</v>
      </c>
      <c r="S1975" s="9">
        <f t="shared" si="154"/>
        <v>0.09</v>
      </c>
    </row>
    <row r="1976" spans="1:19" x14ac:dyDescent="0.3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e">
        <f>VLOOKUP('Customer Info'!B1968,'Customer Info'!B1968:B2467,1,0)</f>
        <v>#N/A</v>
      </c>
      <c r="H1976" s="6" t="e">
        <f>VLOOKUP('Customer Info'!C1968,'Customer Info'!C1968:C2467,1)</f>
        <v>#N/A</v>
      </c>
      <c r="I1976" s="6" t="e">
        <f>VLOOKUP('Customer Info'!E1968,'Customer Info'!E1968:E2467,1,0)</f>
        <v>#N/A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82</v>
      </c>
      <c r="R1976" s="2" t="s">
        <v>50</v>
      </c>
      <c r="S1976" s="9">
        <f t="shared" si="154"/>
        <v>0.02</v>
      </c>
    </row>
    <row r="1977" spans="1:19" x14ac:dyDescent="0.3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e">
        <f>VLOOKUP('Customer Info'!B1969,'Customer Info'!B1969:B2468,1,0)</f>
        <v>#N/A</v>
      </c>
      <c r="H1977" s="6" t="e">
        <f>VLOOKUP('Customer Info'!C1969,'Customer Info'!C1969:C2468,1)</f>
        <v>#N/A</v>
      </c>
      <c r="I1977" s="6" t="e">
        <f>VLOOKUP('Customer Info'!E1969,'Customer Info'!E1969:E2468,1,0)</f>
        <v>#N/A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348</v>
      </c>
      <c r="R1977" s="2" t="s">
        <v>28</v>
      </c>
      <c r="S1977" s="9">
        <f t="shared" si="154"/>
        <v>0.05</v>
      </c>
    </row>
    <row r="1978" spans="1:19" x14ac:dyDescent="0.3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e">
        <f>VLOOKUP('Customer Info'!B1970,'Customer Info'!B1970:B2469,1,0)</f>
        <v>#N/A</v>
      </c>
      <c r="H1978" s="6" t="e">
        <f>VLOOKUP('Customer Info'!C1970,'Customer Info'!C1970:C2469,1)</f>
        <v>#N/A</v>
      </c>
      <c r="I1978" s="6" t="e">
        <f>VLOOKUP('Customer Info'!E1970,'Customer Info'!E1970:E2469,1,0)</f>
        <v>#N/A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108</v>
      </c>
      <c r="R1978" s="2" t="s">
        <v>50</v>
      </c>
      <c r="S1978" s="9">
        <f t="shared" si="154"/>
        <v>0.02</v>
      </c>
    </row>
    <row r="1979" spans="1:19" x14ac:dyDescent="0.3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e">
        <f>VLOOKUP('Customer Info'!B1971,'Customer Info'!B1971:B2470,1,0)</f>
        <v>#N/A</v>
      </c>
      <c r="H1979" s="6" t="e">
        <f>VLOOKUP('Customer Info'!C1971,'Customer Info'!C1971:C2470,1)</f>
        <v>#N/A</v>
      </c>
      <c r="I1979" s="6" t="e">
        <f>VLOOKUP('Customer Info'!E1971,'Customer Info'!E1971:E2470,1,0)</f>
        <v>#N/A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2080</v>
      </c>
      <c r="R1979" s="2" t="s">
        <v>56</v>
      </c>
      <c r="S1979" s="9">
        <f t="shared" si="154"/>
        <v>7.0000000000000007E-2</v>
      </c>
    </row>
    <row r="1980" spans="1:19" x14ac:dyDescent="0.3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e">
        <f>VLOOKUP('Customer Info'!B1972,'Customer Info'!B1972:B2471,1,0)</f>
        <v>#N/A</v>
      </c>
      <c r="H1980" s="6" t="e">
        <f>VLOOKUP('Customer Info'!C1972,'Customer Info'!C1972:C2471,1)</f>
        <v>#N/A</v>
      </c>
      <c r="I1980" s="6" t="e">
        <f>VLOOKUP('Customer Info'!E1972,'Customer Info'!E1972:E2471,1,0)</f>
        <v>#N/A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24</v>
      </c>
      <c r="R1980" s="2" t="s">
        <v>28</v>
      </c>
      <c r="S1980" s="9">
        <f t="shared" si="154"/>
        <v>0.02</v>
      </c>
    </row>
    <row r="1981" spans="1:19" x14ac:dyDescent="0.3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e">
        <f>VLOOKUP('Customer Info'!B1973,'Customer Info'!B1973:B2472,1,0)</f>
        <v>#N/A</v>
      </c>
      <c r="H1981" s="6" t="e">
        <f>VLOOKUP('Customer Info'!C1973,'Customer Info'!C1973:C2472,1)</f>
        <v>#N/A</v>
      </c>
      <c r="I1981" s="6" t="e">
        <f>VLOOKUP('Customer Info'!E1973,'Customer Info'!E1973:E2472,1,0)</f>
        <v>#N/A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385</v>
      </c>
      <c r="R1981" s="2" t="s">
        <v>26</v>
      </c>
      <c r="S1981" s="9">
        <f t="shared" si="154"/>
        <v>0.05</v>
      </c>
    </row>
    <row r="1982" spans="1:19" x14ac:dyDescent="0.3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e">
        <f>VLOOKUP('Customer Info'!B1974,'Customer Info'!B1974:B2473,1,0)</f>
        <v>#N/A</v>
      </c>
      <c r="H1982" s="6" t="e">
        <f>VLOOKUP('Customer Info'!C1974,'Customer Info'!C1974:C2473,1)</f>
        <v>#N/A</v>
      </c>
      <c r="I1982" s="6" t="e">
        <f>VLOOKUP('Customer Info'!E1974,'Customer Info'!E1974:E2473,1,0)</f>
        <v>#N/A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796</v>
      </c>
      <c r="R1982" s="2" t="s">
        <v>56</v>
      </c>
      <c r="S1982" s="9">
        <f t="shared" si="154"/>
        <v>0.05</v>
      </c>
    </row>
    <row r="1983" spans="1:19" x14ac:dyDescent="0.3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e">
        <f>VLOOKUP('Customer Info'!B1975,'Customer Info'!B1975:B2474,1,0)</f>
        <v>#N/A</v>
      </c>
      <c r="H1983" s="6" t="e">
        <f>VLOOKUP('Customer Info'!C1975,'Customer Info'!C1975:C2474,1)</f>
        <v>#N/A</v>
      </c>
      <c r="I1983" s="6" t="e">
        <f>VLOOKUP('Customer Info'!E1975,'Customer Info'!E1975:E2474,1,0)</f>
        <v>#N/A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235</v>
      </c>
      <c r="R1983" s="2" t="s">
        <v>28</v>
      </c>
      <c r="S1983" s="9">
        <f t="shared" si="154"/>
        <v>0.02</v>
      </c>
    </row>
    <row r="1984" spans="1:19" x14ac:dyDescent="0.3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e">
        <f>VLOOKUP('Customer Info'!B1976,'Customer Info'!B1976:B2475,1,0)</f>
        <v>#N/A</v>
      </c>
      <c r="H1984" s="6" t="e">
        <f>VLOOKUP('Customer Info'!C1976,'Customer Info'!C1976:C2475,1)</f>
        <v>#N/A</v>
      </c>
      <c r="I1984" s="6" t="e">
        <f>VLOOKUP('Customer Info'!E1976,'Customer Info'!E1976:E2475,1,0)</f>
        <v>#N/A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417</v>
      </c>
      <c r="R1984" s="2" t="s">
        <v>28</v>
      </c>
      <c r="S1984" s="9">
        <f t="shared" si="154"/>
        <v>0.05</v>
      </c>
    </row>
    <row r="1985" spans="1:19" x14ac:dyDescent="0.3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e">
        <f>VLOOKUP('Customer Info'!B1977,'Customer Info'!B1977:B2476,1,0)</f>
        <v>#N/A</v>
      </c>
      <c r="H1985" s="6" t="e">
        <f>VLOOKUP('Customer Info'!C1977,'Customer Info'!C1977:C2476,1)</f>
        <v>#N/A</v>
      </c>
      <c r="I1985" s="6" t="e">
        <f>VLOOKUP('Customer Info'!E1977,'Customer Info'!E1977:E2476,1,0)</f>
        <v>#N/A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808</v>
      </c>
      <c r="R1985" s="2" t="s">
        <v>50</v>
      </c>
      <c r="S1985" s="9">
        <f t="shared" si="154"/>
        <v>0.05</v>
      </c>
    </row>
    <row r="1986" spans="1:19" x14ac:dyDescent="0.3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e">
        <f>VLOOKUP('Customer Info'!B1978,'Customer Info'!B1978:B2477,1,0)</f>
        <v>#N/A</v>
      </c>
      <c r="H1986" s="6" t="e">
        <f>VLOOKUP('Customer Info'!C1978,'Customer Info'!C1978:C2477,1)</f>
        <v>#N/A</v>
      </c>
      <c r="I1986" s="6" t="e">
        <f>VLOOKUP('Customer Info'!E1978,'Customer Info'!E1978:E2477,1,0)</f>
        <v>#N/A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143</v>
      </c>
      <c r="R1986" s="2" t="s">
        <v>28</v>
      </c>
      <c r="S1986" s="9">
        <f t="shared" si="154"/>
        <v>0.02</v>
      </c>
    </row>
    <row r="1987" spans="1:19" x14ac:dyDescent="0.3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e">
        <f>VLOOKUP('Customer Info'!B1979,'Customer Info'!B1979:B2478,1,0)</f>
        <v>#N/A</v>
      </c>
      <c r="H1987" s="6" t="e">
        <f>VLOOKUP('Customer Info'!C1979,'Customer Info'!C1979:C2478,1)</f>
        <v>#N/A</v>
      </c>
      <c r="I1987" s="6" t="e">
        <f>VLOOKUP('Customer Info'!E1979,'Customer Info'!E1979:E2478,1,0)</f>
        <v>#N/A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132</v>
      </c>
      <c r="R1987" s="2" t="s">
        <v>50</v>
      </c>
      <c r="S1987" s="9">
        <f t="shared" si="154"/>
        <v>0.05</v>
      </c>
    </row>
    <row r="1988" spans="1:19" x14ac:dyDescent="0.3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e">
        <f>VLOOKUP('Customer Info'!B1980,'Customer Info'!B1980:B2479,1,0)</f>
        <v>#N/A</v>
      </c>
      <c r="H1988" s="6" t="e">
        <f>VLOOKUP('Customer Info'!C1980,'Customer Info'!C1980:C2479,1)</f>
        <v>#N/A</v>
      </c>
      <c r="I1988" s="6" t="e">
        <f>VLOOKUP('Customer Info'!E1980,'Customer Info'!E1980:E2479,1,0)</f>
        <v>#N/A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24</v>
      </c>
      <c r="R1988" s="2" t="s">
        <v>28</v>
      </c>
      <c r="S1988" s="9">
        <f t="shared" si="154"/>
        <v>0.02</v>
      </c>
    </row>
    <row r="1989" spans="1:19" x14ac:dyDescent="0.3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e">
        <f>VLOOKUP('Customer Info'!B1981,'Customer Info'!B1981:B2480,1,0)</f>
        <v>#N/A</v>
      </c>
      <c r="H1989" s="6" t="e">
        <f>VLOOKUP('Customer Info'!C1981,'Customer Info'!C1981:C2480,1)</f>
        <v>#N/A</v>
      </c>
      <c r="I1989" s="6" t="e">
        <f>VLOOKUP('Customer Info'!E1981,'Customer Info'!E1981:E2480,1,0)</f>
        <v>#N/A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608</v>
      </c>
      <c r="R1989" s="2" t="s">
        <v>28</v>
      </c>
      <c r="S1989" s="9">
        <f t="shared" si="154"/>
        <v>0.05</v>
      </c>
    </row>
    <row r="1990" spans="1:19" x14ac:dyDescent="0.3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e">
        <f>VLOOKUP('Customer Info'!B1982,'Customer Info'!B1982:B2481,1,0)</f>
        <v>#N/A</v>
      </c>
      <c r="H1990" s="6" t="e">
        <f>VLOOKUP('Customer Info'!C1982,'Customer Info'!C1982:C2481,1)</f>
        <v>#N/A</v>
      </c>
      <c r="I1990" s="6" t="e">
        <f>VLOOKUP('Customer Info'!E1982,'Customer Info'!E1982:E2481,1,0)</f>
        <v>#N/A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237</v>
      </c>
      <c r="R1990" s="2" t="s">
        <v>28</v>
      </c>
      <c r="S1990" s="9">
        <f t="shared" si="154"/>
        <v>0.02</v>
      </c>
    </row>
    <row r="1991" spans="1:19" x14ac:dyDescent="0.3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e">
        <f>VLOOKUP('Customer Info'!B1983,'Customer Info'!B1983:B2482,1,0)</f>
        <v>#N/A</v>
      </c>
      <c r="H1991" s="6" t="e">
        <f>VLOOKUP('Customer Info'!C1983,'Customer Info'!C1983:C2482,1)</f>
        <v>#N/A</v>
      </c>
      <c r="I1991" s="6" t="e">
        <f>VLOOKUP('Customer Info'!E1983,'Customer Info'!E1983:E2482,1,0)</f>
        <v>#N/A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362</v>
      </c>
      <c r="R1991" s="2" t="s">
        <v>28</v>
      </c>
      <c r="S1991" s="9">
        <f t="shared" si="154"/>
        <v>0.05</v>
      </c>
    </row>
    <row r="1992" spans="1:19" x14ac:dyDescent="0.3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e">
        <f>VLOOKUP('Customer Info'!B1984,'Customer Info'!B1984:B2483,1,0)</f>
        <v>#N/A</v>
      </c>
      <c r="H1992" s="6" t="e">
        <f>VLOOKUP('Customer Info'!C1984,'Customer Info'!C1984:C2483,1)</f>
        <v>#N/A</v>
      </c>
      <c r="I1992" s="6" t="e">
        <f>VLOOKUP('Customer Info'!E1984,'Customer Info'!E1984:E2483,1,0)</f>
        <v>#N/A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262</v>
      </c>
      <c r="R1992" s="2" t="s">
        <v>28</v>
      </c>
      <c r="S1992" s="9">
        <f t="shared" si="154"/>
        <v>0.05</v>
      </c>
    </row>
    <row r="1993" spans="1:19" x14ac:dyDescent="0.3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e">
        <f>VLOOKUP('Customer Info'!B1985,'Customer Info'!B1985:B2484,1,0)</f>
        <v>#N/A</v>
      </c>
      <c r="H1993" s="6" t="e">
        <f>VLOOKUP('Customer Info'!C1985,'Customer Info'!C1985:C2484,1)</f>
        <v>#N/A</v>
      </c>
      <c r="I1993" s="6" t="e">
        <f>VLOOKUP('Customer Info'!E1985,'Customer Info'!E1985:E2484,1,0)</f>
        <v>#N/A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9</v>
      </c>
      <c r="R1993" s="2" t="s">
        <v>28</v>
      </c>
      <c r="S1993" s="9">
        <f t="shared" si="154"/>
        <v>0.02</v>
      </c>
    </row>
    <row r="1994" spans="1:19" x14ac:dyDescent="0.3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e">
        <f>VLOOKUP('Customer Info'!B1986,'Customer Info'!B1986:B2485,1,0)</f>
        <v>#N/A</v>
      </c>
      <c r="H1994" s="6" t="e">
        <f>VLOOKUP('Customer Info'!C1986,'Customer Info'!C1986:C2485,1)</f>
        <v>#N/A</v>
      </c>
      <c r="I1994" s="6" t="e">
        <f>VLOOKUP('Customer Info'!E1986,'Customer Info'!E1986:E2485,1,0)</f>
        <v>#N/A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5</v>
      </c>
      <c r="R1994" s="2" t="s">
        <v>28</v>
      </c>
      <c r="S1994" s="9">
        <f t="shared" si="154"/>
        <v>0.02</v>
      </c>
    </row>
    <row r="1995" spans="1:19" x14ac:dyDescent="0.3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e">
        <f>VLOOKUP('Customer Info'!B1987,'Customer Info'!B1987:B2486,1,0)</f>
        <v>#N/A</v>
      </c>
      <c r="H1995" s="6" t="e">
        <f>VLOOKUP('Customer Info'!C1987,'Customer Info'!C1987:C2486,1)</f>
        <v>#N/A</v>
      </c>
      <c r="I1995" s="6" t="e">
        <f>VLOOKUP('Customer Info'!E1987,'Customer Info'!E1987:E2486,1,0)</f>
        <v>#N/A</v>
      </c>
      <c r="J1995" s="2">
        <v>37949</v>
      </c>
      <c r="K1995" s="2">
        <v>34816</v>
      </c>
      <c r="L1995" s="2">
        <v>1</v>
      </c>
      <c r="M1995" s="7">
        <f t="shared" ref="M1995:M2058" si="155">(K1995*L1995)</f>
        <v>34816</v>
      </c>
      <c r="N1995" s="7">
        <f t="shared" ref="N1995:N2058" si="156">(J1995*L1995)</f>
        <v>37949</v>
      </c>
      <c r="O1995" s="2">
        <v>25</v>
      </c>
      <c r="P1995" s="8">
        <f t="shared" ref="P1995:P2058" si="157">(N1995+O1995)</f>
        <v>37974</v>
      </c>
      <c r="Q1995" s="8">
        <f t="shared" ref="Q1995:Q2058" si="158">(N1995-M1995)</f>
        <v>3133</v>
      </c>
      <c r="R1995" s="2" t="s">
        <v>28</v>
      </c>
      <c r="S1995" s="9">
        <f t="shared" ref="S1995:S2058" si="159">_xlfn.IFS(P1995&gt;250000,0.15,P1995&gt;100000,0.12,P1995&gt;50000,0.09,P1995&gt;25000,0.07,P1995&gt;5000,0.05,
 TRUE,0.02)</f>
        <v>7.0000000000000007E-2</v>
      </c>
    </row>
    <row r="1996" spans="1:19" x14ac:dyDescent="0.3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e">
        <f>VLOOKUP('Customer Info'!B1988,'Customer Info'!B1988:B2487,1,0)</f>
        <v>#N/A</v>
      </c>
      <c r="H1996" s="6" t="e">
        <f>VLOOKUP('Customer Info'!C1988,'Customer Info'!C1988:C2487,1)</f>
        <v>#N/A</v>
      </c>
      <c r="I1996" s="6" t="e">
        <f>VLOOKUP('Customer Info'!E1988,'Customer Info'!E1988:E2487,1,0)</f>
        <v>#N/A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1008</v>
      </c>
      <c r="R1996" s="2" t="s">
        <v>28</v>
      </c>
      <c r="S1996" s="9">
        <f t="shared" si="159"/>
        <v>0.05</v>
      </c>
    </row>
    <row r="1997" spans="1:19" x14ac:dyDescent="0.3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e">
        <f>VLOOKUP('Customer Info'!B1989,'Customer Info'!B1989:B2488,1,0)</f>
        <v>#N/A</v>
      </c>
      <c r="H1997" s="6" t="e">
        <f>VLOOKUP('Customer Info'!C1989,'Customer Info'!C1989:C2488,1)</f>
        <v>#N/A</v>
      </c>
      <c r="I1997" s="6" t="e">
        <f>VLOOKUP('Customer Info'!E1989,'Customer Info'!E1989:E2488,1,0)</f>
        <v>#N/A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106</v>
      </c>
      <c r="R1997" s="2" t="s">
        <v>56</v>
      </c>
      <c r="S1997" s="9">
        <f t="shared" si="159"/>
        <v>0.02</v>
      </c>
    </row>
    <row r="1998" spans="1:19" x14ac:dyDescent="0.3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e">
        <f>VLOOKUP('Customer Info'!B1990,'Customer Info'!B1990:B2489,1,0)</f>
        <v>#N/A</v>
      </c>
      <c r="H1998" s="6" t="e">
        <f>VLOOKUP('Customer Info'!C1990,'Customer Info'!C1990:C2489,1)</f>
        <v>#N/A</v>
      </c>
      <c r="I1998" s="6" t="e">
        <f>VLOOKUP('Customer Info'!E1990,'Customer Info'!E1990:E2489,1,0)</f>
        <v>#N/A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354</v>
      </c>
      <c r="R1998" s="2" t="s">
        <v>28</v>
      </c>
      <c r="S1998" s="9">
        <f t="shared" si="159"/>
        <v>0.02</v>
      </c>
    </row>
    <row r="1999" spans="1:19" x14ac:dyDescent="0.3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e">
        <f>VLOOKUP('Customer Info'!B1991,'Customer Info'!B1991:B2490,1,0)</f>
        <v>#N/A</v>
      </c>
      <c r="H1999" s="6" t="e">
        <f>VLOOKUP('Customer Info'!C1991,'Customer Info'!C1991:C2490,1)</f>
        <v>#N/A</v>
      </c>
      <c r="I1999" s="6" t="e">
        <f>VLOOKUP('Customer Info'!E1991,'Customer Info'!E1991:E2490,1,0)</f>
        <v>#N/A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45</v>
      </c>
      <c r="R1999" s="2" t="s">
        <v>50</v>
      </c>
      <c r="S1999" s="9">
        <f t="shared" si="159"/>
        <v>0.02</v>
      </c>
    </row>
    <row r="2000" spans="1:19" x14ac:dyDescent="0.3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e">
        <f>VLOOKUP('Customer Info'!B1992,'Customer Info'!B1992:B2491,1,0)</f>
        <v>#N/A</v>
      </c>
      <c r="H2000" s="6" t="e">
        <f>VLOOKUP('Customer Info'!C1992,'Customer Info'!C1992:C2491,1)</f>
        <v>#N/A</v>
      </c>
      <c r="I2000" s="6" t="e">
        <f>VLOOKUP('Customer Info'!E1992,'Customer Info'!E1992:E2491,1,0)</f>
        <v>#N/A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208</v>
      </c>
      <c r="R2000" s="2" t="s">
        <v>28</v>
      </c>
      <c r="S2000" s="9">
        <f t="shared" si="159"/>
        <v>0.05</v>
      </c>
    </row>
    <row r="2001" spans="1:19" x14ac:dyDescent="0.3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e">
        <f>VLOOKUP('Customer Info'!B1993,'Customer Info'!B1993:B2492,1,0)</f>
        <v>#N/A</v>
      </c>
      <c r="H2001" s="6" t="e">
        <f>VLOOKUP('Customer Info'!C1993,'Customer Info'!C1993:C2492,1)</f>
        <v>#N/A</v>
      </c>
      <c r="I2001" s="6" t="e">
        <f>VLOOKUP('Customer Info'!E1993,'Customer Info'!E1993:E2492,1,0)</f>
        <v>#N/A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2996</v>
      </c>
      <c r="R2001" s="2" t="s">
        <v>28</v>
      </c>
      <c r="S2001" s="9">
        <f t="shared" si="159"/>
        <v>0.09</v>
      </c>
    </row>
    <row r="2002" spans="1:19" x14ac:dyDescent="0.3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e">
        <f>VLOOKUP('Customer Info'!B1994,'Customer Info'!B1994:B2493,1,0)</f>
        <v>#N/A</v>
      </c>
      <c r="H2002" s="6" t="e">
        <f>VLOOKUP('Customer Info'!C1994,'Customer Info'!C1994:C2493,1)</f>
        <v>#N/A</v>
      </c>
      <c r="I2002" s="6" t="e">
        <f>VLOOKUP('Customer Info'!E1994,'Customer Info'!E1994:E2493,1,0)</f>
        <v>#N/A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42</v>
      </c>
      <c r="R2002" s="2" t="s">
        <v>28</v>
      </c>
      <c r="S2002" s="9">
        <f t="shared" si="159"/>
        <v>0.02</v>
      </c>
    </row>
    <row r="2003" spans="1:19" x14ac:dyDescent="0.3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e">
        <f>VLOOKUP('Customer Info'!B1995,'Customer Info'!B1995:B2494,1,0)</f>
        <v>#N/A</v>
      </c>
      <c r="H2003" s="6" t="e">
        <f>VLOOKUP('Customer Info'!C1995,'Customer Info'!C1995:C2494,1)</f>
        <v>#N/A</v>
      </c>
      <c r="I2003" s="6" t="e">
        <f>VLOOKUP('Customer Info'!E1995,'Customer Info'!E1995:E2494,1,0)</f>
        <v>#N/A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42</v>
      </c>
      <c r="R2003" s="2" t="s">
        <v>28</v>
      </c>
      <c r="S2003" s="9">
        <f t="shared" si="159"/>
        <v>0.02</v>
      </c>
    </row>
    <row r="2004" spans="1:19" x14ac:dyDescent="0.3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e">
        <f>VLOOKUP('Customer Info'!B1996,'Customer Info'!B1996:B2495,1,0)</f>
        <v>#N/A</v>
      </c>
      <c r="H2004" s="6" t="e">
        <f>VLOOKUP('Customer Info'!C1996,'Customer Info'!C1996:C2495,1)</f>
        <v>#N/A</v>
      </c>
      <c r="I2004" s="6" t="e">
        <f>VLOOKUP('Customer Info'!E1996,'Customer Info'!E1996:E2495,1,0)</f>
        <v>#N/A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2079</v>
      </c>
      <c r="R2004" s="2" t="s">
        <v>50</v>
      </c>
      <c r="S2004" s="9">
        <f t="shared" si="159"/>
        <v>7.0000000000000007E-2</v>
      </c>
    </row>
    <row r="2005" spans="1:19" x14ac:dyDescent="0.3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e">
        <f>VLOOKUP('Customer Info'!B1997,'Customer Info'!B1997:B2496,1,0)</f>
        <v>#N/A</v>
      </c>
      <c r="H2005" s="6" t="e">
        <f>VLOOKUP('Customer Info'!C1997,'Customer Info'!C1997:C2496,1)</f>
        <v>#N/A</v>
      </c>
      <c r="I2005" s="6" t="e">
        <f>VLOOKUP('Customer Info'!E1997,'Customer Info'!E1997:E2496,1,0)</f>
        <v>#N/A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542</v>
      </c>
      <c r="R2005" s="2" t="s">
        <v>50</v>
      </c>
      <c r="S2005" s="9">
        <f t="shared" si="159"/>
        <v>0.05</v>
      </c>
    </row>
    <row r="2006" spans="1:19" x14ac:dyDescent="0.3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e">
        <f>VLOOKUP('Customer Info'!B1998,'Customer Info'!B1998:B2497,1,0)</f>
        <v>#N/A</v>
      </c>
      <c r="H2006" s="6" t="e">
        <f>VLOOKUP('Customer Info'!C1998,'Customer Info'!C1998:C2497,1)</f>
        <v>#N/A</v>
      </c>
      <c r="I2006" s="6" t="e">
        <f>VLOOKUP('Customer Info'!E1998,'Customer Info'!E1998:E2497,1,0)</f>
        <v>#N/A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8</v>
      </c>
      <c r="R2006" s="2" t="s">
        <v>28</v>
      </c>
      <c r="S2006" s="9">
        <f t="shared" si="159"/>
        <v>0.02</v>
      </c>
    </row>
    <row r="2007" spans="1:19" x14ac:dyDescent="0.3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e">
        <f>VLOOKUP('Customer Info'!B1999,'Customer Info'!B1999:B2498,1,0)</f>
        <v>#N/A</v>
      </c>
      <c r="H2007" s="6" t="e">
        <f>VLOOKUP('Customer Info'!C1999,'Customer Info'!C1999:C2498,1)</f>
        <v>#N/A</v>
      </c>
      <c r="I2007" s="6" t="e">
        <f>VLOOKUP('Customer Info'!E1999,'Customer Info'!E1999:E2498,1,0)</f>
        <v>#N/A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5</v>
      </c>
      <c r="R2007" s="2" t="s">
        <v>28</v>
      </c>
      <c r="S2007" s="9">
        <f t="shared" si="159"/>
        <v>0.02</v>
      </c>
    </row>
    <row r="2008" spans="1:19" x14ac:dyDescent="0.3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e">
        <f>VLOOKUP('Customer Info'!B2000,'Customer Info'!B2000:B2499,1,0)</f>
        <v>#N/A</v>
      </c>
      <c r="H2008" s="6" t="e">
        <f>VLOOKUP('Customer Info'!C2000,'Customer Info'!C2000:C2499,1)</f>
        <v>#N/A</v>
      </c>
      <c r="I2008" s="6" t="e">
        <f>VLOOKUP('Customer Info'!E2000,'Customer Info'!E2000:E2499,1,0)</f>
        <v>#N/A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798</v>
      </c>
      <c r="R2008" s="2" t="s">
        <v>26</v>
      </c>
      <c r="S2008" s="9">
        <f t="shared" si="159"/>
        <v>0.05</v>
      </c>
    </row>
    <row r="2009" spans="1:19" x14ac:dyDescent="0.3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e">
        <f>VLOOKUP('Customer Info'!B2001,'Customer Info'!B2001:B2500,1,0)</f>
        <v>#N/A</v>
      </c>
      <c r="H2009" s="6" t="e">
        <f>VLOOKUP('Customer Info'!C2001,'Customer Info'!C2001:C2500,1)</f>
        <v>#N/A</v>
      </c>
      <c r="I2009" s="6" t="e">
        <f>VLOOKUP('Customer Info'!E2001,'Customer Info'!E2001:E2500,1,0)</f>
        <v>#N/A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192</v>
      </c>
      <c r="R2009" s="2" t="s">
        <v>26</v>
      </c>
      <c r="S2009" s="9">
        <f t="shared" si="159"/>
        <v>0.02</v>
      </c>
    </row>
    <row r="2010" spans="1:19" x14ac:dyDescent="0.3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e">
        <f>VLOOKUP('Customer Info'!B2002,'Customer Info'!B2002:B2501,1,0)</f>
        <v>#N/A</v>
      </c>
      <c r="H2010" s="6" t="e">
        <f>VLOOKUP('Customer Info'!C2002,'Customer Info'!C2002:C2501,1)</f>
        <v>#N/A</v>
      </c>
      <c r="I2010" s="6" t="e">
        <f>VLOOKUP('Customer Info'!E2002,'Customer Info'!E2002:E2501,1,0)</f>
        <v>#N/A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351</v>
      </c>
      <c r="R2010" s="2" t="s">
        <v>28</v>
      </c>
      <c r="S2010" s="9">
        <f t="shared" si="159"/>
        <v>0.05</v>
      </c>
    </row>
    <row r="2011" spans="1:19" x14ac:dyDescent="0.3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e">
        <f>VLOOKUP('Customer Info'!B2003,'Customer Info'!B2003:B2502,1,0)</f>
        <v>#N/A</v>
      </c>
      <c r="H2011" s="6" t="e">
        <f>VLOOKUP('Customer Info'!C2003,'Customer Info'!C2003:C2502,1)</f>
        <v>#N/A</v>
      </c>
      <c r="I2011" s="6" t="e">
        <f>VLOOKUP('Customer Info'!E2003,'Customer Info'!E2003:E2502,1,0)</f>
        <v>#N/A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178</v>
      </c>
      <c r="R2011" s="2" t="s">
        <v>50</v>
      </c>
      <c r="S2011" s="9">
        <f t="shared" si="159"/>
        <v>0.02</v>
      </c>
    </row>
    <row r="2012" spans="1:19" x14ac:dyDescent="0.3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e">
        <f>VLOOKUP('Customer Info'!B2004,'Customer Info'!B2004:B2503,1,0)</f>
        <v>#N/A</v>
      </c>
      <c r="H2012" s="6" t="e">
        <f>VLOOKUP('Customer Info'!C2004,'Customer Info'!C2004:C2503,1)</f>
        <v>#N/A</v>
      </c>
      <c r="I2012" s="6" t="e">
        <f>VLOOKUP('Customer Info'!E2004,'Customer Info'!E2004:E2503,1,0)</f>
        <v>#N/A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6328</v>
      </c>
      <c r="R2012" s="2" t="s">
        <v>50</v>
      </c>
      <c r="S2012" s="9">
        <f t="shared" si="159"/>
        <v>0.09</v>
      </c>
    </row>
    <row r="2013" spans="1:19" x14ac:dyDescent="0.3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e">
        <f>VLOOKUP('Customer Info'!B2005,'Customer Info'!B2005:B2504,1,0)</f>
        <v>#N/A</v>
      </c>
      <c r="H2013" s="6" t="e">
        <f>VLOOKUP('Customer Info'!C2005,'Customer Info'!C2005:C2504,1)</f>
        <v>#N/A</v>
      </c>
      <c r="I2013" s="6" t="e">
        <f>VLOOKUP('Customer Info'!E2005,'Customer Info'!E2005:E2504,1,0)</f>
        <v>#N/A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234</v>
      </c>
      <c r="R2013" s="2" t="s">
        <v>50</v>
      </c>
      <c r="S2013" s="9">
        <f t="shared" si="159"/>
        <v>0.02</v>
      </c>
    </row>
    <row r="2014" spans="1:19" x14ac:dyDescent="0.3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e">
        <f>VLOOKUP('Customer Info'!B2006,'Customer Info'!B2006:B2505,1,0)</f>
        <v>#N/A</v>
      </c>
      <c r="H2014" s="6" t="e">
        <f>VLOOKUP('Customer Info'!C2006,'Customer Info'!C2006:C2505,1)</f>
        <v>#N/A</v>
      </c>
      <c r="I2014" s="6" t="e">
        <f>VLOOKUP('Customer Info'!E2006,'Customer Info'!E2006:E2505,1,0)</f>
        <v>#N/A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720</v>
      </c>
      <c r="R2014" s="2" t="s">
        <v>28</v>
      </c>
      <c r="S2014" s="9">
        <f t="shared" si="159"/>
        <v>0.05</v>
      </c>
    </row>
    <row r="2015" spans="1:19" x14ac:dyDescent="0.3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e">
        <f>VLOOKUP('Customer Info'!B2007,'Customer Info'!B2007:B2506,1,0)</f>
        <v>#N/A</v>
      </c>
      <c r="H2015" s="6" t="e">
        <f>VLOOKUP('Customer Info'!C2007,'Customer Info'!C2007:C2506,1)</f>
        <v>#N/A</v>
      </c>
      <c r="I2015" s="6" t="e">
        <f>VLOOKUP('Customer Info'!E2007,'Customer Info'!E2007:E2506,1,0)</f>
        <v>#N/A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35</v>
      </c>
      <c r="R2015" s="2" t="s">
        <v>28</v>
      </c>
      <c r="S2015" s="9">
        <f t="shared" si="159"/>
        <v>0.02</v>
      </c>
    </row>
    <row r="2016" spans="1:19" x14ac:dyDescent="0.3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e">
        <f>VLOOKUP('Customer Info'!B2008,'Customer Info'!B2008:B2507,1,0)</f>
        <v>#N/A</v>
      </c>
      <c r="H2016" s="6" t="e">
        <f>VLOOKUP('Customer Info'!C2008,'Customer Info'!C2008:C2507,1)</f>
        <v>#N/A</v>
      </c>
      <c r="I2016" s="6" t="e">
        <f>VLOOKUP('Customer Info'!E2008,'Customer Info'!E2008:E2507,1,0)</f>
        <v>#N/A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254</v>
      </c>
      <c r="R2016" s="2" t="s">
        <v>26</v>
      </c>
      <c r="S2016" s="9">
        <f t="shared" si="159"/>
        <v>0.02</v>
      </c>
    </row>
    <row r="2017" spans="1:19" x14ac:dyDescent="0.3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e">
        <f>VLOOKUP('Customer Info'!B2009,'Customer Info'!B2009:B2508,1,0)</f>
        <v>#N/A</v>
      </c>
      <c r="H2017" s="6" t="e">
        <f>VLOOKUP('Customer Info'!C2009,'Customer Info'!C2009:C2508,1)</f>
        <v>#N/A</v>
      </c>
      <c r="I2017" s="6" t="e">
        <f>VLOOKUP('Customer Info'!E2009,'Customer Info'!E2009:E2508,1,0)</f>
        <v>#N/A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478</v>
      </c>
      <c r="R2017" s="2" t="s">
        <v>50</v>
      </c>
      <c r="S2017" s="9">
        <f t="shared" si="159"/>
        <v>0.05</v>
      </c>
    </row>
    <row r="2018" spans="1:19" x14ac:dyDescent="0.3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e">
        <f>VLOOKUP('Customer Info'!B2010,'Customer Info'!B2010:B2509,1,0)</f>
        <v>#N/A</v>
      </c>
      <c r="H2018" s="6" t="e">
        <f>VLOOKUP('Customer Info'!C2010,'Customer Info'!C2010:C2509,1)</f>
        <v>#N/A</v>
      </c>
      <c r="I2018" s="6" t="e">
        <f>VLOOKUP('Customer Info'!E2010,'Customer Info'!E2010:E2509,1,0)</f>
        <v>#N/A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120</v>
      </c>
      <c r="R2018" s="2" t="s">
        <v>50</v>
      </c>
      <c r="S2018" s="9">
        <f t="shared" si="159"/>
        <v>0.02</v>
      </c>
    </row>
    <row r="2019" spans="1:19" x14ac:dyDescent="0.3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e">
        <f>VLOOKUP('Customer Info'!B2011,'Customer Info'!B2011:B2510,1,0)</f>
        <v>#N/A</v>
      </c>
      <c r="H2019" s="6" t="e">
        <f>VLOOKUP('Customer Info'!C2011,'Customer Info'!C2011:C2510,1)</f>
        <v>#N/A</v>
      </c>
      <c r="I2019" s="6" t="e">
        <f>VLOOKUP('Customer Info'!E2011,'Customer Info'!E2011:E2510,1,0)</f>
        <v>#N/A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1645</v>
      </c>
      <c r="R2019" s="2" t="s">
        <v>28</v>
      </c>
      <c r="S2019" s="9">
        <f t="shared" si="159"/>
        <v>0.05</v>
      </c>
    </row>
    <row r="2020" spans="1:19" x14ac:dyDescent="0.3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e">
        <f>VLOOKUP('Customer Info'!B2012,'Customer Info'!B2012:B2511,1,0)</f>
        <v>#N/A</v>
      </c>
      <c r="H2020" s="6" t="e">
        <f>VLOOKUP('Customer Info'!C2012,'Customer Info'!C2012:C2511,1)</f>
        <v>#N/A</v>
      </c>
      <c r="I2020" s="6" t="e">
        <f>VLOOKUP('Customer Info'!E2012,'Customer Info'!E2012:E2511,1,0)</f>
        <v>#N/A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810</v>
      </c>
      <c r="R2020" s="2" t="s">
        <v>50</v>
      </c>
      <c r="S2020" s="9">
        <f t="shared" si="159"/>
        <v>0.05</v>
      </c>
    </row>
    <row r="2021" spans="1:19" x14ac:dyDescent="0.3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e">
        <f>VLOOKUP('Customer Info'!B2013,'Customer Info'!B2013:B2512,1,0)</f>
        <v>#N/A</v>
      </c>
      <c r="H2021" s="6" t="e">
        <f>VLOOKUP('Customer Info'!C2013,'Customer Info'!C2013:C2512,1)</f>
        <v>#N/A</v>
      </c>
      <c r="I2021" s="6" t="e">
        <f>VLOOKUP('Customer Info'!E2013,'Customer Info'!E2013:E2512,1,0)</f>
        <v>#N/A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247</v>
      </c>
      <c r="R2021" s="2" t="s">
        <v>28</v>
      </c>
      <c r="S2021" s="9">
        <f t="shared" si="159"/>
        <v>0.02</v>
      </c>
    </row>
    <row r="2022" spans="1:19" x14ac:dyDescent="0.3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e">
        <f>VLOOKUP('Customer Info'!B2014,'Customer Info'!B2014:B2513,1,0)</f>
        <v>#N/A</v>
      </c>
      <c r="H2022" s="6" t="e">
        <f>VLOOKUP('Customer Info'!C2014,'Customer Info'!C2014:C2513,1)</f>
        <v>#N/A</v>
      </c>
      <c r="I2022" s="6" t="e">
        <f>VLOOKUP('Customer Info'!E2014,'Customer Info'!E2014:E2513,1,0)</f>
        <v>#N/A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132</v>
      </c>
      <c r="R2022" s="2" t="s">
        <v>26</v>
      </c>
      <c r="S2022" s="9">
        <f t="shared" si="159"/>
        <v>0.02</v>
      </c>
    </row>
    <row r="2023" spans="1:19" x14ac:dyDescent="0.3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e">
        <f>VLOOKUP('Customer Info'!B2015,'Customer Info'!B2015:B2514,1,0)</f>
        <v>#N/A</v>
      </c>
      <c r="H2023" s="6" t="e">
        <f>VLOOKUP('Customer Info'!C2015,'Customer Info'!C2015:C2514,1)</f>
        <v>#N/A</v>
      </c>
      <c r="I2023" s="6" t="e">
        <f>VLOOKUP('Customer Info'!E2015,'Customer Info'!E2015:E2514,1,0)</f>
        <v>#N/A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405</v>
      </c>
      <c r="R2023" s="2" t="s">
        <v>50</v>
      </c>
      <c r="S2023" s="9">
        <f t="shared" si="159"/>
        <v>0.02</v>
      </c>
    </row>
    <row r="2024" spans="1:19" x14ac:dyDescent="0.3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e">
        <f>VLOOKUP('Customer Info'!B2016,'Customer Info'!B2016:B2515,1,0)</f>
        <v>#N/A</v>
      </c>
      <c r="H2024" s="6" t="e">
        <f>VLOOKUP('Customer Info'!C2016,'Customer Info'!C2016:C2515,1)</f>
        <v>#N/A</v>
      </c>
      <c r="I2024" s="6" t="e">
        <f>VLOOKUP('Customer Info'!E2016,'Customer Info'!E2016:E2515,1,0)</f>
        <v>#N/A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5784</v>
      </c>
      <c r="R2024" s="2" t="s">
        <v>26</v>
      </c>
      <c r="S2024" s="9">
        <f t="shared" si="159"/>
        <v>0.09</v>
      </c>
    </row>
    <row r="2025" spans="1:19" x14ac:dyDescent="0.3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e">
        <f>VLOOKUP('Customer Info'!B2017,'Customer Info'!B2017:B2516,1,0)</f>
        <v>#N/A</v>
      </c>
      <c r="H2025" s="6" t="e">
        <f>VLOOKUP('Customer Info'!C2017,'Customer Info'!C2017:C2516,1)</f>
        <v>#N/A</v>
      </c>
      <c r="I2025" s="6" t="e">
        <f>VLOOKUP('Customer Info'!E2017,'Customer Info'!E2017:E2516,1,0)</f>
        <v>#N/A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5</v>
      </c>
      <c r="R2025" s="2" t="s">
        <v>28</v>
      </c>
      <c r="S2025" s="9">
        <f t="shared" si="159"/>
        <v>0.02</v>
      </c>
    </row>
    <row r="2026" spans="1:19" x14ac:dyDescent="0.3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e">
        <f>VLOOKUP('Customer Info'!B2018,'Customer Info'!B2018:B2517,1,0)</f>
        <v>#N/A</v>
      </c>
      <c r="H2026" s="6" t="e">
        <f>VLOOKUP('Customer Info'!C2018,'Customer Info'!C2018:C2517,1)</f>
        <v>#N/A</v>
      </c>
      <c r="I2026" s="6" t="e">
        <f>VLOOKUP('Customer Info'!E2018,'Customer Info'!E2018:E2517,1,0)</f>
        <v>#N/A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13</v>
      </c>
      <c r="R2026" s="2" t="s">
        <v>56</v>
      </c>
      <c r="S2026" s="9">
        <f t="shared" si="159"/>
        <v>0.02</v>
      </c>
    </row>
    <row r="2027" spans="1:19" x14ac:dyDescent="0.3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e">
        <f>VLOOKUP('Customer Info'!B2019,'Customer Info'!B2019:B2518,1,0)</f>
        <v>#N/A</v>
      </c>
      <c r="H2027" s="6" t="e">
        <f>VLOOKUP('Customer Info'!C2019,'Customer Info'!C2019:C2518,1)</f>
        <v>#N/A</v>
      </c>
      <c r="I2027" s="6" t="e">
        <f>VLOOKUP('Customer Info'!E2019,'Customer Info'!E2019:E2518,1,0)</f>
        <v>#N/A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472</v>
      </c>
      <c r="R2027" s="2" t="s">
        <v>56</v>
      </c>
      <c r="S2027" s="9">
        <f t="shared" si="159"/>
        <v>0.05</v>
      </c>
    </row>
    <row r="2028" spans="1:19" x14ac:dyDescent="0.3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e">
        <f>VLOOKUP('Customer Info'!B2020,'Customer Info'!B2020:B2519,1,0)</f>
        <v>#N/A</v>
      </c>
      <c r="H2028" s="6" t="e">
        <f>VLOOKUP('Customer Info'!C2020,'Customer Info'!C2020:C2519,1)</f>
        <v>#N/A</v>
      </c>
      <c r="I2028" s="6" t="e">
        <f>VLOOKUP('Customer Info'!E2020,'Customer Info'!E2020:E2519,1,0)</f>
        <v>#N/A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159</v>
      </c>
      <c r="R2028" s="2" t="s">
        <v>28</v>
      </c>
      <c r="S2028" s="9">
        <f t="shared" si="159"/>
        <v>0.02</v>
      </c>
    </row>
    <row r="2029" spans="1:19" x14ac:dyDescent="0.3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e">
        <f>VLOOKUP('Customer Info'!B2021,'Customer Info'!B2021:B2520,1,0)</f>
        <v>#N/A</v>
      </c>
      <c r="H2029" s="6" t="e">
        <f>VLOOKUP('Customer Info'!C2021,'Customer Info'!C2021:C2520,1)</f>
        <v>#N/A</v>
      </c>
      <c r="I2029" s="6" t="e">
        <f>VLOOKUP('Customer Info'!E2021,'Customer Info'!E2021:E2520,1,0)</f>
        <v>#N/A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380</v>
      </c>
      <c r="R2029" s="2" t="s">
        <v>28</v>
      </c>
      <c r="S2029" s="9">
        <f t="shared" si="159"/>
        <v>0.05</v>
      </c>
    </row>
    <row r="2030" spans="1:19" x14ac:dyDescent="0.3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e">
        <f>VLOOKUP('Customer Info'!B2022,'Customer Info'!B2022:B2521,1,0)</f>
        <v>#N/A</v>
      </c>
      <c r="H2030" s="6" t="e">
        <f>VLOOKUP('Customer Info'!C2022,'Customer Info'!C2022:C2521,1)</f>
        <v>#N/A</v>
      </c>
      <c r="I2030" s="6" t="e">
        <f>VLOOKUP('Customer Info'!E2022,'Customer Info'!E2022:E2521,1,0)</f>
        <v>#N/A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708</v>
      </c>
      <c r="R2030" s="2" t="s">
        <v>26</v>
      </c>
      <c r="S2030" s="9">
        <f t="shared" si="159"/>
        <v>0.05</v>
      </c>
    </row>
    <row r="2031" spans="1:19" x14ac:dyDescent="0.3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e">
        <f>VLOOKUP('Customer Info'!B2023,'Customer Info'!B2023:B2522,1,0)</f>
        <v>#N/A</v>
      </c>
      <c r="H2031" s="6" t="e">
        <f>VLOOKUP('Customer Info'!C2023,'Customer Info'!C2023:C2522,1)</f>
        <v>#N/A</v>
      </c>
      <c r="I2031" s="6" t="e">
        <f>VLOOKUP('Customer Info'!E2023,'Customer Info'!E2023:E2522,1,0)</f>
        <v>#N/A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36</v>
      </c>
      <c r="R2031" s="2" t="s">
        <v>28</v>
      </c>
      <c r="S2031" s="9">
        <f t="shared" si="159"/>
        <v>0.02</v>
      </c>
    </row>
    <row r="2032" spans="1:19" x14ac:dyDescent="0.3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e">
        <f>VLOOKUP('Customer Info'!B2024,'Customer Info'!B2024:B2523,1,0)</f>
        <v>#N/A</v>
      </c>
      <c r="H2032" s="6" t="e">
        <f>VLOOKUP('Customer Info'!C2024,'Customer Info'!C2024:C2523,1)</f>
        <v>#N/A</v>
      </c>
      <c r="I2032" s="6" t="e">
        <f>VLOOKUP('Customer Info'!E2024,'Customer Info'!E2024:E2523,1,0)</f>
        <v>#N/A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381</v>
      </c>
      <c r="R2032" s="2" t="s">
        <v>28</v>
      </c>
      <c r="S2032" s="9">
        <f t="shared" si="159"/>
        <v>0.05</v>
      </c>
    </row>
    <row r="2033" spans="1:19" x14ac:dyDescent="0.3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e">
        <f>VLOOKUP('Customer Info'!B2025,'Customer Info'!B2025:B2524,1,0)</f>
        <v>#N/A</v>
      </c>
      <c r="H2033" s="6" t="e">
        <f>VLOOKUP('Customer Info'!C2025,'Customer Info'!C2025:C2524,1)</f>
        <v>#N/A</v>
      </c>
      <c r="I2033" s="6" t="e">
        <f>VLOOKUP('Customer Info'!E2025,'Customer Info'!E2025:E2524,1,0)</f>
        <v>#N/A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3604</v>
      </c>
      <c r="R2033" s="2" t="s">
        <v>28</v>
      </c>
      <c r="S2033" s="9">
        <f t="shared" si="159"/>
        <v>7.0000000000000007E-2</v>
      </c>
    </row>
    <row r="2034" spans="1:19" x14ac:dyDescent="0.3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e">
        <f>VLOOKUP('Customer Info'!B2026,'Customer Info'!B2026:B2525,1,0)</f>
        <v>#N/A</v>
      </c>
      <c r="H2034" s="6" t="e">
        <f>VLOOKUP('Customer Info'!C2026,'Customer Info'!C2026:C2525,1)</f>
        <v>#N/A</v>
      </c>
      <c r="I2034" s="6" t="e">
        <f>VLOOKUP('Customer Info'!E2026,'Customer Info'!E2026:E2525,1,0)</f>
        <v>#N/A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756</v>
      </c>
      <c r="R2034" s="2" t="s">
        <v>50</v>
      </c>
      <c r="S2034" s="9">
        <f t="shared" si="159"/>
        <v>0.05</v>
      </c>
    </row>
    <row r="2035" spans="1:19" x14ac:dyDescent="0.3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e">
        <f>VLOOKUP('Customer Info'!B2027,'Customer Info'!B2027:B2526,1,0)</f>
        <v>#N/A</v>
      </c>
      <c r="H2035" s="6" t="e">
        <f>VLOOKUP('Customer Info'!C2027,'Customer Info'!C2027:C2526,1)</f>
        <v>#N/A</v>
      </c>
      <c r="I2035" s="6" t="e">
        <f>VLOOKUP('Customer Info'!E2027,'Customer Info'!E2027:E2526,1,0)</f>
        <v>#N/A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183</v>
      </c>
      <c r="R2035" s="2" t="s">
        <v>50</v>
      </c>
      <c r="S2035" s="9">
        <f t="shared" si="159"/>
        <v>0.02</v>
      </c>
    </row>
    <row r="2036" spans="1:19" x14ac:dyDescent="0.3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e">
        <f>VLOOKUP('Customer Info'!B2028,'Customer Info'!B2028:B2527,1,0)</f>
        <v>#N/A</v>
      </c>
      <c r="H2036" s="6" t="e">
        <f>VLOOKUP('Customer Info'!C2028,'Customer Info'!C2028:C2527,1)</f>
        <v>#N/A</v>
      </c>
      <c r="I2036" s="6" t="e">
        <f>VLOOKUP('Customer Info'!E2028,'Customer Info'!E2028:E2527,1,0)</f>
        <v>#N/A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919</v>
      </c>
      <c r="R2036" s="2" t="s">
        <v>50</v>
      </c>
      <c r="S2036" s="9">
        <f t="shared" si="159"/>
        <v>0.05</v>
      </c>
    </row>
    <row r="2037" spans="1:19" x14ac:dyDescent="0.3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e">
        <f>VLOOKUP('Customer Info'!B2029,'Customer Info'!B2029:B2528,1,0)</f>
        <v>#N/A</v>
      </c>
      <c r="H2037" s="6" t="e">
        <f>VLOOKUP('Customer Info'!C2029,'Customer Info'!C2029:C2528,1)</f>
        <v>#N/A</v>
      </c>
      <c r="I2037" s="6" t="e">
        <f>VLOOKUP('Customer Info'!E2029,'Customer Info'!E2029:E2528,1,0)</f>
        <v>#N/A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56</v>
      </c>
      <c r="R2037" s="2" t="s">
        <v>50</v>
      </c>
      <c r="S2037" s="9">
        <f t="shared" si="159"/>
        <v>0.02</v>
      </c>
    </row>
    <row r="2038" spans="1:19" x14ac:dyDescent="0.3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e">
        <f>VLOOKUP('Customer Info'!B2030,'Customer Info'!B2030:B2529,1,0)</f>
        <v>#N/A</v>
      </c>
      <c r="H2038" s="6" t="e">
        <f>VLOOKUP('Customer Info'!C2030,'Customer Info'!C2030:C2529,1)</f>
        <v>#N/A</v>
      </c>
      <c r="I2038" s="6" t="e">
        <f>VLOOKUP('Customer Info'!E2030,'Customer Info'!E2030:E2529,1,0)</f>
        <v>#N/A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144</v>
      </c>
      <c r="R2038" s="2" t="s">
        <v>28</v>
      </c>
      <c r="S2038" s="9">
        <f t="shared" si="159"/>
        <v>0.02</v>
      </c>
    </row>
    <row r="2039" spans="1:19" x14ac:dyDescent="0.3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e">
        <f>VLOOKUP('Customer Info'!B2031,'Customer Info'!B2031:B2530,1,0)</f>
        <v>#N/A</v>
      </c>
      <c r="H2039" s="6" t="e">
        <f>VLOOKUP('Customer Info'!C2031,'Customer Info'!C2031:C2530,1)</f>
        <v>#N/A</v>
      </c>
      <c r="I2039" s="6" t="e">
        <f>VLOOKUP('Customer Info'!E2031,'Customer Info'!E2031:E2530,1,0)</f>
        <v>#N/A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180</v>
      </c>
      <c r="R2039" s="2" t="s">
        <v>28</v>
      </c>
      <c r="S2039" s="9">
        <f t="shared" si="159"/>
        <v>0.02</v>
      </c>
    </row>
    <row r="2040" spans="1:19" x14ac:dyDescent="0.3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e">
        <f>VLOOKUP('Customer Info'!B2032,'Customer Info'!B2032:B2531,1,0)</f>
        <v>#N/A</v>
      </c>
      <c r="H2040" s="6" t="e">
        <f>VLOOKUP('Customer Info'!C2032,'Customer Info'!C2032:C2531,1)</f>
        <v>#N/A</v>
      </c>
      <c r="I2040" s="6" t="e">
        <f>VLOOKUP('Customer Info'!E2032,'Customer Info'!E2032:E2531,1,0)</f>
        <v>#N/A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255</v>
      </c>
      <c r="R2040" s="2" t="s">
        <v>50</v>
      </c>
      <c r="S2040" s="9">
        <f t="shared" si="159"/>
        <v>0.02</v>
      </c>
    </row>
    <row r="2041" spans="1:19" x14ac:dyDescent="0.3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e">
        <f>VLOOKUP('Customer Info'!B2033,'Customer Info'!B2033:B2532,1,0)</f>
        <v>#N/A</v>
      </c>
      <c r="H2041" s="6" t="e">
        <f>VLOOKUP('Customer Info'!C2033,'Customer Info'!C2033:C2532,1)</f>
        <v>#N/A</v>
      </c>
      <c r="I2041" s="6" t="e">
        <f>VLOOKUP('Customer Info'!E2033,'Customer Info'!E2033:E2532,1,0)</f>
        <v>#N/A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181</v>
      </c>
      <c r="R2041" s="2" t="s">
        <v>28</v>
      </c>
      <c r="S2041" s="9">
        <f t="shared" si="159"/>
        <v>0.02</v>
      </c>
    </row>
    <row r="2042" spans="1:19" x14ac:dyDescent="0.3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e">
        <f>VLOOKUP('Customer Info'!B2034,'Customer Info'!B2034:B2533,1,0)</f>
        <v>#N/A</v>
      </c>
      <c r="H2042" s="6" t="e">
        <f>VLOOKUP('Customer Info'!C2034,'Customer Info'!C2034:C2533,1)</f>
        <v>#N/A</v>
      </c>
      <c r="I2042" s="6" t="e">
        <f>VLOOKUP('Customer Info'!E2034,'Customer Info'!E2034:E2533,1,0)</f>
        <v>#N/A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54</v>
      </c>
      <c r="R2042" s="2" t="s">
        <v>28</v>
      </c>
      <c r="S2042" s="9">
        <f t="shared" si="159"/>
        <v>0.02</v>
      </c>
    </row>
    <row r="2043" spans="1:19" x14ac:dyDescent="0.3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e">
        <f>VLOOKUP('Customer Info'!B2035,'Customer Info'!B2035:B2534,1,0)</f>
        <v>#N/A</v>
      </c>
      <c r="H2043" s="6" t="e">
        <f>VLOOKUP('Customer Info'!C2035,'Customer Info'!C2035:C2534,1)</f>
        <v>#N/A</v>
      </c>
      <c r="I2043" s="6" t="e">
        <f>VLOOKUP('Customer Info'!E2035,'Customer Info'!E2035:E2534,1,0)</f>
        <v>#N/A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296</v>
      </c>
      <c r="R2043" s="2" t="s">
        <v>28</v>
      </c>
      <c r="S2043" s="9">
        <f t="shared" si="159"/>
        <v>0.02</v>
      </c>
    </row>
    <row r="2044" spans="1:19" x14ac:dyDescent="0.3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e">
        <f>VLOOKUP('Customer Info'!B2036,'Customer Info'!B2036:B2535,1,0)</f>
        <v>#N/A</v>
      </c>
      <c r="H2044" s="6" t="e">
        <f>VLOOKUP('Customer Info'!C2036,'Customer Info'!C2036:C2535,1)</f>
        <v>#N/A</v>
      </c>
      <c r="I2044" s="6" t="e">
        <f>VLOOKUP('Customer Info'!E2036,'Customer Info'!E2036:E2535,1,0)</f>
        <v>#N/A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194</v>
      </c>
      <c r="R2044" s="2" t="s">
        <v>28</v>
      </c>
      <c r="S2044" s="9">
        <f t="shared" si="159"/>
        <v>0.02</v>
      </c>
    </row>
    <row r="2045" spans="1:19" x14ac:dyDescent="0.3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e">
        <f>VLOOKUP('Customer Info'!B2037,'Customer Info'!B2037:B2536,1,0)</f>
        <v>#N/A</v>
      </c>
      <c r="H2045" s="6" t="e">
        <f>VLOOKUP('Customer Info'!C2037,'Customer Info'!C2037:C2536,1)</f>
        <v>#N/A</v>
      </c>
      <c r="I2045" s="6" t="e">
        <f>VLOOKUP('Customer Info'!E2037,'Customer Info'!E2037:E2536,1,0)</f>
        <v>#N/A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408</v>
      </c>
      <c r="R2045" s="2" t="s">
        <v>28</v>
      </c>
      <c r="S2045" s="9">
        <f t="shared" si="159"/>
        <v>0.05</v>
      </c>
    </row>
    <row r="2046" spans="1:19" x14ac:dyDescent="0.3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e">
        <f>VLOOKUP('Customer Info'!B2038,'Customer Info'!B2038:B2537,1,0)</f>
        <v>#N/A</v>
      </c>
      <c r="H2046" s="6" t="e">
        <f>VLOOKUP('Customer Info'!C2038,'Customer Info'!C2038:C2537,1)</f>
        <v>#N/A</v>
      </c>
      <c r="I2046" s="6" t="e">
        <f>VLOOKUP('Customer Info'!E2038,'Customer Info'!E2038:E2537,1,0)</f>
        <v>#N/A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236</v>
      </c>
      <c r="R2046" s="2" t="s">
        <v>28</v>
      </c>
      <c r="S2046" s="9">
        <f t="shared" si="159"/>
        <v>0.05</v>
      </c>
    </row>
    <row r="2047" spans="1:19" x14ac:dyDescent="0.3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e">
        <f>VLOOKUP('Customer Info'!B2039,'Customer Info'!B2039:B2538,1,0)</f>
        <v>#N/A</v>
      </c>
      <c r="H2047" s="6" t="e">
        <f>VLOOKUP('Customer Info'!C2039,'Customer Info'!C2039:C2538,1)</f>
        <v>#N/A</v>
      </c>
      <c r="I2047" s="6" t="e">
        <f>VLOOKUP('Customer Info'!E2039,'Customer Info'!E2039:E2538,1,0)</f>
        <v>#N/A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528</v>
      </c>
      <c r="R2047" s="2" t="s">
        <v>28</v>
      </c>
      <c r="S2047" s="9">
        <f t="shared" si="159"/>
        <v>0.05</v>
      </c>
    </row>
    <row r="2048" spans="1:19" x14ac:dyDescent="0.3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e">
        <f>VLOOKUP('Customer Info'!B2040,'Customer Info'!B2040:B2539,1,0)</f>
        <v>#N/A</v>
      </c>
      <c r="H2048" s="6" t="e">
        <f>VLOOKUP('Customer Info'!C2040,'Customer Info'!C2040:C2539,1)</f>
        <v>#N/A</v>
      </c>
      <c r="I2048" s="6" t="e">
        <f>VLOOKUP('Customer Info'!E2040,'Customer Info'!E2040:E2539,1,0)</f>
        <v>#N/A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40</v>
      </c>
      <c r="R2048" s="2" t="s">
        <v>50</v>
      </c>
      <c r="S2048" s="9">
        <f t="shared" si="159"/>
        <v>0.02</v>
      </c>
    </row>
    <row r="2049" spans="1:19" x14ac:dyDescent="0.3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e">
        <f>VLOOKUP('Customer Info'!B2041,'Customer Info'!B2041:B2540,1,0)</f>
        <v>#N/A</v>
      </c>
      <c r="H2049" s="6" t="e">
        <f>VLOOKUP('Customer Info'!C2041,'Customer Info'!C2041:C2540,1)</f>
        <v>#N/A</v>
      </c>
      <c r="I2049" s="6" t="e">
        <f>VLOOKUP('Customer Info'!E2041,'Customer Info'!E2041:E2540,1,0)</f>
        <v>#N/A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348</v>
      </c>
      <c r="R2049" s="2" t="s">
        <v>50</v>
      </c>
      <c r="S2049" s="9">
        <f t="shared" si="159"/>
        <v>0.02</v>
      </c>
    </row>
    <row r="2050" spans="1:19" x14ac:dyDescent="0.3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e">
        <f>VLOOKUP('Customer Info'!B2042,'Customer Info'!B2042:B2541,1,0)</f>
        <v>#N/A</v>
      </c>
      <c r="H2050" s="6" t="e">
        <f>VLOOKUP('Customer Info'!C2042,'Customer Info'!C2042:C2541,1)</f>
        <v>#N/A</v>
      </c>
      <c r="I2050" s="6" t="e">
        <f>VLOOKUP('Customer Info'!E2042,'Customer Info'!E2042:E2541,1,0)</f>
        <v>#N/A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352</v>
      </c>
      <c r="R2050" s="2" t="s">
        <v>28</v>
      </c>
      <c r="S2050" s="9">
        <f t="shared" si="159"/>
        <v>0.02</v>
      </c>
    </row>
    <row r="2051" spans="1:19" x14ac:dyDescent="0.3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e">
        <f>VLOOKUP('Customer Info'!B2043,'Customer Info'!B2043:B2542,1,0)</f>
        <v>#N/A</v>
      </c>
      <c r="H2051" s="6" t="e">
        <f>VLOOKUP('Customer Info'!C2043,'Customer Info'!C2043:C2542,1)</f>
        <v>#N/A</v>
      </c>
      <c r="I2051" s="6" t="e">
        <f>VLOOKUP('Customer Info'!E2043,'Customer Info'!E2043:E2542,1,0)</f>
        <v>#N/A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729</v>
      </c>
      <c r="R2051" s="2" t="s">
        <v>50</v>
      </c>
      <c r="S2051" s="9">
        <f t="shared" si="159"/>
        <v>0.05</v>
      </c>
    </row>
    <row r="2052" spans="1:19" x14ac:dyDescent="0.3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e">
        <f>VLOOKUP('Customer Info'!B2044,'Customer Info'!B2044:B2543,1,0)</f>
        <v>#N/A</v>
      </c>
      <c r="H2052" s="6" t="e">
        <f>VLOOKUP('Customer Info'!C2044,'Customer Info'!C2044:C2543,1)</f>
        <v>#N/A</v>
      </c>
      <c r="I2052" s="6" t="e">
        <f>VLOOKUP('Customer Info'!E2044,'Customer Info'!E2044:E2543,1,0)</f>
        <v>#N/A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153</v>
      </c>
      <c r="R2052" s="2" t="s">
        <v>28</v>
      </c>
      <c r="S2052" s="9">
        <f t="shared" si="159"/>
        <v>0.05</v>
      </c>
    </row>
    <row r="2053" spans="1:19" x14ac:dyDescent="0.3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e">
        <f>VLOOKUP('Customer Info'!B2045,'Customer Info'!B2045:B2544,1,0)</f>
        <v>#N/A</v>
      </c>
      <c r="H2053" s="6" t="e">
        <f>VLOOKUP('Customer Info'!C2045,'Customer Info'!C2045:C2544,1)</f>
        <v>#N/A</v>
      </c>
      <c r="I2053" s="6" t="e">
        <f>VLOOKUP('Customer Info'!E2045,'Customer Info'!E2045:E2544,1,0)</f>
        <v>#N/A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393</v>
      </c>
      <c r="R2053" s="2" t="s">
        <v>28</v>
      </c>
      <c r="S2053" s="9">
        <f t="shared" si="159"/>
        <v>0.05</v>
      </c>
    </row>
    <row r="2054" spans="1:19" x14ac:dyDescent="0.3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e">
        <f>VLOOKUP('Customer Info'!B2046,'Customer Info'!B2046:B2545,1,0)</f>
        <v>#N/A</v>
      </c>
      <c r="H2054" s="6" t="e">
        <f>VLOOKUP('Customer Info'!C2046,'Customer Info'!C2046:C2545,1)</f>
        <v>#N/A</v>
      </c>
      <c r="I2054" s="6" t="e">
        <f>VLOOKUP('Customer Info'!E2046,'Customer Info'!E2046:E2545,1,0)</f>
        <v>#N/A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651</v>
      </c>
      <c r="R2054" s="2" t="s">
        <v>28</v>
      </c>
      <c r="S2054" s="9">
        <f t="shared" si="159"/>
        <v>0.05</v>
      </c>
    </row>
    <row r="2055" spans="1:19" x14ac:dyDescent="0.3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e">
        <f>VLOOKUP('Customer Info'!B2047,'Customer Info'!B2047:B2546,1,0)</f>
        <v>#N/A</v>
      </c>
      <c r="H2055" s="6" t="e">
        <f>VLOOKUP('Customer Info'!C2047,'Customer Info'!C2047:C2546,1)</f>
        <v>#N/A</v>
      </c>
      <c r="I2055" s="6" t="e">
        <f>VLOOKUP('Customer Info'!E2047,'Customer Info'!E2047:E2546,1,0)</f>
        <v>#N/A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36</v>
      </c>
      <c r="R2055" s="2" t="s">
        <v>28</v>
      </c>
      <c r="S2055" s="9">
        <f t="shared" si="159"/>
        <v>0.02</v>
      </c>
    </row>
    <row r="2056" spans="1:19" x14ac:dyDescent="0.3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e">
        <f>VLOOKUP('Customer Info'!B2048,'Customer Info'!B2048:B2547,1,0)</f>
        <v>#N/A</v>
      </c>
      <c r="H2056" s="6" t="e">
        <f>VLOOKUP('Customer Info'!C2048,'Customer Info'!C2048:C2547,1)</f>
        <v>#N/A</v>
      </c>
      <c r="I2056" s="6" t="e">
        <f>VLOOKUP('Customer Info'!E2048,'Customer Info'!E2048:E2547,1,0)</f>
        <v>#N/A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845</v>
      </c>
      <c r="R2056" s="2" t="s">
        <v>28</v>
      </c>
      <c r="S2056" s="9">
        <f t="shared" si="159"/>
        <v>0.05</v>
      </c>
    </row>
    <row r="2057" spans="1:19" x14ac:dyDescent="0.3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e">
        <f>VLOOKUP('Customer Info'!B2049,'Customer Info'!B2049:B2548,1,0)</f>
        <v>#N/A</v>
      </c>
      <c r="H2057" s="6" t="e">
        <f>VLOOKUP('Customer Info'!C2049,'Customer Info'!C2049:C2548,1)</f>
        <v>#N/A</v>
      </c>
      <c r="I2057" s="6" t="e">
        <f>VLOOKUP('Customer Info'!E2049,'Customer Info'!E2049:E2548,1,0)</f>
        <v>#N/A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188</v>
      </c>
      <c r="R2057" s="2" t="s">
        <v>56</v>
      </c>
      <c r="S2057" s="9">
        <f t="shared" si="159"/>
        <v>0.02</v>
      </c>
    </row>
    <row r="2058" spans="1:19" x14ac:dyDescent="0.3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e">
        <f>VLOOKUP('Customer Info'!B2050,'Customer Info'!B2050:B2549,1,0)</f>
        <v>#N/A</v>
      </c>
      <c r="H2058" s="6" t="e">
        <f>VLOOKUP('Customer Info'!C2050,'Customer Info'!C2050:C2549,1)</f>
        <v>#N/A</v>
      </c>
      <c r="I2058" s="6" t="e">
        <f>VLOOKUP('Customer Info'!E2050,'Customer Info'!E2050:E2549,1,0)</f>
        <v>#N/A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18</v>
      </c>
      <c r="R2058" s="2" t="s">
        <v>56</v>
      </c>
      <c r="S2058" s="9">
        <f t="shared" si="159"/>
        <v>0.02</v>
      </c>
    </row>
    <row r="2059" spans="1:19" x14ac:dyDescent="0.3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e">
        <f>VLOOKUP('Customer Info'!B2051,'Customer Info'!B2051:B2550,1,0)</f>
        <v>#N/A</v>
      </c>
      <c r="H2059" s="6" t="e">
        <f>VLOOKUP('Customer Info'!C2051,'Customer Info'!C2051:C2550,1)</f>
        <v>#N/A</v>
      </c>
      <c r="I2059" s="6" t="e">
        <f>VLOOKUP('Customer Info'!E2051,'Customer Info'!E2051:E2550,1,0)</f>
        <v>#N/A</v>
      </c>
      <c r="J2059" s="2">
        <v>185</v>
      </c>
      <c r="K2059" s="2">
        <v>174</v>
      </c>
      <c r="L2059" s="2">
        <v>5</v>
      </c>
      <c r="M2059" s="7">
        <f t="shared" ref="M2059:M2122" si="160">(K2059*L2059)</f>
        <v>870</v>
      </c>
      <c r="N2059" s="7">
        <f t="shared" ref="N2059:N2122" si="161">(J2059*L2059)</f>
        <v>925</v>
      </c>
      <c r="O2059" s="2">
        <v>30</v>
      </c>
      <c r="P2059" s="8">
        <f t="shared" ref="P2059:P2122" si="162">(N2059+O2059)</f>
        <v>955</v>
      </c>
      <c r="Q2059" s="8">
        <f t="shared" ref="Q2059:Q2122" si="163">(N2059-M2059)</f>
        <v>55</v>
      </c>
      <c r="R2059" s="2" t="s">
        <v>28</v>
      </c>
      <c r="S2059" s="9">
        <f t="shared" ref="S2059:S2122" si="164">_xlfn.IFS(P2059&gt;250000,0.15,P2059&gt;100000,0.12,P2059&gt;50000,0.09,P2059&gt;25000,0.07,P2059&gt;5000,0.05,
 TRUE,0.02)</f>
        <v>0.02</v>
      </c>
    </row>
    <row r="2060" spans="1:19" x14ac:dyDescent="0.3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e">
        <f>VLOOKUP('Customer Info'!B2052,'Customer Info'!B2052:B2551,1,0)</f>
        <v>#N/A</v>
      </c>
      <c r="H2060" s="6" t="e">
        <f>VLOOKUP('Customer Info'!C2052,'Customer Info'!C2052:C2551,1)</f>
        <v>#N/A</v>
      </c>
      <c r="I2060" s="6" t="e">
        <f>VLOOKUP('Customer Info'!E2052,'Customer Info'!E2052:E2551,1,0)</f>
        <v>#N/A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543</v>
      </c>
      <c r="R2060" s="2" t="s">
        <v>28</v>
      </c>
      <c r="S2060" s="9">
        <f t="shared" si="164"/>
        <v>0.05</v>
      </c>
    </row>
    <row r="2061" spans="1:19" x14ac:dyDescent="0.3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e">
        <f>VLOOKUP('Customer Info'!B2053,'Customer Info'!B2053:B2552,1,0)</f>
        <v>#N/A</v>
      </c>
      <c r="H2061" s="6" t="e">
        <f>VLOOKUP('Customer Info'!C2053,'Customer Info'!C2053:C2552,1)</f>
        <v>#N/A</v>
      </c>
      <c r="I2061" s="6" t="e">
        <f>VLOOKUP('Customer Info'!E2053,'Customer Info'!E2053:E2552,1,0)</f>
        <v>#N/A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60</v>
      </c>
      <c r="R2061" s="2" t="s">
        <v>56</v>
      </c>
      <c r="S2061" s="9">
        <f t="shared" si="164"/>
        <v>0.02</v>
      </c>
    </row>
    <row r="2062" spans="1:19" x14ac:dyDescent="0.3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e">
        <f>VLOOKUP('Customer Info'!B2054,'Customer Info'!B2054:B2553,1,0)</f>
        <v>#N/A</v>
      </c>
      <c r="H2062" s="6" t="e">
        <f>VLOOKUP('Customer Info'!C2054,'Customer Info'!C2054:C2553,1)</f>
        <v>#N/A</v>
      </c>
      <c r="I2062" s="6" t="e">
        <f>VLOOKUP('Customer Info'!E2054,'Customer Info'!E2054:E2553,1,0)</f>
        <v>#N/A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45</v>
      </c>
      <c r="R2062" s="2" t="s">
        <v>26</v>
      </c>
      <c r="S2062" s="9">
        <f t="shared" si="164"/>
        <v>0.02</v>
      </c>
    </row>
    <row r="2063" spans="1:19" x14ac:dyDescent="0.3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e">
        <f>VLOOKUP('Customer Info'!B2055,'Customer Info'!B2055:B2554,1,0)</f>
        <v>#N/A</v>
      </c>
      <c r="H2063" s="6" t="e">
        <f>VLOOKUP('Customer Info'!C2055,'Customer Info'!C2055:C2554,1)</f>
        <v>#N/A</v>
      </c>
      <c r="I2063" s="6" t="e">
        <f>VLOOKUP('Customer Info'!E2055,'Customer Info'!E2055:E2554,1,0)</f>
        <v>#N/A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66</v>
      </c>
      <c r="R2063" s="2" t="s">
        <v>28</v>
      </c>
      <c r="S2063" s="9">
        <f t="shared" si="164"/>
        <v>0.02</v>
      </c>
    </row>
    <row r="2064" spans="1:19" x14ac:dyDescent="0.3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e">
        <f>VLOOKUP('Customer Info'!B2056,'Customer Info'!B2056:B2555,1,0)</f>
        <v>#N/A</v>
      </c>
      <c r="H2064" s="6" t="e">
        <f>VLOOKUP('Customer Info'!C2056,'Customer Info'!C2056:C2555,1)</f>
        <v>#N/A</v>
      </c>
      <c r="I2064" s="6" t="e">
        <f>VLOOKUP('Customer Info'!E2056,'Customer Info'!E2056:E2555,1,0)</f>
        <v>#N/A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60</v>
      </c>
      <c r="R2064" s="2" t="s">
        <v>50</v>
      </c>
      <c r="S2064" s="9">
        <f t="shared" si="164"/>
        <v>0.02</v>
      </c>
    </row>
    <row r="2065" spans="1:19" x14ac:dyDescent="0.3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e">
        <f>VLOOKUP('Customer Info'!B2057,'Customer Info'!B2057:B2556,1,0)</f>
        <v>#N/A</v>
      </c>
      <c r="H2065" s="6" t="e">
        <f>VLOOKUP('Customer Info'!C2057,'Customer Info'!C2057:C2556,1)</f>
        <v>#N/A</v>
      </c>
      <c r="I2065" s="6" t="e">
        <f>VLOOKUP('Customer Info'!E2057,'Customer Info'!E2057:E2556,1,0)</f>
        <v>#N/A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1170</v>
      </c>
      <c r="R2065" s="2" t="s">
        <v>28</v>
      </c>
      <c r="S2065" s="9">
        <f t="shared" si="164"/>
        <v>0.05</v>
      </c>
    </row>
    <row r="2066" spans="1:19" x14ac:dyDescent="0.3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e">
        <f>VLOOKUP('Customer Info'!B2058,'Customer Info'!B2058:B2557,1,0)</f>
        <v>#N/A</v>
      </c>
      <c r="H2066" s="6" t="e">
        <f>VLOOKUP('Customer Info'!C2058,'Customer Info'!C2058:C2557,1)</f>
        <v>#N/A</v>
      </c>
      <c r="I2066" s="6" t="e">
        <f>VLOOKUP('Customer Info'!E2058,'Customer Info'!E2058:E2557,1,0)</f>
        <v>#N/A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44</v>
      </c>
      <c r="R2066" s="2" t="s">
        <v>28</v>
      </c>
      <c r="S2066" s="9">
        <f t="shared" si="164"/>
        <v>0.02</v>
      </c>
    </row>
    <row r="2067" spans="1:19" x14ac:dyDescent="0.3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e">
        <f>VLOOKUP('Customer Info'!B2059,'Customer Info'!B2059:B2558,1,0)</f>
        <v>#N/A</v>
      </c>
      <c r="H2067" s="6" t="e">
        <f>VLOOKUP('Customer Info'!C2059,'Customer Info'!C2059:C2558,1)</f>
        <v>#N/A</v>
      </c>
      <c r="I2067" s="6" t="e">
        <f>VLOOKUP('Customer Info'!E2059,'Customer Info'!E2059:E2558,1,0)</f>
        <v>#N/A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1188</v>
      </c>
      <c r="R2067" s="2" t="s">
        <v>28</v>
      </c>
      <c r="S2067" s="9">
        <f t="shared" si="164"/>
        <v>0.05</v>
      </c>
    </row>
    <row r="2068" spans="1:19" x14ac:dyDescent="0.3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e">
        <f>VLOOKUP('Customer Info'!B2060,'Customer Info'!B2060:B2559,1,0)</f>
        <v>#N/A</v>
      </c>
      <c r="H2068" s="6" t="e">
        <f>VLOOKUP('Customer Info'!C2060,'Customer Info'!C2060:C2559,1)</f>
        <v>#N/A</v>
      </c>
      <c r="I2068" s="6" t="e">
        <f>VLOOKUP('Customer Info'!E2060,'Customer Info'!E2060:E2559,1,0)</f>
        <v>#N/A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657</v>
      </c>
      <c r="R2068" s="2" t="s">
        <v>28</v>
      </c>
      <c r="S2068" s="9">
        <f t="shared" si="164"/>
        <v>0.05</v>
      </c>
    </row>
    <row r="2069" spans="1:19" x14ac:dyDescent="0.3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e">
        <f>VLOOKUP('Customer Info'!B2061,'Customer Info'!B2061:B2560,1,0)</f>
        <v>#N/A</v>
      </c>
      <c r="H2069" s="6" t="e">
        <f>VLOOKUP('Customer Info'!C2061,'Customer Info'!C2061:C2560,1)</f>
        <v>#N/A</v>
      </c>
      <c r="I2069" s="6" t="e">
        <f>VLOOKUP('Customer Info'!E2061,'Customer Info'!E2061:E2560,1,0)</f>
        <v>#N/A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44</v>
      </c>
      <c r="R2069" s="2" t="s">
        <v>50</v>
      </c>
      <c r="S2069" s="9">
        <f t="shared" si="164"/>
        <v>0.02</v>
      </c>
    </row>
    <row r="2070" spans="1:19" x14ac:dyDescent="0.3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e">
        <f>VLOOKUP('Customer Info'!B2062,'Customer Info'!B2062:B2561,1,0)</f>
        <v>#N/A</v>
      </c>
      <c r="H2070" s="6" t="e">
        <f>VLOOKUP('Customer Info'!C2062,'Customer Info'!C2062:C2561,1)</f>
        <v>#N/A</v>
      </c>
      <c r="I2070" s="6" t="e">
        <f>VLOOKUP('Customer Info'!E2062,'Customer Info'!E2062:E2561,1,0)</f>
        <v>#N/A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90</v>
      </c>
      <c r="R2070" s="2" t="s">
        <v>28</v>
      </c>
      <c r="S2070" s="9">
        <f t="shared" si="164"/>
        <v>0.02</v>
      </c>
    </row>
    <row r="2071" spans="1:19" x14ac:dyDescent="0.3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e">
        <f>VLOOKUP('Customer Info'!B2063,'Customer Info'!B2063:B2562,1,0)</f>
        <v>#N/A</v>
      </c>
      <c r="H2071" s="6" t="e">
        <f>VLOOKUP('Customer Info'!C2063,'Customer Info'!C2063:C2562,1)</f>
        <v>#N/A</v>
      </c>
      <c r="I2071" s="6" t="e">
        <f>VLOOKUP('Customer Info'!E2063,'Customer Info'!E2063:E2562,1,0)</f>
        <v>#N/A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2988</v>
      </c>
      <c r="R2071" s="2" t="s">
        <v>28</v>
      </c>
      <c r="S2071" s="9">
        <f t="shared" si="164"/>
        <v>7.0000000000000007E-2</v>
      </c>
    </row>
    <row r="2072" spans="1:19" x14ac:dyDescent="0.3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e">
        <f>VLOOKUP('Customer Info'!B2064,'Customer Info'!B2064:B2563,1,0)</f>
        <v>#N/A</v>
      </c>
      <c r="H2072" s="6" t="e">
        <f>VLOOKUP('Customer Info'!C2064,'Customer Info'!C2064:C2563,1)</f>
        <v>#N/A</v>
      </c>
      <c r="I2072" s="6" t="e">
        <f>VLOOKUP('Customer Info'!E2064,'Customer Info'!E2064:E2563,1,0)</f>
        <v>#N/A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963</v>
      </c>
      <c r="R2072" s="2" t="s">
        <v>50</v>
      </c>
      <c r="S2072" s="9">
        <f t="shared" si="164"/>
        <v>0.05</v>
      </c>
    </row>
    <row r="2073" spans="1:19" x14ac:dyDescent="0.3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e">
        <f>VLOOKUP('Customer Info'!B2065,'Customer Info'!B2065:B2564,1,0)</f>
        <v>#N/A</v>
      </c>
      <c r="H2073" s="6" t="e">
        <f>VLOOKUP('Customer Info'!C2065,'Customer Info'!C2065:C2564,1)</f>
        <v>#N/A</v>
      </c>
      <c r="I2073" s="6" t="e">
        <f>VLOOKUP('Customer Info'!E2065,'Customer Info'!E2065:E2564,1,0)</f>
        <v>#N/A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1536</v>
      </c>
      <c r="R2073" s="2" t="s">
        <v>28</v>
      </c>
      <c r="S2073" s="9">
        <f t="shared" si="164"/>
        <v>0.05</v>
      </c>
    </row>
    <row r="2074" spans="1:19" x14ac:dyDescent="0.3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e">
        <f>VLOOKUP('Customer Info'!B2066,'Customer Info'!B2066:B2565,1,0)</f>
        <v>#N/A</v>
      </c>
      <c r="H2074" s="6" t="e">
        <f>VLOOKUP('Customer Info'!C2066,'Customer Info'!C2066:C2565,1)</f>
        <v>#N/A</v>
      </c>
      <c r="I2074" s="6" t="e">
        <f>VLOOKUP('Customer Info'!E2066,'Customer Info'!E2066:E2565,1,0)</f>
        <v>#N/A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195</v>
      </c>
      <c r="R2074" s="2" t="s">
        <v>28</v>
      </c>
      <c r="S2074" s="9">
        <f t="shared" si="164"/>
        <v>0.05</v>
      </c>
    </row>
    <row r="2075" spans="1:19" x14ac:dyDescent="0.3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e">
        <f>VLOOKUP('Customer Info'!B2067,'Customer Info'!B2067:B2566,1,0)</f>
        <v>#N/A</v>
      </c>
      <c r="H2075" s="6" t="e">
        <f>VLOOKUP('Customer Info'!C2067,'Customer Info'!C2067:C2566,1)</f>
        <v>#N/A</v>
      </c>
      <c r="I2075" s="6" t="e">
        <f>VLOOKUP('Customer Info'!E2067,'Customer Info'!E2067:E2566,1,0)</f>
        <v>#N/A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144</v>
      </c>
      <c r="R2075" s="2" t="s">
        <v>56</v>
      </c>
      <c r="S2075" s="9">
        <f t="shared" si="164"/>
        <v>0.02</v>
      </c>
    </row>
    <row r="2076" spans="1:19" x14ac:dyDescent="0.3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e">
        <f>VLOOKUP('Customer Info'!B2068,'Customer Info'!B2068:B2567,1,0)</f>
        <v>#N/A</v>
      </c>
      <c r="H2076" s="6" t="e">
        <f>VLOOKUP('Customer Info'!C2068,'Customer Info'!C2068:C2567,1)</f>
        <v>#N/A</v>
      </c>
      <c r="I2076" s="6" t="e">
        <f>VLOOKUP('Customer Info'!E2068,'Customer Info'!E2068:E2567,1,0)</f>
        <v>#N/A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32</v>
      </c>
      <c r="R2076" s="2" t="s">
        <v>26</v>
      </c>
      <c r="S2076" s="9">
        <f t="shared" si="164"/>
        <v>0.02</v>
      </c>
    </row>
    <row r="2077" spans="1:19" x14ac:dyDescent="0.3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e">
        <f>VLOOKUP('Customer Info'!B2069,'Customer Info'!B2069:B2568,1,0)</f>
        <v>#N/A</v>
      </c>
      <c r="H2077" s="6" t="e">
        <f>VLOOKUP('Customer Info'!C2069,'Customer Info'!C2069:C2568,1)</f>
        <v>#N/A</v>
      </c>
      <c r="I2077" s="6" t="e">
        <f>VLOOKUP('Customer Info'!E2069,'Customer Info'!E2069:E2568,1,0)</f>
        <v>#N/A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254</v>
      </c>
      <c r="R2077" s="2" t="s">
        <v>28</v>
      </c>
      <c r="S2077" s="9">
        <f t="shared" si="164"/>
        <v>0.02</v>
      </c>
    </row>
    <row r="2078" spans="1:19" x14ac:dyDescent="0.3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e">
        <f>VLOOKUP('Customer Info'!B2070,'Customer Info'!B2070:B2569,1,0)</f>
        <v>#N/A</v>
      </c>
      <c r="H2078" s="6" t="e">
        <f>VLOOKUP('Customer Info'!C2070,'Customer Info'!C2070:C2569,1)</f>
        <v>#N/A</v>
      </c>
      <c r="I2078" s="6" t="e">
        <f>VLOOKUP('Customer Info'!E2070,'Customer Info'!E2070:E2569,1,0)</f>
        <v>#N/A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44</v>
      </c>
      <c r="R2078" s="2" t="s">
        <v>26</v>
      </c>
      <c r="S2078" s="9">
        <f t="shared" si="164"/>
        <v>0.02</v>
      </c>
    </row>
    <row r="2079" spans="1:19" x14ac:dyDescent="0.3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e">
        <f>VLOOKUP('Customer Info'!B2071,'Customer Info'!B2071:B2570,1,0)</f>
        <v>#N/A</v>
      </c>
      <c r="H2079" s="6" t="e">
        <f>VLOOKUP('Customer Info'!C2071,'Customer Info'!C2071:C2570,1)</f>
        <v>#N/A</v>
      </c>
      <c r="I2079" s="6" t="e">
        <f>VLOOKUP('Customer Info'!E2071,'Customer Info'!E2071:E2570,1,0)</f>
        <v>#N/A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18</v>
      </c>
      <c r="R2079" s="2" t="s">
        <v>56</v>
      </c>
      <c r="S2079" s="9">
        <f t="shared" si="164"/>
        <v>0.02</v>
      </c>
    </row>
    <row r="2080" spans="1:19" x14ac:dyDescent="0.3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e">
        <f>VLOOKUP('Customer Info'!B2072,'Customer Info'!B2072:B2571,1,0)</f>
        <v>#N/A</v>
      </c>
      <c r="H2080" s="6" t="e">
        <f>VLOOKUP('Customer Info'!C2072,'Customer Info'!C2072:C2571,1)</f>
        <v>#N/A</v>
      </c>
      <c r="I2080" s="6" t="e">
        <f>VLOOKUP('Customer Info'!E2072,'Customer Info'!E2072:E2571,1,0)</f>
        <v>#N/A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165</v>
      </c>
      <c r="R2080" s="2" t="s">
        <v>56</v>
      </c>
      <c r="S2080" s="9">
        <f t="shared" si="164"/>
        <v>0.02</v>
      </c>
    </row>
    <row r="2081" spans="1:19" x14ac:dyDescent="0.3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e">
        <f>VLOOKUP('Customer Info'!B2073,'Customer Info'!B2073:B2572,1,0)</f>
        <v>#N/A</v>
      </c>
      <c r="H2081" s="6" t="e">
        <f>VLOOKUP('Customer Info'!C2073,'Customer Info'!C2073:C2572,1)</f>
        <v>#N/A</v>
      </c>
      <c r="I2081" s="6" t="e">
        <f>VLOOKUP('Customer Info'!E2073,'Customer Info'!E2073:E2572,1,0)</f>
        <v>#N/A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30</v>
      </c>
      <c r="R2081" s="2" t="s">
        <v>28</v>
      </c>
      <c r="S2081" s="9">
        <f t="shared" si="164"/>
        <v>0.02</v>
      </c>
    </row>
    <row r="2082" spans="1:19" x14ac:dyDescent="0.3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e">
        <f>VLOOKUP('Customer Info'!B2074,'Customer Info'!B2074:B2573,1,0)</f>
        <v>#N/A</v>
      </c>
      <c r="H2082" s="6" t="e">
        <f>VLOOKUP('Customer Info'!C2074,'Customer Info'!C2074:C2573,1)</f>
        <v>#N/A</v>
      </c>
      <c r="I2082" s="6" t="e">
        <f>VLOOKUP('Customer Info'!E2074,'Customer Info'!E2074:E2573,1,0)</f>
        <v>#N/A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228</v>
      </c>
      <c r="R2082" s="2" t="s">
        <v>28</v>
      </c>
      <c r="S2082" s="9">
        <f t="shared" si="164"/>
        <v>0.05</v>
      </c>
    </row>
    <row r="2083" spans="1:19" x14ac:dyDescent="0.3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e">
        <f>VLOOKUP('Customer Info'!B2075,'Customer Info'!B2075:B2574,1,0)</f>
        <v>#N/A</v>
      </c>
      <c r="H2083" s="6" t="e">
        <f>VLOOKUP('Customer Info'!C2075,'Customer Info'!C2075:C2574,1)</f>
        <v>#N/A</v>
      </c>
      <c r="I2083" s="6" t="e">
        <f>VLOOKUP('Customer Info'!E2075,'Customer Info'!E2075:E2574,1,0)</f>
        <v>#N/A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265</v>
      </c>
      <c r="R2083" s="2" t="s">
        <v>50</v>
      </c>
      <c r="S2083" s="9">
        <f t="shared" si="164"/>
        <v>0.02</v>
      </c>
    </row>
    <row r="2084" spans="1:19" x14ac:dyDescent="0.3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e">
        <f>VLOOKUP('Customer Info'!B2076,'Customer Info'!B2076:B2575,1,0)</f>
        <v>#N/A</v>
      </c>
      <c r="H2084" s="6" t="e">
        <f>VLOOKUP('Customer Info'!C2076,'Customer Info'!C2076:C2575,1)</f>
        <v>#N/A</v>
      </c>
      <c r="I2084" s="6" t="e">
        <f>VLOOKUP('Customer Info'!E2076,'Customer Info'!E2076:E2575,1,0)</f>
        <v>#N/A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168</v>
      </c>
      <c r="R2084" s="2" t="s">
        <v>28</v>
      </c>
      <c r="S2084" s="9">
        <f t="shared" si="164"/>
        <v>0.02</v>
      </c>
    </row>
    <row r="2085" spans="1:19" x14ac:dyDescent="0.3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e">
        <f>VLOOKUP('Customer Info'!B2077,'Customer Info'!B2077:B2576,1,0)</f>
        <v>#N/A</v>
      </c>
      <c r="H2085" s="6" t="e">
        <f>VLOOKUP('Customer Info'!C2077,'Customer Info'!C2077:C2576,1)</f>
        <v>#N/A</v>
      </c>
      <c r="I2085" s="6" t="e">
        <f>VLOOKUP('Customer Info'!E2077,'Customer Info'!E2077:E2576,1,0)</f>
        <v>#N/A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170</v>
      </c>
      <c r="R2085" s="2" t="s">
        <v>28</v>
      </c>
      <c r="S2085" s="9">
        <f t="shared" si="164"/>
        <v>0.02</v>
      </c>
    </row>
    <row r="2086" spans="1:19" x14ac:dyDescent="0.3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e">
        <f>VLOOKUP('Customer Info'!B2078,'Customer Info'!B2078:B2577,1,0)</f>
        <v>#N/A</v>
      </c>
      <c r="H2086" s="6" t="e">
        <f>VLOOKUP('Customer Info'!C2078,'Customer Info'!C2078:C2577,1)</f>
        <v>#N/A</v>
      </c>
      <c r="I2086" s="6" t="e">
        <f>VLOOKUP('Customer Info'!E2078,'Customer Info'!E2078:E2577,1,0)</f>
        <v>#N/A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120</v>
      </c>
      <c r="R2086" s="2" t="s">
        <v>28</v>
      </c>
      <c r="S2086" s="9">
        <f t="shared" si="164"/>
        <v>0.02</v>
      </c>
    </row>
    <row r="2087" spans="1:19" x14ac:dyDescent="0.3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e">
        <f>VLOOKUP('Customer Info'!B2079,'Customer Info'!B2079:B2578,1,0)</f>
        <v>#N/A</v>
      </c>
      <c r="H2087" s="6" t="e">
        <f>VLOOKUP('Customer Info'!C2079,'Customer Info'!C2079:C2578,1)</f>
        <v>#N/A</v>
      </c>
      <c r="I2087" s="6" t="e">
        <f>VLOOKUP('Customer Info'!E2079,'Customer Info'!E2079:E2578,1,0)</f>
        <v>#N/A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1064</v>
      </c>
      <c r="R2087" s="2" t="s">
        <v>28</v>
      </c>
      <c r="S2087" s="9">
        <f t="shared" si="164"/>
        <v>0.05</v>
      </c>
    </row>
    <row r="2088" spans="1:19" x14ac:dyDescent="0.3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e">
        <f>VLOOKUP('Customer Info'!B2080,'Customer Info'!B2080:B2579,1,0)</f>
        <v>#N/A</v>
      </c>
      <c r="H2088" s="6" t="e">
        <f>VLOOKUP('Customer Info'!C2080,'Customer Info'!C2080:C2579,1)</f>
        <v>#N/A</v>
      </c>
      <c r="I2088" s="6" t="e">
        <f>VLOOKUP('Customer Info'!E2080,'Customer Info'!E2080:E2579,1,0)</f>
        <v>#N/A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808</v>
      </c>
      <c r="R2088" s="2" t="s">
        <v>50</v>
      </c>
      <c r="S2088" s="9">
        <f t="shared" si="164"/>
        <v>0.05</v>
      </c>
    </row>
    <row r="2089" spans="1:19" x14ac:dyDescent="0.3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e">
        <f>VLOOKUP('Customer Info'!B2081,'Customer Info'!B2081:B2580,1,0)</f>
        <v>#N/A</v>
      </c>
      <c r="H2089" s="6" t="e">
        <f>VLOOKUP('Customer Info'!C2081,'Customer Info'!C2081:C2580,1)</f>
        <v>#N/A</v>
      </c>
      <c r="I2089" s="6" t="e">
        <f>VLOOKUP('Customer Info'!E2081,'Customer Info'!E2081:E2580,1,0)</f>
        <v>#N/A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232</v>
      </c>
      <c r="R2089" s="2" t="s">
        <v>50</v>
      </c>
      <c r="S2089" s="9">
        <f t="shared" si="164"/>
        <v>0.02</v>
      </c>
    </row>
    <row r="2090" spans="1:19" x14ac:dyDescent="0.3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e">
        <f>VLOOKUP('Customer Info'!B2082,'Customer Info'!B2082:B2581,1,0)</f>
        <v>#N/A</v>
      </c>
      <c r="H2090" s="6" t="e">
        <f>VLOOKUP('Customer Info'!C2082,'Customer Info'!C2082:C2581,1)</f>
        <v>#N/A</v>
      </c>
      <c r="I2090" s="6" t="e">
        <f>VLOOKUP('Customer Info'!E2082,'Customer Info'!E2082:E2581,1,0)</f>
        <v>#N/A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192</v>
      </c>
      <c r="R2090" s="2" t="s">
        <v>28</v>
      </c>
      <c r="S2090" s="9">
        <f t="shared" si="164"/>
        <v>0.05</v>
      </c>
    </row>
    <row r="2091" spans="1:19" x14ac:dyDescent="0.3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e">
        <f>VLOOKUP('Customer Info'!B2083,'Customer Info'!B2083:B2582,1,0)</f>
        <v>#N/A</v>
      </c>
      <c r="H2091" s="6" t="e">
        <f>VLOOKUP('Customer Info'!C2083,'Customer Info'!C2083:C2582,1)</f>
        <v>#N/A</v>
      </c>
      <c r="I2091" s="6" t="e">
        <f>VLOOKUP('Customer Info'!E2083,'Customer Info'!E2083:E2582,1,0)</f>
        <v>#N/A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1377</v>
      </c>
      <c r="R2091" s="2" t="s">
        <v>50</v>
      </c>
      <c r="S2091" s="9">
        <f t="shared" si="164"/>
        <v>0.05</v>
      </c>
    </row>
    <row r="2092" spans="1:19" x14ac:dyDescent="0.3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e">
        <f>VLOOKUP('Customer Info'!B2084,'Customer Info'!B2084:B2583,1,0)</f>
        <v>#N/A</v>
      </c>
      <c r="H2092" s="6" t="e">
        <f>VLOOKUP('Customer Info'!C2084,'Customer Info'!C2084:C2583,1)</f>
        <v>#N/A</v>
      </c>
      <c r="I2092" s="6" t="e">
        <f>VLOOKUP('Customer Info'!E2084,'Customer Info'!E2084:E2583,1,0)</f>
        <v>#N/A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632</v>
      </c>
      <c r="R2092" s="2" t="s">
        <v>50</v>
      </c>
      <c r="S2092" s="9">
        <f t="shared" si="164"/>
        <v>0.05</v>
      </c>
    </row>
    <row r="2093" spans="1:19" x14ac:dyDescent="0.3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e">
        <f>VLOOKUP('Customer Info'!B2085,'Customer Info'!B2085:B2584,1,0)</f>
        <v>#N/A</v>
      </c>
      <c r="H2093" s="6" t="e">
        <f>VLOOKUP('Customer Info'!C2085,'Customer Info'!C2085:C2584,1)</f>
        <v>#N/A</v>
      </c>
      <c r="I2093" s="6" t="e">
        <f>VLOOKUP('Customer Info'!E2085,'Customer Info'!E2085:E2584,1,0)</f>
        <v>#N/A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33</v>
      </c>
      <c r="R2093" s="2" t="s">
        <v>28</v>
      </c>
      <c r="S2093" s="9">
        <f t="shared" si="164"/>
        <v>0.02</v>
      </c>
    </row>
    <row r="2094" spans="1:19" x14ac:dyDescent="0.3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e">
        <f>VLOOKUP('Customer Info'!B2086,'Customer Info'!B2086:B2585,1,0)</f>
        <v>#N/A</v>
      </c>
      <c r="H2094" s="6" t="e">
        <f>VLOOKUP('Customer Info'!C2086,'Customer Info'!C2086:C2585,1)</f>
        <v>#N/A</v>
      </c>
      <c r="I2094" s="6" t="e">
        <f>VLOOKUP('Customer Info'!E2086,'Customer Info'!E2086:E2585,1,0)</f>
        <v>#N/A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636</v>
      </c>
      <c r="R2094" s="2" t="s">
        <v>50</v>
      </c>
      <c r="S2094" s="9">
        <f t="shared" si="164"/>
        <v>0.05</v>
      </c>
    </row>
    <row r="2095" spans="1:19" x14ac:dyDescent="0.3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e">
        <f>VLOOKUP('Customer Info'!B2087,'Customer Info'!B2087:B2586,1,0)</f>
        <v>#N/A</v>
      </c>
      <c r="H2095" s="6" t="e">
        <f>VLOOKUP('Customer Info'!C2087,'Customer Info'!C2087:C2586,1)</f>
        <v>#N/A</v>
      </c>
      <c r="I2095" s="6" t="e">
        <f>VLOOKUP('Customer Info'!E2087,'Customer Info'!E2087:E2586,1,0)</f>
        <v>#N/A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297</v>
      </c>
      <c r="R2095" s="2" t="s">
        <v>26</v>
      </c>
      <c r="S2095" s="9">
        <f t="shared" si="164"/>
        <v>0.02</v>
      </c>
    </row>
    <row r="2096" spans="1:19" x14ac:dyDescent="0.3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e">
        <f>VLOOKUP('Customer Info'!B2088,'Customer Info'!B2088:B2587,1,0)</f>
        <v>#N/A</v>
      </c>
      <c r="H2096" s="6" t="e">
        <f>VLOOKUP('Customer Info'!C2088,'Customer Info'!C2088:C2587,1)</f>
        <v>#N/A</v>
      </c>
      <c r="I2096" s="6" t="e">
        <f>VLOOKUP('Customer Info'!E2088,'Customer Info'!E2088:E2587,1,0)</f>
        <v>#N/A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39</v>
      </c>
      <c r="R2096" s="2" t="s">
        <v>50</v>
      </c>
      <c r="S2096" s="9">
        <f t="shared" si="164"/>
        <v>0.02</v>
      </c>
    </row>
    <row r="2097" spans="1:19" x14ac:dyDescent="0.3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e">
        <f>VLOOKUP('Customer Info'!B2089,'Customer Info'!B2089:B2588,1,0)</f>
        <v>#N/A</v>
      </c>
      <c r="H2097" s="6" t="e">
        <f>VLOOKUP('Customer Info'!C2089,'Customer Info'!C2089:C2588,1)</f>
        <v>#N/A</v>
      </c>
      <c r="I2097" s="6" t="e">
        <f>VLOOKUP('Customer Info'!E2089,'Customer Info'!E2089:E2588,1,0)</f>
        <v>#N/A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810</v>
      </c>
      <c r="R2097" s="2" t="s">
        <v>50</v>
      </c>
      <c r="S2097" s="9">
        <f t="shared" si="164"/>
        <v>0.05</v>
      </c>
    </row>
    <row r="2098" spans="1:19" x14ac:dyDescent="0.3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e">
        <f>VLOOKUP('Customer Info'!B2090,'Customer Info'!B2090:B2589,1,0)</f>
        <v>#N/A</v>
      </c>
      <c r="H2098" s="6" t="e">
        <f>VLOOKUP('Customer Info'!C2090,'Customer Info'!C2090:C2589,1)</f>
        <v>#N/A</v>
      </c>
      <c r="I2098" s="6" t="e">
        <f>VLOOKUP('Customer Info'!E2090,'Customer Info'!E2090:E2589,1,0)</f>
        <v>#N/A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16</v>
      </c>
      <c r="R2098" s="2" t="s">
        <v>28</v>
      </c>
      <c r="S2098" s="9">
        <f t="shared" si="164"/>
        <v>0.02</v>
      </c>
    </row>
    <row r="2099" spans="1:19" x14ac:dyDescent="0.3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e">
        <f>VLOOKUP('Customer Info'!B2091,'Customer Info'!B2091:B2590,1,0)</f>
        <v>#N/A</v>
      </c>
      <c r="H2099" s="6" t="e">
        <f>VLOOKUP('Customer Info'!C2091,'Customer Info'!C2091:C2590,1)</f>
        <v>#N/A</v>
      </c>
      <c r="I2099" s="6" t="e">
        <f>VLOOKUP('Customer Info'!E2091,'Customer Info'!E2091:E2590,1,0)</f>
        <v>#N/A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1170</v>
      </c>
      <c r="R2099" s="2" t="s">
        <v>28</v>
      </c>
      <c r="S2099" s="9">
        <f t="shared" si="164"/>
        <v>0.05</v>
      </c>
    </row>
    <row r="2100" spans="1:19" x14ac:dyDescent="0.3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e">
        <f>VLOOKUP('Customer Info'!B2092,'Customer Info'!B2092:B2591,1,0)</f>
        <v>#N/A</v>
      </c>
      <c r="H2100" s="6" t="e">
        <f>VLOOKUP('Customer Info'!C2092,'Customer Info'!C2092:C2591,1)</f>
        <v>#N/A</v>
      </c>
      <c r="I2100" s="6" t="e">
        <f>VLOOKUP('Customer Info'!E2092,'Customer Info'!E2092:E2591,1,0)</f>
        <v>#N/A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295</v>
      </c>
      <c r="R2100" s="2" t="s">
        <v>50</v>
      </c>
      <c r="S2100" s="9">
        <f t="shared" si="164"/>
        <v>0.05</v>
      </c>
    </row>
    <row r="2101" spans="1:19" x14ac:dyDescent="0.3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e">
        <f>VLOOKUP('Customer Info'!B2093,'Customer Info'!B2093:B2592,1,0)</f>
        <v>#N/A</v>
      </c>
      <c r="H2101" s="6" t="e">
        <f>VLOOKUP('Customer Info'!C2093,'Customer Info'!C2093:C2592,1)</f>
        <v>#N/A</v>
      </c>
      <c r="I2101" s="6" t="e">
        <f>VLOOKUP('Customer Info'!E2093,'Customer Info'!E2093:E2592,1,0)</f>
        <v>#N/A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351</v>
      </c>
      <c r="R2101" s="2" t="s">
        <v>28</v>
      </c>
      <c r="S2101" s="9">
        <f t="shared" si="164"/>
        <v>0.05</v>
      </c>
    </row>
    <row r="2102" spans="1:19" x14ac:dyDescent="0.3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e">
        <f>VLOOKUP('Customer Info'!B2094,'Customer Info'!B2094:B2593,1,0)</f>
        <v>#N/A</v>
      </c>
      <c r="H2102" s="6" t="e">
        <f>VLOOKUP('Customer Info'!C2094,'Customer Info'!C2094:C2593,1)</f>
        <v>#N/A</v>
      </c>
      <c r="I2102" s="6" t="e">
        <f>VLOOKUP('Customer Info'!E2094,'Customer Info'!E2094:E2593,1,0)</f>
        <v>#N/A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264</v>
      </c>
      <c r="R2102" s="2" t="s">
        <v>50</v>
      </c>
      <c r="S2102" s="9">
        <f t="shared" si="164"/>
        <v>0.02</v>
      </c>
    </row>
    <row r="2103" spans="1:19" x14ac:dyDescent="0.3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e">
        <f>VLOOKUP('Customer Info'!B2095,'Customer Info'!B2095:B2594,1,0)</f>
        <v>#N/A</v>
      </c>
      <c r="H2103" s="6" t="e">
        <f>VLOOKUP('Customer Info'!C2095,'Customer Info'!C2095:C2594,1)</f>
        <v>#N/A</v>
      </c>
      <c r="I2103" s="6" t="e">
        <f>VLOOKUP('Customer Info'!E2095,'Customer Info'!E2095:E2594,1,0)</f>
        <v>#N/A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2850</v>
      </c>
      <c r="R2103" s="2" t="s">
        <v>50</v>
      </c>
      <c r="S2103" s="9">
        <f t="shared" si="164"/>
        <v>7.0000000000000007E-2</v>
      </c>
    </row>
    <row r="2104" spans="1:19" x14ac:dyDescent="0.3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e">
        <f>VLOOKUP('Customer Info'!B2096,'Customer Info'!B2096:B2595,1,0)</f>
        <v>#N/A</v>
      </c>
      <c r="H2104" s="6" t="e">
        <f>VLOOKUP('Customer Info'!C2096,'Customer Info'!C2096:C2595,1)</f>
        <v>#N/A</v>
      </c>
      <c r="I2104" s="6" t="e">
        <f>VLOOKUP('Customer Info'!E2096,'Customer Info'!E2096:E2595,1,0)</f>
        <v>#N/A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1042</v>
      </c>
      <c r="R2104" s="2" t="s">
        <v>28</v>
      </c>
      <c r="S2104" s="9">
        <f t="shared" si="164"/>
        <v>0.05</v>
      </c>
    </row>
    <row r="2105" spans="1:19" x14ac:dyDescent="0.3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e">
        <f>VLOOKUP('Customer Info'!B2097,'Customer Info'!B2097:B2596,1,0)</f>
        <v>#N/A</v>
      </c>
      <c r="H2105" s="6" t="e">
        <f>VLOOKUP('Customer Info'!C2097,'Customer Info'!C2097:C2596,1)</f>
        <v>#N/A</v>
      </c>
      <c r="I2105" s="6" t="e">
        <f>VLOOKUP('Customer Info'!E2097,'Customer Info'!E2097:E2596,1,0)</f>
        <v>#N/A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155</v>
      </c>
      <c r="R2105" s="2" t="s">
        <v>50</v>
      </c>
      <c r="S2105" s="9">
        <f t="shared" si="164"/>
        <v>0.02</v>
      </c>
    </row>
    <row r="2106" spans="1:19" x14ac:dyDescent="0.3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e">
        <f>VLOOKUP('Customer Info'!B2098,'Customer Info'!B2098:B2597,1,0)</f>
        <v>#N/A</v>
      </c>
      <c r="H2106" s="6" t="e">
        <f>VLOOKUP('Customer Info'!C2098,'Customer Info'!C2098:C2597,1)</f>
        <v>#N/A</v>
      </c>
      <c r="I2106" s="6" t="e">
        <f>VLOOKUP('Customer Info'!E2098,'Customer Info'!E2098:E2597,1,0)</f>
        <v>#N/A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396</v>
      </c>
      <c r="R2106" s="2" t="s">
        <v>28</v>
      </c>
      <c r="S2106" s="9">
        <f t="shared" si="164"/>
        <v>0.05</v>
      </c>
    </row>
    <row r="2107" spans="1:19" x14ac:dyDescent="0.3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e">
        <f>VLOOKUP('Customer Info'!B2099,'Customer Info'!B2099:B2598,1,0)</f>
        <v>#N/A</v>
      </c>
      <c r="H2107" s="6" t="e">
        <f>VLOOKUP('Customer Info'!C2099,'Customer Info'!C2099:C2598,1)</f>
        <v>#N/A</v>
      </c>
      <c r="I2107" s="6" t="e">
        <f>VLOOKUP('Customer Info'!E2099,'Customer Info'!E2099:E2598,1,0)</f>
        <v>#N/A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384</v>
      </c>
      <c r="R2107" s="2" t="s">
        <v>28</v>
      </c>
      <c r="S2107" s="9">
        <f t="shared" si="164"/>
        <v>0.05</v>
      </c>
    </row>
    <row r="2108" spans="1:19" x14ac:dyDescent="0.3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e">
        <f>VLOOKUP('Customer Info'!B2100,'Customer Info'!B2100:B2599,1,0)</f>
        <v>#N/A</v>
      </c>
      <c r="H2108" s="6" t="e">
        <f>VLOOKUP('Customer Info'!C2100,'Customer Info'!C2100:C2599,1)</f>
        <v>#N/A</v>
      </c>
      <c r="I2108" s="6" t="e">
        <f>VLOOKUP('Customer Info'!E2100,'Customer Info'!E2100:E2599,1,0)</f>
        <v>#N/A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120</v>
      </c>
      <c r="R2108" s="2" t="s">
        <v>28</v>
      </c>
      <c r="S2108" s="9">
        <f t="shared" si="164"/>
        <v>0.02</v>
      </c>
    </row>
    <row r="2109" spans="1:19" x14ac:dyDescent="0.3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e">
        <f>VLOOKUP('Customer Info'!B2101,'Customer Info'!B2101:B2600,1,0)</f>
        <v>#N/A</v>
      </c>
      <c r="H2109" s="6" t="e">
        <f>VLOOKUP('Customer Info'!C2101,'Customer Info'!C2101:C2600,1)</f>
        <v>#N/A</v>
      </c>
      <c r="I2109" s="6" t="e">
        <f>VLOOKUP('Customer Info'!E2101,'Customer Info'!E2101:E2600,1,0)</f>
        <v>#N/A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12</v>
      </c>
      <c r="R2109" s="2" t="s">
        <v>50</v>
      </c>
      <c r="S2109" s="9">
        <f t="shared" si="164"/>
        <v>0.02</v>
      </c>
    </row>
    <row r="2110" spans="1:19" x14ac:dyDescent="0.3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e">
        <f>VLOOKUP('Customer Info'!B2102,'Customer Info'!B2102:B2601,1,0)</f>
        <v>#N/A</v>
      </c>
      <c r="H2110" s="6" t="e">
        <f>VLOOKUP('Customer Info'!C2102,'Customer Info'!C2102:C2601,1)</f>
        <v>#N/A</v>
      </c>
      <c r="I2110" s="6" t="e">
        <f>VLOOKUP('Customer Info'!E2102,'Customer Info'!E2102:E2601,1,0)</f>
        <v>#N/A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876</v>
      </c>
      <c r="R2110" s="2" t="s">
        <v>50</v>
      </c>
      <c r="S2110" s="9">
        <f t="shared" si="164"/>
        <v>0.05</v>
      </c>
    </row>
    <row r="2111" spans="1:19" x14ac:dyDescent="0.3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e">
        <f>VLOOKUP('Customer Info'!B2103,'Customer Info'!B2103:B2602,1,0)</f>
        <v>#N/A</v>
      </c>
      <c r="H2111" s="6" t="e">
        <f>VLOOKUP('Customer Info'!C2103,'Customer Info'!C2103:C2602,1)</f>
        <v>#N/A</v>
      </c>
      <c r="I2111" s="6" t="e">
        <f>VLOOKUP('Customer Info'!E2103,'Customer Info'!E2103:E2602,1,0)</f>
        <v>#N/A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70</v>
      </c>
      <c r="R2111" s="2" t="s">
        <v>50</v>
      </c>
      <c r="S2111" s="9">
        <f t="shared" si="164"/>
        <v>0.02</v>
      </c>
    </row>
    <row r="2112" spans="1:19" x14ac:dyDescent="0.3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e">
        <f>VLOOKUP('Customer Info'!B2104,'Customer Info'!B2104:B2603,1,0)</f>
        <v>#N/A</v>
      </c>
      <c r="H2112" s="6" t="e">
        <f>VLOOKUP('Customer Info'!C2104,'Customer Info'!C2104:C2603,1)</f>
        <v>#N/A</v>
      </c>
      <c r="I2112" s="6" t="e">
        <f>VLOOKUP('Customer Info'!E2104,'Customer Info'!E2104:E2603,1,0)</f>
        <v>#N/A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135</v>
      </c>
      <c r="R2112" s="2" t="s">
        <v>28</v>
      </c>
      <c r="S2112" s="9">
        <f t="shared" si="164"/>
        <v>0.02</v>
      </c>
    </row>
    <row r="2113" spans="1:19" x14ac:dyDescent="0.3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e">
        <f>VLOOKUP('Customer Info'!B2105,'Customer Info'!B2105:B2604,1,0)</f>
        <v>#N/A</v>
      </c>
      <c r="H2113" s="6" t="e">
        <f>VLOOKUP('Customer Info'!C2105,'Customer Info'!C2105:C2604,1)</f>
        <v>#N/A</v>
      </c>
      <c r="I2113" s="6" t="e">
        <f>VLOOKUP('Customer Info'!E2105,'Customer Info'!E2105:E2604,1,0)</f>
        <v>#N/A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54</v>
      </c>
      <c r="R2113" s="2" t="s">
        <v>26</v>
      </c>
      <c r="S2113" s="9">
        <f t="shared" si="164"/>
        <v>0.02</v>
      </c>
    </row>
    <row r="2114" spans="1:19" x14ac:dyDescent="0.3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e">
        <f>VLOOKUP('Customer Info'!B2106,'Customer Info'!B2106:B2605,1,0)</f>
        <v>#N/A</v>
      </c>
      <c r="H2114" s="6" t="e">
        <f>VLOOKUP('Customer Info'!C2106,'Customer Info'!C2106:C2605,1)</f>
        <v>#N/A</v>
      </c>
      <c r="I2114" s="6" t="e">
        <f>VLOOKUP('Customer Info'!E2106,'Customer Info'!E2106:E2605,1,0)</f>
        <v>#N/A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14</v>
      </c>
      <c r="R2114" s="2" t="s">
        <v>26</v>
      </c>
      <c r="S2114" s="9">
        <f t="shared" si="164"/>
        <v>0.02</v>
      </c>
    </row>
    <row r="2115" spans="1:19" x14ac:dyDescent="0.3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e">
        <f>VLOOKUP('Customer Info'!B2107,'Customer Info'!B2107:B2606,1,0)</f>
        <v>#N/A</v>
      </c>
      <c r="H2115" s="6" t="e">
        <f>VLOOKUP('Customer Info'!C2107,'Customer Info'!C2107:C2606,1)</f>
        <v>#N/A</v>
      </c>
      <c r="I2115" s="6" t="e">
        <f>VLOOKUP('Customer Info'!E2107,'Customer Info'!E2107:E2606,1,0)</f>
        <v>#N/A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3648</v>
      </c>
      <c r="R2115" s="2" t="s">
        <v>28</v>
      </c>
      <c r="S2115" s="9">
        <f t="shared" si="164"/>
        <v>7.0000000000000007E-2</v>
      </c>
    </row>
    <row r="2116" spans="1:19" x14ac:dyDescent="0.3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e">
        <f>VLOOKUP('Customer Info'!B2108,'Customer Info'!B2108:B2607,1,0)</f>
        <v>#N/A</v>
      </c>
      <c r="H2116" s="6" t="e">
        <f>VLOOKUP('Customer Info'!C2108,'Customer Info'!C2108:C2607,1)</f>
        <v>#N/A</v>
      </c>
      <c r="I2116" s="6" t="e">
        <f>VLOOKUP('Customer Info'!E2108,'Customer Info'!E2108:E2607,1,0)</f>
        <v>#N/A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1170</v>
      </c>
      <c r="R2116" s="2" t="s">
        <v>28</v>
      </c>
      <c r="S2116" s="9">
        <f t="shared" si="164"/>
        <v>0.05</v>
      </c>
    </row>
    <row r="2117" spans="1:19" x14ac:dyDescent="0.3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e">
        <f>VLOOKUP('Customer Info'!B2109,'Customer Info'!B2109:B2608,1,0)</f>
        <v>#N/A</v>
      </c>
      <c r="H2117" s="6" t="e">
        <f>VLOOKUP('Customer Info'!C2109,'Customer Info'!C2109:C2608,1)</f>
        <v>#N/A</v>
      </c>
      <c r="I2117" s="6" t="e">
        <f>VLOOKUP('Customer Info'!E2109,'Customer Info'!E2109:E2608,1,0)</f>
        <v>#N/A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1140</v>
      </c>
      <c r="R2117" s="2" t="s">
        <v>28</v>
      </c>
      <c r="S2117" s="9">
        <f t="shared" si="164"/>
        <v>0.05</v>
      </c>
    </row>
    <row r="2118" spans="1:19" x14ac:dyDescent="0.3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e">
        <f>VLOOKUP('Customer Info'!B2110,'Customer Info'!B2110:B2609,1,0)</f>
        <v>#N/A</v>
      </c>
      <c r="H2118" s="6" t="e">
        <f>VLOOKUP('Customer Info'!C2110,'Customer Info'!C2110:C2609,1)</f>
        <v>#N/A</v>
      </c>
      <c r="I2118" s="6" t="e">
        <f>VLOOKUP('Customer Info'!E2110,'Customer Info'!E2110:E2609,1,0)</f>
        <v>#N/A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558</v>
      </c>
      <c r="R2118" s="2" t="s">
        <v>28</v>
      </c>
      <c r="S2118" s="9">
        <f t="shared" si="164"/>
        <v>0.05</v>
      </c>
    </row>
    <row r="2119" spans="1:19" x14ac:dyDescent="0.3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e">
        <f>VLOOKUP('Customer Info'!B2111,'Customer Info'!B2111:B2610,1,0)</f>
        <v>#N/A</v>
      </c>
      <c r="H2119" s="6" t="e">
        <f>VLOOKUP('Customer Info'!C2111,'Customer Info'!C2111:C2610,1)</f>
        <v>#N/A</v>
      </c>
      <c r="I2119" s="6" t="e">
        <f>VLOOKUP('Customer Info'!E2111,'Customer Info'!E2111:E2610,1,0)</f>
        <v>#N/A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507</v>
      </c>
      <c r="R2119" s="2" t="s">
        <v>26</v>
      </c>
      <c r="S2119" s="9">
        <f t="shared" si="164"/>
        <v>0.05</v>
      </c>
    </row>
    <row r="2120" spans="1:19" x14ac:dyDescent="0.3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e">
        <f>VLOOKUP('Customer Info'!B2112,'Customer Info'!B2112:B2611,1,0)</f>
        <v>#N/A</v>
      </c>
      <c r="H2120" s="6" t="e">
        <f>VLOOKUP('Customer Info'!C2112,'Customer Info'!C2112:C2611,1)</f>
        <v>#N/A</v>
      </c>
      <c r="I2120" s="6" t="e">
        <f>VLOOKUP('Customer Info'!E2112,'Customer Info'!E2112:E2611,1,0)</f>
        <v>#N/A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11</v>
      </c>
      <c r="R2120" s="2" t="s">
        <v>28</v>
      </c>
      <c r="S2120" s="9">
        <f t="shared" si="164"/>
        <v>0.02</v>
      </c>
    </row>
    <row r="2121" spans="1:19" x14ac:dyDescent="0.3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e">
        <f>VLOOKUP('Customer Info'!B2113,'Customer Info'!B2113:B2612,1,0)</f>
        <v>#N/A</v>
      </c>
      <c r="H2121" s="6" t="e">
        <f>VLOOKUP('Customer Info'!C2113,'Customer Info'!C2113:C2612,1)</f>
        <v>#N/A</v>
      </c>
      <c r="I2121" s="6" t="e">
        <f>VLOOKUP('Customer Info'!E2113,'Customer Info'!E2113:E2612,1,0)</f>
        <v>#N/A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47</v>
      </c>
      <c r="R2121" s="2" t="s">
        <v>56</v>
      </c>
      <c r="S2121" s="9">
        <f t="shared" si="164"/>
        <v>0.02</v>
      </c>
    </row>
    <row r="2122" spans="1:19" x14ac:dyDescent="0.3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e">
        <f>VLOOKUP('Customer Info'!B2114,'Customer Info'!B2114:B2613,1,0)</f>
        <v>#N/A</v>
      </c>
      <c r="H2122" s="6" t="e">
        <f>VLOOKUP('Customer Info'!C2114,'Customer Info'!C2114:C2613,1)</f>
        <v>#N/A</v>
      </c>
      <c r="I2122" s="6" t="e">
        <f>VLOOKUP('Customer Info'!E2114,'Customer Info'!E2114:E2613,1,0)</f>
        <v>#N/A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48</v>
      </c>
      <c r="R2122" s="2" t="s">
        <v>28</v>
      </c>
      <c r="S2122" s="9">
        <f t="shared" si="164"/>
        <v>0.02</v>
      </c>
    </row>
    <row r="2123" spans="1:19" x14ac:dyDescent="0.3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e">
        <f>VLOOKUP('Customer Info'!B2115,'Customer Info'!B2115:B2614,1,0)</f>
        <v>#N/A</v>
      </c>
      <c r="H2123" s="6" t="e">
        <f>VLOOKUP('Customer Info'!C2115,'Customer Info'!C2115:C2614,1)</f>
        <v>#N/A</v>
      </c>
      <c r="I2123" s="6" t="e">
        <f>VLOOKUP('Customer Info'!E2115,'Customer Info'!E2115:E2614,1,0)</f>
        <v>#N/A</v>
      </c>
      <c r="J2123" s="2">
        <v>1845</v>
      </c>
      <c r="K2123" s="2">
        <v>1742</v>
      </c>
      <c r="L2123" s="2">
        <v>3</v>
      </c>
      <c r="M2123" s="7">
        <f t="shared" ref="M2123:M2186" si="165">(K2123*L2123)</f>
        <v>5226</v>
      </c>
      <c r="N2123" s="7">
        <f t="shared" ref="N2123:N2186" si="166">(J2123*L2123)</f>
        <v>5535</v>
      </c>
      <c r="O2123" s="2">
        <v>74</v>
      </c>
      <c r="P2123" s="8">
        <f t="shared" ref="P2123:P2186" si="167">(N2123+O2123)</f>
        <v>5609</v>
      </c>
      <c r="Q2123" s="8">
        <f t="shared" ref="Q2123:Q2186" si="168">(N2123-M2123)</f>
        <v>309</v>
      </c>
      <c r="R2123" s="2" t="s">
        <v>28</v>
      </c>
      <c r="S2123" s="9">
        <f t="shared" ref="S2123:S2186" si="169">_xlfn.IFS(P2123&gt;250000,0.15,P2123&gt;100000,0.12,P2123&gt;50000,0.09,P2123&gt;25000,0.07,P2123&gt;5000,0.05,
 TRUE,0.02)</f>
        <v>0.05</v>
      </c>
    </row>
    <row r="2124" spans="1:19" x14ac:dyDescent="0.3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e">
        <f>VLOOKUP('Customer Info'!B2116,'Customer Info'!B2116:B2615,1,0)</f>
        <v>#N/A</v>
      </c>
      <c r="H2124" s="6" t="e">
        <f>VLOOKUP('Customer Info'!C2116,'Customer Info'!C2116:C2615,1)</f>
        <v>#N/A</v>
      </c>
      <c r="I2124" s="6" t="e">
        <f>VLOOKUP('Customer Info'!E2116,'Customer Info'!E2116:E2615,1,0)</f>
        <v>#N/A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</v>
      </c>
      <c r="R2124" s="2" t="s">
        <v>28</v>
      </c>
      <c r="S2124" s="9">
        <f t="shared" si="169"/>
        <v>0.02</v>
      </c>
    </row>
    <row r="2125" spans="1:19" x14ac:dyDescent="0.3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e">
        <f>VLOOKUP('Customer Info'!B2117,'Customer Info'!B2117:B2616,1,0)</f>
        <v>#N/A</v>
      </c>
      <c r="H2125" s="6" t="e">
        <f>VLOOKUP('Customer Info'!C2117,'Customer Info'!C2117:C2616,1)</f>
        <v>#N/A</v>
      </c>
      <c r="I2125" s="6" t="e">
        <f>VLOOKUP('Customer Info'!E2117,'Customer Info'!E2117:E2616,1,0)</f>
        <v>#N/A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51</v>
      </c>
      <c r="R2125" s="2" t="s">
        <v>50</v>
      </c>
      <c r="S2125" s="9">
        <f t="shared" si="169"/>
        <v>0.02</v>
      </c>
    </row>
    <row r="2126" spans="1:19" x14ac:dyDescent="0.3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e">
        <f>VLOOKUP('Customer Info'!B2118,'Customer Info'!B2118:B2617,1,0)</f>
        <v>#N/A</v>
      </c>
      <c r="H2126" s="6" t="e">
        <f>VLOOKUP('Customer Info'!C2118,'Customer Info'!C2118:C2617,1)</f>
        <v>#N/A</v>
      </c>
      <c r="I2126" s="6" t="e">
        <f>VLOOKUP('Customer Info'!E2118,'Customer Info'!E2118:E2617,1,0)</f>
        <v>#N/A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129</v>
      </c>
      <c r="R2126" s="2" t="s">
        <v>28</v>
      </c>
      <c r="S2126" s="9">
        <f t="shared" si="169"/>
        <v>0.02</v>
      </c>
    </row>
    <row r="2127" spans="1:19" x14ac:dyDescent="0.3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e">
        <f>VLOOKUP('Customer Info'!B2119,'Customer Info'!B2119:B2618,1,0)</f>
        <v>#N/A</v>
      </c>
      <c r="H2127" s="6" t="e">
        <f>VLOOKUP('Customer Info'!C2119,'Customer Info'!C2119:C2618,1)</f>
        <v>#N/A</v>
      </c>
      <c r="I2127" s="6" t="e">
        <f>VLOOKUP('Customer Info'!E2119,'Customer Info'!E2119:E2618,1,0)</f>
        <v>#N/A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1264</v>
      </c>
      <c r="R2127" s="2" t="s">
        <v>50</v>
      </c>
      <c r="S2127" s="9">
        <f t="shared" si="169"/>
        <v>0.05</v>
      </c>
    </row>
    <row r="2128" spans="1:19" x14ac:dyDescent="0.3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e">
        <f>VLOOKUP('Customer Info'!B2120,'Customer Info'!B2120:B2619,1,0)</f>
        <v>#N/A</v>
      </c>
      <c r="H2128" s="6" t="e">
        <f>VLOOKUP('Customer Info'!C2120,'Customer Info'!C2120:C2619,1)</f>
        <v>#N/A</v>
      </c>
      <c r="I2128" s="6" t="e">
        <f>VLOOKUP('Customer Info'!E2120,'Customer Info'!E2120:E2619,1,0)</f>
        <v>#N/A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24</v>
      </c>
      <c r="R2128" s="2" t="s">
        <v>28</v>
      </c>
      <c r="S2128" s="9">
        <f t="shared" si="169"/>
        <v>0.02</v>
      </c>
    </row>
    <row r="2129" spans="1:19" x14ac:dyDescent="0.3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e">
        <f>VLOOKUP('Customer Info'!B2121,'Customer Info'!B2121:B2620,1,0)</f>
        <v>#N/A</v>
      </c>
      <c r="H2129" s="6" t="e">
        <f>VLOOKUP('Customer Info'!C2121,'Customer Info'!C2121:C2620,1)</f>
        <v>#N/A</v>
      </c>
      <c r="I2129" s="6" t="e">
        <f>VLOOKUP('Customer Info'!E2121,'Customer Info'!E2121:E2620,1,0)</f>
        <v>#N/A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856</v>
      </c>
      <c r="R2129" s="2" t="s">
        <v>28</v>
      </c>
      <c r="S2129" s="9">
        <f t="shared" si="169"/>
        <v>0.05</v>
      </c>
    </row>
    <row r="2130" spans="1:19" x14ac:dyDescent="0.3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e">
        <f>VLOOKUP('Customer Info'!B2122,'Customer Info'!B2122:B2621,1,0)</f>
        <v>#N/A</v>
      </c>
      <c r="H2130" s="6" t="e">
        <f>VLOOKUP('Customer Info'!C2122,'Customer Info'!C2122:C2621,1)</f>
        <v>#N/A</v>
      </c>
      <c r="I2130" s="6" t="e">
        <f>VLOOKUP('Customer Info'!E2122,'Customer Info'!E2122:E2621,1,0)</f>
        <v>#N/A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1906</v>
      </c>
      <c r="R2130" s="2" t="s">
        <v>28</v>
      </c>
      <c r="S2130" s="9">
        <f t="shared" si="169"/>
        <v>0.05</v>
      </c>
    </row>
    <row r="2131" spans="1:19" x14ac:dyDescent="0.3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e">
        <f>VLOOKUP('Customer Info'!B2123,'Customer Info'!B2123:B2622,1,0)</f>
        <v>#N/A</v>
      </c>
      <c r="H2131" s="6" t="e">
        <f>VLOOKUP('Customer Info'!C2123,'Customer Info'!C2123:C2622,1)</f>
        <v>#N/A</v>
      </c>
      <c r="I2131" s="6" t="e">
        <f>VLOOKUP('Customer Info'!E2123,'Customer Info'!E2123:E2622,1,0)</f>
        <v>#N/A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724</v>
      </c>
      <c r="R2131" s="2" t="s">
        <v>50</v>
      </c>
      <c r="S2131" s="9">
        <f t="shared" si="169"/>
        <v>7.0000000000000007E-2</v>
      </c>
    </row>
    <row r="2132" spans="1:19" x14ac:dyDescent="0.3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e">
        <f>VLOOKUP('Customer Info'!B2124,'Customer Info'!B2124:B2623,1,0)</f>
        <v>#N/A</v>
      </c>
      <c r="H2132" s="6" t="e">
        <f>VLOOKUP('Customer Info'!C2124,'Customer Info'!C2124:C2623,1)</f>
        <v>#N/A</v>
      </c>
      <c r="I2132" s="6" t="e">
        <f>VLOOKUP('Customer Info'!E2124,'Customer Info'!E2124:E2623,1,0)</f>
        <v>#N/A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398</v>
      </c>
      <c r="R2132" s="2" t="s">
        <v>28</v>
      </c>
      <c r="S2132" s="9">
        <f t="shared" si="169"/>
        <v>0.05</v>
      </c>
    </row>
    <row r="2133" spans="1:19" x14ac:dyDescent="0.3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e">
        <f>VLOOKUP('Customer Info'!B2125,'Customer Info'!B2125:B2624,1,0)</f>
        <v>#N/A</v>
      </c>
      <c r="H2133" s="6" t="e">
        <f>VLOOKUP('Customer Info'!C2125,'Customer Info'!C2125:C2624,1)</f>
        <v>#N/A</v>
      </c>
      <c r="I2133" s="6" t="e">
        <f>VLOOKUP('Customer Info'!E2125,'Customer Info'!E2125:E2624,1,0)</f>
        <v>#N/A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15</v>
      </c>
      <c r="R2133" s="2" t="s">
        <v>28</v>
      </c>
      <c r="S2133" s="9">
        <f t="shared" si="169"/>
        <v>0.02</v>
      </c>
    </row>
    <row r="2134" spans="1:19" x14ac:dyDescent="0.3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e">
        <f>VLOOKUP('Customer Info'!B2126,'Customer Info'!B2126:B2625,1,0)</f>
        <v>#N/A</v>
      </c>
      <c r="H2134" s="6" t="e">
        <f>VLOOKUP('Customer Info'!C2126,'Customer Info'!C2126:C2625,1)</f>
        <v>#N/A</v>
      </c>
      <c r="I2134" s="6" t="e">
        <f>VLOOKUP('Customer Info'!E2126,'Customer Info'!E2126:E2625,1,0)</f>
        <v>#N/A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309</v>
      </c>
      <c r="R2134" s="2" t="s">
        <v>28</v>
      </c>
      <c r="S2134" s="9">
        <f t="shared" si="169"/>
        <v>0.02</v>
      </c>
    </row>
    <row r="2135" spans="1:19" x14ac:dyDescent="0.3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e">
        <f>VLOOKUP('Customer Info'!B2127,'Customer Info'!B2127:B2626,1,0)</f>
        <v>#N/A</v>
      </c>
      <c r="H2135" s="6" t="e">
        <f>VLOOKUP('Customer Info'!C2127,'Customer Info'!C2127:C2626,1)</f>
        <v>#N/A</v>
      </c>
      <c r="I2135" s="6" t="e">
        <f>VLOOKUP('Customer Info'!E2127,'Customer Info'!E2127:E2626,1,0)</f>
        <v>#N/A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2138</v>
      </c>
      <c r="R2135" s="2" t="s">
        <v>26</v>
      </c>
      <c r="S2135" s="9">
        <f t="shared" si="169"/>
        <v>7.0000000000000007E-2</v>
      </c>
    </row>
    <row r="2136" spans="1:19" x14ac:dyDescent="0.3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e">
        <f>VLOOKUP('Customer Info'!B2128,'Customer Info'!B2128:B2627,1,0)</f>
        <v>#N/A</v>
      </c>
      <c r="H2136" s="6" t="e">
        <f>VLOOKUP('Customer Info'!C2128,'Customer Info'!C2128:C2627,1)</f>
        <v>#N/A</v>
      </c>
      <c r="I2136" s="6" t="e">
        <f>VLOOKUP('Customer Info'!E2128,'Customer Info'!E2128:E2627,1,0)</f>
        <v>#N/A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77</v>
      </c>
      <c r="R2136" s="2" t="s">
        <v>50</v>
      </c>
      <c r="S2136" s="9">
        <f t="shared" si="169"/>
        <v>0.02</v>
      </c>
    </row>
    <row r="2137" spans="1:19" x14ac:dyDescent="0.3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e">
        <f>VLOOKUP('Customer Info'!B2129,'Customer Info'!B2129:B2628,1,0)</f>
        <v>#N/A</v>
      </c>
      <c r="H2137" s="6" t="e">
        <f>VLOOKUP('Customer Info'!C2129,'Customer Info'!C2129:C2628,1)</f>
        <v>#N/A</v>
      </c>
      <c r="I2137" s="6" t="e">
        <f>VLOOKUP('Customer Info'!E2129,'Customer Info'!E2129:E2628,1,0)</f>
        <v>#N/A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72</v>
      </c>
      <c r="R2137" s="2" t="s">
        <v>28</v>
      </c>
      <c r="S2137" s="9">
        <f t="shared" si="169"/>
        <v>0.02</v>
      </c>
    </row>
    <row r="2138" spans="1:19" x14ac:dyDescent="0.3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e">
        <f>VLOOKUP('Customer Info'!B2130,'Customer Info'!B2130:B2629,1,0)</f>
        <v>#N/A</v>
      </c>
      <c r="H2138" s="6" t="e">
        <f>VLOOKUP('Customer Info'!C2130,'Customer Info'!C2130:C2629,1)</f>
        <v>#N/A</v>
      </c>
      <c r="I2138" s="6" t="e">
        <f>VLOOKUP('Customer Info'!E2130,'Customer Info'!E2130:E2629,1,0)</f>
        <v>#N/A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57</v>
      </c>
      <c r="R2138" s="2" t="s">
        <v>28</v>
      </c>
      <c r="S2138" s="9">
        <f t="shared" si="169"/>
        <v>0.02</v>
      </c>
    </row>
    <row r="2139" spans="1:19" x14ac:dyDescent="0.3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e">
        <f>VLOOKUP('Customer Info'!B2131,'Customer Info'!B2131:B2630,1,0)</f>
        <v>#N/A</v>
      </c>
      <c r="H2139" s="6" t="e">
        <f>VLOOKUP('Customer Info'!C2131,'Customer Info'!C2131:C2630,1)</f>
        <v>#N/A</v>
      </c>
      <c r="I2139" s="6" t="e">
        <f>VLOOKUP('Customer Info'!E2131,'Customer Info'!E2131:E2630,1,0)</f>
        <v>#N/A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666</v>
      </c>
      <c r="R2139" s="2" t="s">
        <v>50</v>
      </c>
      <c r="S2139" s="9">
        <f t="shared" si="169"/>
        <v>0.05</v>
      </c>
    </row>
    <row r="2140" spans="1:19" x14ac:dyDescent="0.3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e">
        <f>VLOOKUP('Customer Info'!B2132,'Customer Info'!B2132:B2631,1,0)</f>
        <v>#N/A</v>
      </c>
      <c r="H2140" s="6" t="e">
        <f>VLOOKUP('Customer Info'!C2132,'Customer Info'!C2132:C2631,1)</f>
        <v>#N/A</v>
      </c>
      <c r="I2140" s="6" t="e">
        <f>VLOOKUP('Customer Info'!E2132,'Customer Info'!E2132:E2631,1,0)</f>
        <v>#N/A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540</v>
      </c>
      <c r="R2140" s="2" t="s">
        <v>50</v>
      </c>
      <c r="S2140" s="9">
        <f t="shared" si="169"/>
        <v>0.05</v>
      </c>
    </row>
    <row r="2141" spans="1:19" x14ac:dyDescent="0.3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e">
        <f>VLOOKUP('Customer Info'!B2133,'Customer Info'!B2133:B2632,1,0)</f>
        <v>#N/A</v>
      </c>
      <c r="H2141" s="6" t="e">
        <f>VLOOKUP('Customer Info'!C2133,'Customer Info'!C2133:C2632,1)</f>
        <v>#N/A</v>
      </c>
      <c r="I2141" s="6" t="e">
        <f>VLOOKUP('Customer Info'!E2133,'Customer Info'!E2133:E2632,1,0)</f>
        <v>#N/A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590</v>
      </c>
      <c r="R2141" s="2" t="s">
        <v>28</v>
      </c>
      <c r="S2141" s="9">
        <f t="shared" si="169"/>
        <v>0.05</v>
      </c>
    </row>
    <row r="2142" spans="1:19" x14ac:dyDescent="0.3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e">
        <f>VLOOKUP('Customer Info'!B2134,'Customer Info'!B2134:B2633,1,0)</f>
        <v>#N/A</v>
      </c>
      <c r="H2142" s="6" t="e">
        <f>VLOOKUP('Customer Info'!C2134,'Customer Info'!C2134:C2633,1)</f>
        <v>#N/A</v>
      </c>
      <c r="I2142" s="6" t="e">
        <f>VLOOKUP('Customer Info'!E2134,'Customer Info'!E2134:E2633,1,0)</f>
        <v>#N/A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72</v>
      </c>
      <c r="R2142" s="2" t="s">
        <v>28</v>
      </c>
      <c r="S2142" s="9">
        <f t="shared" si="169"/>
        <v>0.02</v>
      </c>
    </row>
    <row r="2143" spans="1:19" x14ac:dyDescent="0.3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e">
        <f>VLOOKUP('Customer Info'!B2135,'Customer Info'!B2135:B2634,1,0)</f>
        <v>#N/A</v>
      </c>
      <c r="H2143" s="6" t="e">
        <f>VLOOKUP('Customer Info'!C2135,'Customer Info'!C2135:C2634,1)</f>
        <v>#N/A</v>
      </c>
      <c r="I2143" s="6" t="e">
        <f>VLOOKUP('Customer Info'!E2135,'Customer Info'!E2135:E2634,1,0)</f>
        <v>#N/A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384</v>
      </c>
      <c r="R2143" s="2" t="s">
        <v>50</v>
      </c>
      <c r="S2143" s="9">
        <f t="shared" si="169"/>
        <v>0.05</v>
      </c>
    </row>
    <row r="2144" spans="1:19" x14ac:dyDescent="0.3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e">
        <f>VLOOKUP('Customer Info'!B2136,'Customer Info'!B2136:B2635,1,0)</f>
        <v>#N/A</v>
      </c>
      <c r="H2144" s="6" t="e">
        <f>VLOOKUP('Customer Info'!C2136,'Customer Info'!C2136:C2635,1)</f>
        <v>#N/A</v>
      </c>
      <c r="I2144" s="6" t="e">
        <f>VLOOKUP('Customer Info'!E2136,'Customer Info'!E2136:E2635,1,0)</f>
        <v>#N/A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756</v>
      </c>
      <c r="R2144" s="2" t="s">
        <v>28</v>
      </c>
      <c r="S2144" s="9">
        <f t="shared" si="169"/>
        <v>0.05</v>
      </c>
    </row>
    <row r="2145" spans="1:19" x14ac:dyDescent="0.3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e">
        <f>VLOOKUP('Customer Info'!B2137,'Customer Info'!B2137:B2636,1,0)</f>
        <v>#N/A</v>
      </c>
      <c r="H2145" s="6" t="e">
        <f>VLOOKUP('Customer Info'!C2137,'Customer Info'!C2137:C2636,1)</f>
        <v>#N/A</v>
      </c>
      <c r="I2145" s="6" t="e">
        <f>VLOOKUP('Customer Info'!E2137,'Customer Info'!E2137:E2636,1,0)</f>
        <v>#N/A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90</v>
      </c>
      <c r="R2145" s="2" t="s">
        <v>26</v>
      </c>
      <c r="S2145" s="9">
        <f t="shared" si="169"/>
        <v>0.02</v>
      </c>
    </row>
    <row r="2146" spans="1:19" x14ac:dyDescent="0.3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e">
        <f>VLOOKUP('Customer Info'!B2138,'Customer Info'!B2138:B2637,1,0)</f>
        <v>#N/A</v>
      </c>
      <c r="H2146" s="6" t="e">
        <f>VLOOKUP('Customer Info'!C2138,'Customer Info'!C2138:C2637,1)</f>
        <v>#N/A</v>
      </c>
      <c r="I2146" s="6" t="e">
        <f>VLOOKUP('Customer Info'!E2138,'Customer Info'!E2138:E2637,1,0)</f>
        <v>#N/A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350</v>
      </c>
      <c r="R2146" s="2" t="s">
        <v>28</v>
      </c>
      <c r="S2146" s="9">
        <f t="shared" si="169"/>
        <v>0.02</v>
      </c>
    </row>
    <row r="2147" spans="1:19" x14ac:dyDescent="0.3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e">
        <f>VLOOKUP('Customer Info'!B2139,'Customer Info'!B2139:B2638,1,0)</f>
        <v>#N/A</v>
      </c>
      <c r="H2147" s="6" t="e">
        <f>VLOOKUP('Customer Info'!C2139,'Customer Info'!C2139:C2638,1)</f>
        <v>#N/A</v>
      </c>
      <c r="I2147" s="6" t="e">
        <f>VLOOKUP('Customer Info'!E2139,'Customer Info'!E2139:E2638,1,0)</f>
        <v>#N/A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398</v>
      </c>
      <c r="R2147" s="2" t="s">
        <v>28</v>
      </c>
      <c r="S2147" s="9">
        <f t="shared" si="169"/>
        <v>0.05</v>
      </c>
    </row>
    <row r="2148" spans="1:19" x14ac:dyDescent="0.3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e">
        <f>VLOOKUP('Customer Info'!B2140,'Customer Info'!B2140:B2639,1,0)</f>
        <v>#N/A</v>
      </c>
      <c r="H2148" s="6" t="e">
        <f>VLOOKUP('Customer Info'!C2140,'Customer Info'!C2140:C2639,1)</f>
        <v>#N/A</v>
      </c>
      <c r="I2148" s="6" t="e">
        <f>VLOOKUP('Customer Info'!E2140,'Customer Info'!E2140:E2639,1,0)</f>
        <v>#N/A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4</v>
      </c>
      <c r="R2148" s="2" t="s">
        <v>28</v>
      </c>
      <c r="S2148" s="9">
        <f t="shared" si="169"/>
        <v>0.02</v>
      </c>
    </row>
    <row r="2149" spans="1:19" x14ac:dyDescent="0.3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e">
        <f>VLOOKUP('Customer Info'!B2141,'Customer Info'!B2141:B2640,1,0)</f>
        <v>#N/A</v>
      </c>
      <c r="H2149" s="6" t="e">
        <f>VLOOKUP('Customer Info'!C2141,'Customer Info'!C2141:C2640,1)</f>
        <v>#N/A</v>
      </c>
      <c r="I2149" s="6" t="e">
        <f>VLOOKUP('Customer Info'!E2141,'Customer Info'!E2141:E2640,1,0)</f>
        <v>#N/A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39</v>
      </c>
      <c r="R2149" s="2" t="s">
        <v>28</v>
      </c>
      <c r="S2149" s="9">
        <f t="shared" si="169"/>
        <v>0.02</v>
      </c>
    </row>
    <row r="2150" spans="1:19" x14ac:dyDescent="0.3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e">
        <f>VLOOKUP('Customer Info'!B2142,'Customer Info'!B2142:B2641,1,0)</f>
        <v>#N/A</v>
      </c>
      <c r="H2150" s="6" t="e">
        <f>VLOOKUP('Customer Info'!C2142,'Customer Info'!C2142:C2641,1)</f>
        <v>#N/A</v>
      </c>
      <c r="I2150" s="6" t="e">
        <f>VLOOKUP('Customer Info'!E2142,'Customer Info'!E2142:E2641,1,0)</f>
        <v>#N/A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18</v>
      </c>
      <c r="R2150" s="2" t="s">
        <v>28</v>
      </c>
      <c r="S2150" s="9">
        <f t="shared" si="169"/>
        <v>0.02</v>
      </c>
    </row>
    <row r="2151" spans="1:19" x14ac:dyDescent="0.3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e">
        <f>VLOOKUP('Customer Info'!B2143,'Customer Info'!B2143:B2642,1,0)</f>
        <v>#N/A</v>
      </c>
      <c r="H2151" s="6" t="e">
        <f>VLOOKUP('Customer Info'!C2143,'Customer Info'!C2143:C2642,1)</f>
        <v>#N/A</v>
      </c>
      <c r="I2151" s="6" t="e">
        <f>VLOOKUP('Customer Info'!E2143,'Customer Info'!E2143:E2642,1,0)</f>
        <v>#N/A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1083</v>
      </c>
      <c r="R2151" s="2" t="s">
        <v>50</v>
      </c>
      <c r="S2151" s="9">
        <f t="shared" si="169"/>
        <v>0.05</v>
      </c>
    </row>
    <row r="2152" spans="1:19" x14ac:dyDescent="0.3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e">
        <f>VLOOKUP('Customer Info'!B2144,'Customer Info'!B2144:B2643,1,0)</f>
        <v>#N/A</v>
      </c>
      <c r="H2152" s="6" t="e">
        <f>VLOOKUP('Customer Info'!C2144,'Customer Info'!C2144:C2643,1)</f>
        <v>#N/A</v>
      </c>
      <c r="I2152" s="6" t="e">
        <f>VLOOKUP('Customer Info'!E2144,'Customer Info'!E2144:E2643,1,0)</f>
        <v>#N/A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46</v>
      </c>
      <c r="R2152" s="2" t="s">
        <v>28</v>
      </c>
      <c r="S2152" s="9">
        <f t="shared" si="169"/>
        <v>0.02</v>
      </c>
    </row>
    <row r="2153" spans="1:19" x14ac:dyDescent="0.3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e">
        <f>VLOOKUP('Customer Info'!B2145,'Customer Info'!B2145:B2644,1,0)</f>
        <v>#N/A</v>
      </c>
      <c r="H2153" s="6" t="e">
        <f>VLOOKUP('Customer Info'!C2145,'Customer Info'!C2145:C2644,1)</f>
        <v>#N/A</v>
      </c>
      <c r="I2153" s="6" t="e">
        <f>VLOOKUP('Customer Info'!E2145,'Customer Info'!E2145:E2644,1,0)</f>
        <v>#N/A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2604</v>
      </c>
      <c r="R2153" s="2" t="s">
        <v>28</v>
      </c>
      <c r="S2153" s="9">
        <f t="shared" si="169"/>
        <v>7.0000000000000007E-2</v>
      </c>
    </row>
    <row r="2154" spans="1:19" x14ac:dyDescent="0.3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e">
        <f>VLOOKUP('Customer Info'!B2146,'Customer Info'!B2146:B2645,1,0)</f>
        <v>#N/A</v>
      </c>
      <c r="H2154" s="6" t="e">
        <f>VLOOKUP('Customer Info'!C2146,'Customer Info'!C2146:C2645,1)</f>
        <v>#N/A</v>
      </c>
      <c r="I2154" s="6" t="e">
        <f>VLOOKUP('Customer Info'!E2146,'Customer Info'!E2146:E2645,1,0)</f>
        <v>#N/A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720</v>
      </c>
      <c r="R2154" s="2" t="s">
        <v>50</v>
      </c>
      <c r="S2154" s="9">
        <f t="shared" si="169"/>
        <v>0.05</v>
      </c>
    </row>
    <row r="2155" spans="1:19" x14ac:dyDescent="0.3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e">
        <f>VLOOKUP('Customer Info'!B2147,'Customer Info'!B2147:B2646,1,0)</f>
        <v>#N/A</v>
      </c>
      <c r="H2155" s="6" t="e">
        <f>VLOOKUP('Customer Info'!C2147,'Customer Info'!C2147:C2646,1)</f>
        <v>#N/A</v>
      </c>
      <c r="I2155" s="6" t="e">
        <f>VLOOKUP('Customer Info'!E2147,'Customer Info'!E2147:E2646,1,0)</f>
        <v>#N/A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1990</v>
      </c>
      <c r="R2155" s="2" t="s">
        <v>28</v>
      </c>
      <c r="S2155" s="9">
        <f t="shared" si="169"/>
        <v>7.0000000000000007E-2</v>
      </c>
    </row>
    <row r="2156" spans="1:19" x14ac:dyDescent="0.3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e">
        <f>VLOOKUP('Customer Info'!B2148,'Customer Info'!B2148:B2647,1,0)</f>
        <v>#N/A</v>
      </c>
      <c r="H2156" s="6" t="e">
        <f>VLOOKUP('Customer Info'!C2148,'Customer Info'!C2148:C2647,1)</f>
        <v>#N/A</v>
      </c>
      <c r="I2156" s="6" t="e">
        <f>VLOOKUP('Customer Info'!E2148,'Customer Info'!E2148:E2647,1,0)</f>
        <v>#N/A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130</v>
      </c>
      <c r="R2156" s="2" t="s">
        <v>50</v>
      </c>
      <c r="S2156" s="9">
        <f t="shared" si="169"/>
        <v>0.02</v>
      </c>
    </row>
    <row r="2157" spans="1:19" x14ac:dyDescent="0.3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e">
        <f>VLOOKUP('Customer Info'!B2149,'Customer Info'!B2149:B2648,1,0)</f>
        <v>#N/A</v>
      </c>
      <c r="H2157" s="6" t="e">
        <f>VLOOKUP('Customer Info'!C2149,'Customer Info'!C2149:C2648,1)</f>
        <v>#N/A</v>
      </c>
      <c r="I2157" s="6" t="e">
        <f>VLOOKUP('Customer Info'!E2149,'Customer Info'!E2149:E2648,1,0)</f>
        <v>#N/A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8552</v>
      </c>
      <c r="R2157" s="2" t="s">
        <v>50</v>
      </c>
      <c r="S2157" s="9">
        <f t="shared" si="169"/>
        <v>0.12</v>
      </c>
    </row>
    <row r="2158" spans="1:19" x14ac:dyDescent="0.3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e">
        <f>VLOOKUP('Customer Info'!B2150,'Customer Info'!B2150:B2649,1,0)</f>
        <v>#N/A</v>
      </c>
      <c r="H2158" s="6" t="e">
        <f>VLOOKUP('Customer Info'!C2150,'Customer Info'!C2150:C2649,1)</f>
        <v>#N/A</v>
      </c>
      <c r="I2158" s="6" t="e">
        <f>VLOOKUP('Customer Info'!E2150,'Customer Info'!E2150:E2649,1,0)</f>
        <v>#N/A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543</v>
      </c>
      <c r="R2158" s="2" t="s">
        <v>26</v>
      </c>
      <c r="S2158" s="9">
        <f t="shared" si="169"/>
        <v>0.05</v>
      </c>
    </row>
    <row r="2159" spans="1:19" x14ac:dyDescent="0.3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e">
        <f>VLOOKUP('Customer Info'!B2151,'Customer Info'!B2151:B2650,1,0)</f>
        <v>#N/A</v>
      </c>
      <c r="H2159" s="6" t="e">
        <f>VLOOKUP('Customer Info'!C2151,'Customer Info'!C2151:C2650,1)</f>
        <v>#N/A</v>
      </c>
      <c r="I2159" s="6" t="e">
        <f>VLOOKUP('Customer Info'!E2151,'Customer Info'!E2151:E2650,1,0)</f>
        <v>#N/A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258</v>
      </c>
      <c r="R2159" s="2" t="s">
        <v>28</v>
      </c>
      <c r="S2159" s="9">
        <f t="shared" si="169"/>
        <v>0.02</v>
      </c>
    </row>
    <row r="2160" spans="1:19" x14ac:dyDescent="0.3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e">
        <f>VLOOKUP('Customer Info'!B2152,'Customer Info'!B2152:B2651,1,0)</f>
        <v>#N/A</v>
      </c>
      <c r="H2160" s="6" t="e">
        <f>VLOOKUP('Customer Info'!C2152,'Customer Info'!C2152:C2651,1)</f>
        <v>#N/A</v>
      </c>
      <c r="I2160" s="6" t="e">
        <f>VLOOKUP('Customer Info'!E2152,'Customer Info'!E2152:E2651,1,0)</f>
        <v>#N/A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273</v>
      </c>
      <c r="R2160" s="2" t="s">
        <v>28</v>
      </c>
      <c r="S2160" s="9">
        <f t="shared" si="169"/>
        <v>0.05</v>
      </c>
    </row>
    <row r="2161" spans="1:19" x14ac:dyDescent="0.3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e">
        <f>VLOOKUP('Customer Info'!B2153,'Customer Info'!B2153:B2652,1,0)</f>
        <v>#N/A</v>
      </c>
      <c r="H2161" s="6" t="e">
        <f>VLOOKUP('Customer Info'!C2153,'Customer Info'!C2153:C2652,1)</f>
        <v>#N/A</v>
      </c>
      <c r="I2161" s="6" t="e">
        <f>VLOOKUP('Customer Info'!E2153,'Customer Info'!E2153:E2652,1,0)</f>
        <v>#N/A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958</v>
      </c>
      <c r="R2161" s="2" t="s">
        <v>28</v>
      </c>
      <c r="S2161" s="9">
        <f t="shared" si="169"/>
        <v>0.05</v>
      </c>
    </row>
    <row r="2162" spans="1:19" x14ac:dyDescent="0.3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e">
        <f>VLOOKUP('Customer Info'!B2154,'Customer Info'!B2154:B2653,1,0)</f>
        <v>#N/A</v>
      </c>
      <c r="H2162" s="6" t="e">
        <f>VLOOKUP('Customer Info'!C2154,'Customer Info'!C2154:C2653,1)</f>
        <v>#N/A</v>
      </c>
      <c r="I2162" s="6" t="e">
        <f>VLOOKUP('Customer Info'!E2154,'Customer Info'!E2154:E2653,1,0)</f>
        <v>#N/A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1416</v>
      </c>
      <c r="R2162" s="2" t="s">
        <v>28</v>
      </c>
      <c r="S2162" s="9">
        <f t="shared" si="169"/>
        <v>0.05</v>
      </c>
    </row>
    <row r="2163" spans="1:19" x14ac:dyDescent="0.3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e">
        <f>VLOOKUP('Customer Info'!B2155,'Customer Info'!B2155:B2654,1,0)</f>
        <v>#N/A</v>
      </c>
      <c r="H2163" s="6" t="e">
        <f>VLOOKUP('Customer Info'!C2155,'Customer Info'!C2155:C2654,1)</f>
        <v>#N/A</v>
      </c>
      <c r="I2163" s="6" t="e">
        <f>VLOOKUP('Customer Info'!E2155,'Customer Info'!E2155:E2654,1,0)</f>
        <v>#N/A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2536</v>
      </c>
      <c r="R2163" s="2" t="s">
        <v>28</v>
      </c>
      <c r="S2163" s="9">
        <f t="shared" si="169"/>
        <v>0.05</v>
      </c>
    </row>
    <row r="2164" spans="1:19" x14ac:dyDescent="0.3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e">
        <f>VLOOKUP('Customer Info'!B2156,'Customer Info'!B2156:B2655,1,0)</f>
        <v>#N/A</v>
      </c>
      <c r="H2164" s="6" t="e">
        <f>VLOOKUP('Customer Info'!C2156,'Customer Info'!C2156:C2655,1)</f>
        <v>#N/A</v>
      </c>
      <c r="I2164" s="6" t="e">
        <f>VLOOKUP('Customer Info'!E2156,'Customer Info'!E2156:E2655,1,0)</f>
        <v>#N/A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20</v>
      </c>
      <c r="R2164" s="2" t="s">
        <v>28</v>
      </c>
      <c r="S2164" s="9">
        <f t="shared" si="169"/>
        <v>0.02</v>
      </c>
    </row>
    <row r="2165" spans="1:19" x14ac:dyDescent="0.3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e">
        <f>VLOOKUP('Customer Info'!B2157,'Customer Info'!B2157:B2656,1,0)</f>
        <v>#N/A</v>
      </c>
      <c r="H2165" s="6" t="e">
        <f>VLOOKUP('Customer Info'!C2157,'Customer Info'!C2157:C2656,1)</f>
        <v>#N/A</v>
      </c>
      <c r="I2165" s="6" t="e">
        <f>VLOOKUP('Customer Info'!E2157,'Customer Info'!E2157:E2656,1,0)</f>
        <v>#N/A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1701</v>
      </c>
      <c r="R2165" s="2" t="s">
        <v>50</v>
      </c>
      <c r="S2165" s="9">
        <f t="shared" si="169"/>
        <v>0.05</v>
      </c>
    </row>
    <row r="2166" spans="1:19" x14ac:dyDescent="0.3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e">
        <f>VLOOKUP('Customer Info'!B2158,'Customer Info'!B2158:B2657,1,0)</f>
        <v>#N/A</v>
      </c>
      <c r="H2166" s="6" t="e">
        <f>VLOOKUP('Customer Info'!C2158,'Customer Info'!C2158:C2657,1)</f>
        <v>#N/A</v>
      </c>
      <c r="I2166" s="6" t="e">
        <f>VLOOKUP('Customer Info'!E2158,'Customer Info'!E2158:E2657,1,0)</f>
        <v>#N/A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17895</v>
      </c>
      <c r="R2166" s="2" t="s">
        <v>50</v>
      </c>
      <c r="S2166" s="9">
        <f t="shared" si="169"/>
        <v>0.12</v>
      </c>
    </row>
    <row r="2167" spans="1:19" x14ac:dyDescent="0.3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e">
        <f>VLOOKUP('Customer Info'!B2159,'Customer Info'!B2159:B2658,1,0)</f>
        <v>#N/A</v>
      </c>
      <c r="H2167" s="6" t="e">
        <f>VLOOKUP('Customer Info'!C2159,'Customer Info'!C2159:C2658,1)</f>
        <v>#N/A</v>
      </c>
      <c r="I2167" s="6" t="e">
        <f>VLOOKUP('Customer Info'!E2159,'Customer Info'!E2159:E2658,1,0)</f>
        <v>#N/A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134</v>
      </c>
      <c r="R2167" s="2" t="s">
        <v>28</v>
      </c>
      <c r="S2167" s="9">
        <f t="shared" si="169"/>
        <v>0.02</v>
      </c>
    </row>
    <row r="2168" spans="1:19" x14ac:dyDescent="0.3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e">
        <f>VLOOKUP('Customer Info'!B2160,'Customer Info'!B2160:B2659,1,0)</f>
        <v>#N/A</v>
      </c>
      <c r="H2168" s="6" t="e">
        <f>VLOOKUP('Customer Info'!C2160,'Customer Info'!C2160:C2659,1)</f>
        <v>#N/A</v>
      </c>
      <c r="I2168" s="6" t="e">
        <f>VLOOKUP('Customer Info'!E2160,'Customer Info'!E2160:E2659,1,0)</f>
        <v>#N/A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355</v>
      </c>
      <c r="R2168" s="2" t="s">
        <v>28</v>
      </c>
      <c r="S2168" s="9">
        <f t="shared" si="169"/>
        <v>0.02</v>
      </c>
    </row>
    <row r="2169" spans="1:19" x14ac:dyDescent="0.3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e">
        <f>VLOOKUP('Customer Info'!B2161,'Customer Info'!B2161:B2660,1,0)</f>
        <v>#N/A</v>
      </c>
      <c r="H2169" s="6" t="e">
        <f>VLOOKUP('Customer Info'!C2161,'Customer Info'!C2161:C2660,1)</f>
        <v>#N/A</v>
      </c>
      <c r="I2169" s="6" t="e">
        <f>VLOOKUP('Customer Info'!E2161,'Customer Info'!E2161:E2660,1,0)</f>
        <v>#N/A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2996</v>
      </c>
      <c r="R2169" s="2" t="s">
        <v>28</v>
      </c>
      <c r="S2169" s="9">
        <f t="shared" si="169"/>
        <v>0.09</v>
      </c>
    </row>
    <row r="2170" spans="1:19" x14ac:dyDescent="0.3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e">
        <f>VLOOKUP('Customer Info'!B2162,'Customer Info'!B2162:B2661,1,0)</f>
        <v>#N/A</v>
      </c>
      <c r="H2170" s="6" t="e">
        <f>VLOOKUP('Customer Info'!C2162,'Customer Info'!C2162:C2661,1)</f>
        <v>#N/A</v>
      </c>
      <c r="I2170" s="6" t="e">
        <f>VLOOKUP('Customer Info'!E2162,'Customer Info'!E2162:E2661,1,0)</f>
        <v>#N/A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62</v>
      </c>
      <c r="R2170" s="2" t="s">
        <v>28</v>
      </c>
      <c r="S2170" s="9">
        <f t="shared" si="169"/>
        <v>0.02</v>
      </c>
    </row>
    <row r="2171" spans="1:19" x14ac:dyDescent="0.3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e">
        <f>VLOOKUP('Customer Info'!B2163,'Customer Info'!B2163:B2662,1,0)</f>
        <v>#N/A</v>
      </c>
      <c r="H2171" s="6" t="e">
        <f>VLOOKUP('Customer Info'!C2163,'Customer Info'!C2163:C2662,1)</f>
        <v>#N/A</v>
      </c>
      <c r="I2171" s="6" t="e">
        <f>VLOOKUP('Customer Info'!E2163,'Customer Info'!E2163:E2662,1,0)</f>
        <v>#N/A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255</v>
      </c>
      <c r="R2171" s="2" t="s">
        <v>50</v>
      </c>
      <c r="S2171" s="9">
        <f t="shared" si="169"/>
        <v>0.02</v>
      </c>
    </row>
    <row r="2172" spans="1:19" x14ac:dyDescent="0.3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e">
        <f>VLOOKUP('Customer Info'!B2164,'Customer Info'!B2164:B2663,1,0)</f>
        <v>#N/A</v>
      </c>
      <c r="H2172" s="6" t="e">
        <f>VLOOKUP('Customer Info'!C2164,'Customer Info'!C2164:C2663,1)</f>
        <v>#N/A</v>
      </c>
      <c r="I2172" s="6" t="e">
        <f>VLOOKUP('Customer Info'!E2164,'Customer Info'!E2164:E2663,1,0)</f>
        <v>#N/A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5</v>
      </c>
      <c r="R2172" s="2" t="s">
        <v>56</v>
      </c>
      <c r="S2172" s="9">
        <f t="shared" si="169"/>
        <v>0.02</v>
      </c>
    </row>
    <row r="2173" spans="1:19" x14ac:dyDescent="0.3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e">
        <f>VLOOKUP('Customer Info'!B2165,'Customer Info'!B2165:B2664,1,0)</f>
        <v>#N/A</v>
      </c>
      <c r="H2173" s="6" t="e">
        <f>VLOOKUP('Customer Info'!C2165,'Customer Info'!C2165:C2664,1)</f>
        <v>#N/A</v>
      </c>
      <c r="I2173" s="6" t="e">
        <f>VLOOKUP('Customer Info'!E2165,'Customer Info'!E2165:E2664,1,0)</f>
        <v>#N/A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12</v>
      </c>
      <c r="R2173" s="2" t="s">
        <v>50</v>
      </c>
      <c r="S2173" s="9">
        <f t="shared" si="169"/>
        <v>0.02</v>
      </c>
    </row>
    <row r="2174" spans="1:19" x14ac:dyDescent="0.3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e">
        <f>VLOOKUP('Customer Info'!B2166,'Customer Info'!B2166:B2665,1,0)</f>
        <v>#N/A</v>
      </c>
      <c r="H2174" s="6" t="e">
        <f>VLOOKUP('Customer Info'!C2166,'Customer Info'!C2166:C2665,1)</f>
        <v>#N/A</v>
      </c>
      <c r="I2174" s="6" t="e">
        <f>VLOOKUP('Customer Info'!E2166,'Customer Info'!E2166:E2665,1,0)</f>
        <v>#N/A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2138</v>
      </c>
      <c r="R2174" s="2" t="s">
        <v>28</v>
      </c>
      <c r="S2174" s="9">
        <f t="shared" si="169"/>
        <v>7.0000000000000007E-2</v>
      </c>
    </row>
    <row r="2175" spans="1:19" x14ac:dyDescent="0.3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e">
        <f>VLOOKUP('Customer Info'!B2167,'Customer Info'!B2167:B2666,1,0)</f>
        <v>#N/A</v>
      </c>
      <c r="H2175" s="6" t="e">
        <f>VLOOKUP('Customer Info'!C2167,'Customer Info'!C2167:C2666,1)</f>
        <v>#N/A</v>
      </c>
      <c r="I2175" s="6" t="e">
        <f>VLOOKUP('Customer Info'!E2167,'Customer Info'!E2167:E2666,1,0)</f>
        <v>#N/A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55</v>
      </c>
      <c r="R2175" s="2" t="s">
        <v>28</v>
      </c>
      <c r="S2175" s="9">
        <f t="shared" si="169"/>
        <v>0.02</v>
      </c>
    </row>
    <row r="2176" spans="1:19" x14ac:dyDescent="0.3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e">
        <f>VLOOKUP('Customer Info'!B2168,'Customer Info'!B2168:B2667,1,0)</f>
        <v>#N/A</v>
      </c>
      <c r="H2176" s="6" t="e">
        <f>VLOOKUP('Customer Info'!C2168,'Customer Info'!C2168:C2667,1)</f>
        <v>#N/A</v>
      </c>
      <c r="I2176" s="6" t="e">
        <f>VLOOKUP('Customer Info'!E2168,'Customer Info'!E2168:E2667,1,0)</f>
        <v>#N/A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44</v>
      </c>
      <c r="R2176" s="2" t="s">
        <v>26</v>
      </c>
      <c r="S2176" s="9">
        <f t="shared" si="169"/>
        <v>0.02</v>
      </c>
    </row>
    <row r="2177" spans="1:19" x14ac:dyDescent="0.3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e">
        <f>VLOOKUP('Customer Info'!B2169,'Customer Info'!B2169:B2668,1,0)</f>
        <v>#N/A</v>
      </c>
      <c r="H2177" s="6" t="e">
        <f>VLOOKUP('Customer Info'!C2169,'Customer Info'!C2169:C2668,1)</f>
        <v>#N/A</v>
      </c>
      <c r="I2177" s="6" t="e">
        <f>VLOOKUP('Customer Info'!E2169,'Customer Info'!E2169:E2668,1,0)</f>
        <v>#N/A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96</v>
      </c>
      <c r="R2177" s="2" t="s">
        <v>28</v>
      </c>
      <c r="S2177" s="9">
        <f t="shared" si="169"/>
        <v>0.02</v>
      </c>
    </row>
    <row r="2178" spans="1:19" x14ac:dyDescent="0.3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e">
        <f>VLOOKUP('Customer Info'!B2170,'Customer Info'!B2170:B2669,1,0)</f>
        <v>#N/A</v>
      </c>
      <c r="H2178" s="6" t="e">
        <f>VLOOKUP('Customer Info'!C2170,'Customer Info'!C2170:C2669,1)</f>
        <v>#N/A</v>
      </c>
      <c r="I2178" s="6" t="e">
        <f>VLOOKUP('Customer Info'!E2170,'Customer Info'!E2170:E2669,1,0)</f>
        <v>#N/A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20</v>
      </c>
      <c r="R2178" s="2" t="s">
        <v>28</v>
      </c>
      <c r="S2178" s="9">
        <f t="shared" si="169"/>
        <v>0.02</v>
      </c>
    </row>
    <row r="2179" spans="1:19" x14ac:dyDescent="0.3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e">
        <f>VLOOKUP('Customer Info'!B2171,'Customer Info'!B2171:B2670,1,0)</f>
        <v>#N/A</v>
      </c>
      <c r="H2179" s="6" t="e">
        <f>VLOOKUP('Customer Info'!C2171,'Customer Info'!C2171:C2670,1)</f>
        <v>#N/A</v>
      </c>
      <c r="I2179" s="6" t="e">
        <f>VLOOKUP('Customer Info'!E2171,'Customer Info'!E2171:E2670,1,0)</f>
        <v>#N/A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223</v>
      </c>
      <c r="R2179" s="2" t="s">
        <v>28</v>
      </c>
      <c r="S2179" s="9">
        <f t="shared" si="169"/>
        <v>0.02</v>
      </c>
    </row>
    <row r="2180" spans="1:19" x14ac:dyDescent="0.3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e">
        <f>VLOOKUP('Customer Info'!B2172,'Customer Info'!B2172:B2671,1,0)</f>
        <v>#N/A</v>
      </c>
      <c r="H2180" s="6" t="e">
        <f>VLOOKUP('Customer Info'!C2172,'Customer Info'!C2172:C2671,1)</f>
        <v>#N/A</v>
      </c>
      <c r="I2180" s="6" t="e">
        <f>VLOOKUP('Customer Info'!E2172,'Customer Info'!E2172:E2671,1,0)</f>
        <v>#N/A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2544</v>
      </c>
      <c r="R2180" s="2" t="s">
        <v>28</v>
      </c>
      <c r="S2180" s="9">
        <f t="shared" si="169"/>
        <v>7.0000000000000007E-2</v>
      </c>
    </row>
    <row r="2181" spans="1:19" x14ac:dyDescent="0.3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e">
        <f>VLOOKUP('Customer Info'!B2173,'Customer Info'!B2173:B2672,1,0)</f>
        <v>#N/A</v>
      </c>
      <c r="H2181" s="6" t="e">
        <f>VLOOKUP('Customer Info'!C2173,'Customer Info'!C2173:C2672,1)</f>
        <v>#N/A</v>
      </c>
      <c r="I2181" s="6" t="e">
        <f>VLOOKUP('Customer Info'!E2173,'Customer Info'!E2173:E2672,1,0)</f>
        <v>#N/A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186</v>
      </c>
      <c r="R2181" s="2" t="s">
        <v>28</v>
      </c>
      <c r="S2181" s="9">
        <f t="shared" si="169"/>
        <v>0.02</v>
      </c>
    </row>
    <row r="2182" spans="1:19" x14ac:dyDescent="0.3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e">
        <f>VLOOKUP('Customer Info'!B2174,'Customer Info'!B2174:B2673,1,0)</f>
        <v>#N/A</v>
      </c>
      <c r="H2182" s="6" t="e">
        <f>VLOOKUP('Customer Info'!C2174,'Customer Info'!C2174:C2673,1)</f>
        <v>#N/A</v>
      </c>
      <c r="I2182" s="6" t="e">
        <f>VLOOKUP('Customer Info'!E2174,'Customer Info'!E2174:E2673,1,0)</f>
        <v>#N/A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429</v>
      </c>
      <c r="R2182" s="2" t="s">
        <v>28</v>
      </c>
      <c r="S2182" s="9">
        <f t="shared" si="169"/>
        <v>0.05</v>
      </c>
    </row>
    <row r="2183" spans="1:19" x14ac:dyDescent="0.3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e">
        <f>VLOOKUP('Customer Info'!B2175,'Customer Info'!B2175:B2674,1,0)</f>
        <v>#N/A</v>
      </c>
      <c r="H2183" s="6" t="e">
        <f>VLOOKUP('Customer Info'!C2175,'Customer Info'!C2175:C2674,1)</f>
        <v>#N/A</v>
      </c>
      <c r="I2183" s="6" t="e">
        <f>VLOOKUP('Customer Info'!E2175,'Customer Info'!E2175:E2674,1,0)</f>
        <v>#N/A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637</v>
      </c>
      <c r="R2183" s="2" t="s">
        <v>26</v>
      </c>
      <c r="S2183" s="9">
        <f t="shared" si="169"/>
        <v>0.05</v>
      </c>
    </row>
    <row r="2184" spans="1:19" x14ac:dyDescent="0.3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e">
        <f>VLOOKUP('Customer Info'!B2176,'Customer Info'!B2176:B2675,1,0)</f>
        <v>#N/A</v>
      </c>
      <c r="H2184" s="6" t="e">
        <f>VLOOKUP('Customer Info'!C2176,'Customer Info'!C2176:C2675,1)</f>
        <v>#N/A</v>
      </c>
      <c r="I2184" s="6" t="e">
        <f>VLOOKUP('Customer Info'!E2176,'Customer Info'!E2176:E2675,1,0)</f>
        <v>#N/A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626</v>
      </c>
      <c r="R2184" s="2" t="s">
        <v>28</v>
      </c>
      <c r="S2184" s="9">
        <f t="shared" si="169"/>
        <v>0.05</v>
      </c>
    </row>
    <row r="2185" spans="1:19" x14ac:dyDescent="0.3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e">
        <f>VLOOKUP('Customer Info'!B2177,'Customer Info'!B2177:B2676,1,0)</f>
        <v>#N/A</v>
      </c>
      <c r="H2185" s="6" t="e">
        <f>VLOOKUP('Customer Info'!C2177,'Customer Info'!C2177:C2676,1)</f>
        <v>#N/A</v>
      </c>
      <c r="I2185" s="6" t="e">
        <f>VLOOKUP('Customer Info'!E2177,'Customer Info'!E2177:E2676,1,0)</f>
        <v>#N/A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486</v>
      </c>
      <c r="R2185" s="2" t="s">
        <v>50</v>
      </c>
      <c r="S2185" s="9">
        <f t="shared" si="169"/>
        <v>0.02</v>
      </c>
    </row>
    <row r="2186" spans="1:19" x14ac:dyDescent="0.3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e">
        <f>VLOOKUP('Customer Info'!B2178,'Customer Info'!B2178:B2677,1,0)</f>
        <v>#N/A</v>
      </c>
      <c r="H2186" s="6" t="e">
        <f>VLOOKUP('Customer Info'!C2178,'Customer Info'!C2178:C2677,1)</f>
        <v>#N/A</v>
      </c>
      <c r="I2186" s="6" t="e">
        <f>VLOOKUP('Customer Info'!E2178,'Customer Info'!E2178:E2677,1,0)</f>
        <v>#N/A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240</v>
      </c>
      <c r="R2186" s="2" t="s">
        <v>28</v>
      </c>
      <c r="S2186" s="9">
        <f t="shared" si="169"/>
        <v>0.05</v>
      </c>
    </row>
    <row r="2187" spans="1:19" x14ac:dyDescent="0.3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e">
        <f>VLOOKUP('Customer Info'!B2179,'Customer Info'!B2179:B2678,1,0)</f>
        <v>#N/A</v>
      </c>
      <c r="H2187" s="6" t="e">
        <f>VLOOKUP('Customer Info'!C2179,'Customer Info'!C2179:C2678,1)</f>
        <v>#N/A</v>
      </c>
      <c r="I2187" s="6" t="e">
        <f>VLOOKUP('Customer Info'!E2179,'Customer Info'!E2179:E2678,1,0)</f>
        <v>#N/A</v>
      </c>
      <c r="J2187" s="2">
        <v>8617</v>
      </c>
      <c r="K2187" s="2">
        <v>7900</v>
      </c>
      <c r="L2187" s="2">
        <v>1</v>
      </c>
      <c r="M2187" s="7">
        <f t="shared" ref="M2187:M2250" si="170">(K2187*L2187)</f>
        <v>7900</v>
      </c>
      <c r="N2187" s="7">
        <f t="shared" ref="N2187:N2250" si="171">(J2187*L2187)</f>
        <v>8617</v>
      </c>
      <c r="O2187" s="2">
        <v>65</v>
      </c>
      <c r="P2187" s="8">
        <f t="shared" ref="P2187:P2250" si="172">(N2187+O2187)</f>
        <v>8682</v>
      </c>
      <c r="Q2187" s="8">
        <f t="shared" ref="Q2187:Q2250" si="173">(N2187-M2187)</f>
        <v>717</v>
      </c>
      <c r="R2187" s="2" t="s">
        <v>50</v>
      </c>
      <c r="S2187" s="9">
        <f t="shared" ref="S2187:S2250" si="174">_xlfn.IFS(P2187&gt;250000,0.15,P2187&gt;100000,0.12,P2187&gt;50000,0.09,P2187&gt;25000,0.07,P2187&gt;5000,0.05,
 TRUE,0.02)</f>
        <v>0.05</v>
      </c>
    </row>
    <row r="2188" spans="1:19" x14ac:dyDescent="0.3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e">
        <f>VLOOKUP('Customer Info'!B2180,'Customer Info'!B2180:B2679,1,0)</f>
        <v>#N/A</v>
      </c>
      <c r="H2188" s="6" t="e">
        <f>VLOOKUP('Customer Info'!C2180,'Customer Info'!C2180:C2679,1)</f>
        <v>#N/A</v>
      </c>
      <c r="I2188" s="6" t="e">
        <f>VLOOKUP('Customer Info'!E2180,'Customer Info'!E2180:E2679,1,0)</f>
        <v>#N/A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1272</v>
      </c>
      <c r="R2188" s="2" t="s">
        <v>28</v>
      </c>
      <c r="S2188" s="9">
        <f t="shared" si="174"/>
        <v>7.0000000000000007E-2</v>
      </c>
    </row>
    <row r="2189" spans="1:19" x14ac:dyDescent="0.3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e">
        <f>VLOOKUP('Customer Info'!B2181,'Customer Info'!B2181:B2680,1,0)</f>
        <v>#N/A</v>
      </c>
      <c r="H2189" s="6" t="e">
        <f>VLOOKUP('Customer Info'!C2181,'Customer Info'!C2181:C2680,1)</f>
        <v>#N/A</v>
      </c>
      <c r="I2189" s="6" t="e">
        <f>VLOOKUP('Customer Info'!E2181,'Customer Info'!E2181:E2680,1,0)</f>
        <v>#N/A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256</v>
      </c>
      <c r="R2189" s="2" t="s">
        <v>28</v>
      </c>
      <c r="S2189" s="9">
        <f t="shared" si="174"/>
        <v>0.05</v>
      </c>
    </row>
    <row r="2190" spans="1:19" x14ac:dyDescent="0.3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e">
        <f>VLOOKUP('Customer Info'!B2182,'Customer Info'!B2182:B2681,1,0)</f>
        <v>#N/A</v>
      </c>
      <c r="H2190" s="6" t="e">
        <f>VLOOKUP('Customer Info'!C2182,'Customer Info'!C2182:C2681,1)</f>
        <v>#N/A</v>
      </c>
      <c r="I2190" s="6" t="e">
        <f>VLOOKUP('Customer Info'!E2182,'Customer Info'!E2182:E2681,1,0)</f>
        <v>#N/A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768</v>
      </c>
      <c r="R2190" s="2" t="s">
        <v>28</v>
      </c>
      <c r="S2190" s="9">
        <f t="shared" si="174"/>
        <v>0.05</v>
      </c>
    </row>
    <row r="2191" spans="1:19" x14ac:dyDescent="0.3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e">
        <f>VLOOKUP('Customer Info'!B2183,'Customer Info'!B2183:B2682,1,0)</f>
        <v>#N/A</v>
      </c>
      <c r="H2191" s="6" t="e">
        <f>VLOOKUP('Customer Info'!C2183,'Customer Info'!C2183:C2682,1)</f>
        <v>#N/A</v>
      </c>
      <c r="I2191" s="6" t="e">
        <f>VLOOKUP('Customer Info'!E2183,'Customer Info'!E2183:E2682,1,0)</f>
        <v>#N/A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336</v>
      </c>
      <c r="R2191" s="2" t="s">
        <v>28</v>
      </c>
      <c r="S2191" s="9">
        <f t="shared" si="174"/>
        <v>0.05</v>
      </c>
    </row>
    <row r="2192" spans="1:19" x14ac:dyDescent="0.3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e">
        <f>VLOOKUP('Customer Info'!B2184,'Customer Info'!B2184:B2683,1,0)</f>
        <v>#N/A</v>
      </c>
      <c r="H2192" s="6" t="e">
        <f>VLOOKUP('Customer Info'!C2184,'Customer Info'!C2184:C2683,1)</f>
        <v>#N/A</v>
      </c>
      <c r="I2192" s="6" t="e">
        <f>VLOOKUP('Customer Info'!E2184,'Customer Info'!E2184:E2683,1,0)</f>
        <v>#N/A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30</v>
      </c>
      <c r="R2192" s="2" t="s">
        <v>50</v>
      </c>
      <c r="S2192" s="9">
        <f t="shared" si="174"/>
        <v>0.02</v>
      </c>
    </row>
    <row r="2193" spans="1:19" x14ac:dyDescent="0.3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e">
        <f>VLOOKUP('Customer Info'!B2185,'Customer Info'!B2185:B2684,1,0)</f>
        <v>#N/A</v>
      </c>
      <c r="H2193" s="6" t="e">
        <f>VLOOKUP('Customer Info'!C2185,'Customer Info'!C2185:C2684,1)</f>
        <v>#N/A</v>
      </c>
      <c r="I2193" s="6" t="e">
        <f>VLOOKUP('Customer Info'!E2185,'Customer Info'!E2185:E2684,1,0)</f>
        <v>#N/A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1164</v>
      </c>
      <c r="R2193" s="2" t="s">
        <v>26</v>
      </c>
      <c r="S2193" s="9">
        <f t="shared" si="174"/>
        <v>0.05</v>
      </c>
    </row>
    <row r="2194" spans="1:19" x14ac:dyDescent="0.3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e">
        <f>VLOOKUP('Customer Info'!B2186,'Customer Info'!B2186:B2685,1,0)</f>
        <v>#N/A</v>
      </c>
      <c r="H2194" s="6" t="e">
        <f>VLOOKUP('Customer Info'!C2186,'Customer Info'!C2186:C2685,1)</f>
        <v>#N/A</v>
      </c>
      <c r="I2194" s="6" t="e">
        <f>VLOOKUP('Customer Info'!E2186,'Customer Info'!E2186:E2685,1,0)</f>
        <v>#N/A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740</v>
      </c>
      <c r="R2194" s="2" t="s">
        <v>28</v>
      </c>
      <c r="S2194" s="9">
        <f t="shared" si="174"/>
        <v>0.05</v>
      </c>
    </row>
    <row r="2195" spans="1:19" x14ac:dyDescent="0.3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e">
        <f>VLOOKUP('Customer Info'!B2187,'Customer Info'!B2187:B2686,1,0)</f>
        <v>#N/A</v>
      </c>
      <c r="H2195" s="6" t="e">
        <f>VLOOKUP('Customer Info'!C2187,'Customer Info'!C2187:C2686,1)</f>
        <v>#N/A</v>
      </c>
      <c r="I2195" s="6" t="e">
        <f>VLOOKUP('Customer Info'!E2187,'Customer Info'!E2187:E2686,1,0)</f>
        <v>#N/A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308</v>
      </c>
      <c r="R2195" s="2" t="s">
        <v>50</v>
      </c>
      <c r="S2195" s="9">
        <f t="shared" si="174"/>
        <v>0.02</v>
      </c>
    </row>
    <row r="2196" spans="1:19" x14ac:dyDescent="0.3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e">
        <f>VLOOKUP('Customer Info'!B2188,'Customer Info'!B2188:B2687,1,0)</f>
        <v>#N/A</v>
      </c>
      <c r="H2196" s="6" t="e">
        <f>VLOOKUP('Customer Info'!C2188,'Customer Info'!C2188:C2687,1)</f>
        <v>#N/A</v>
      </c>
      <c r="I2196" s="6" t="e">
        <f>VLOOKUP('Customer Info'!E2188,'Customer Info'!E2188:E2687,1,0)</f>
        <v>#N/A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615</v>
      </c>
      <c r="R2196" s="2" t="s">
        <v>28</v>
      </c>
      <c r="S2196" s="9">
        <f t="shared" si="174"/>
        <v>0.05</v>
      </c>
    </row>
    <row r="2197" spans="1:19" x14ac:dyDescent="0.3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e">
        <f>VLOOKUP('Customer Info'!B2189,'Customer Info'!B2189:B2688,1,0)</f>
        <v>#N/A</v>
      </c>
      <c r="H2197" s="6" t="e">
        <f>VLOOKUP('Customer Info'!C2189,'Customer Info'!C2189:C2688,1)</f>
        <v>#N/A</v>
      </c>
      <c r="I2197" s="6" t="e">
        <f>VLOOKUP('Customer Info'!E2189,'Customer Info'!E2189:E2688,1,0)</f>
        <v>#N/A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1806</v>
      </c>
      <c r="R2197" s="2" t="s">
        <v>50</v>
      </c>
      <c r="S2197" s="9">
        <f t="shared" si="174"/>
        <v>7.0000000000000007E-2</v>
      </c>
    </row>
    <row r="2198" spans="1:19" x14ac:dyDescent="0.3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e">
        <f>VLOOKUP('Customer Info'!B2190,'Customer Info'!B2190:B2689,1,0)</f>
        <v>#N/A</v>
      </c>
      <c r="H2198" s="6" t="e">
        <f>VLOOKUP('Customer Info'!C2190,'Customer Info'!C2190:C2689,1)</f>
        <v>#N/A</v>
      </c>
      <c r="I2198" s="6" t="e">
        <f>VLOOKUP('Customer Info'!E2190,'Customer Info'!E2190:E2689,1,0)</f>
        <v>#N/A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1062</v>
      </c>
      <c r="R2198" s="2" t="s">
        <v>50</v>
      </c>
      <c r="S2198" s="9">
        <f t="shared" si="174"/>
        <v>0.05</v>
      </c>
    </row>
    <row r="2199" spans="1:19" x14ac:dyDescent="0.3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e">
        <f>VLOOKUP('Customer Info'!B2191,'Customer Info'!B2191:B2690,1,0)</f>
        <v>#N/A</v>
      </c>
      <c r="H2199" s="6" t="e">
        <f>VLOOKUP('Customer Info'!C2191,'Customer Info'!C2191:C2690,1)</f>
        <v>#N/A</v>
      </c>
      <c r="I2199" s="6" t="e">
        <f>VLOOKUP('Customer Info'!E2191,'Customer Info'!E2191:E2690,1,0)</f>
        <v>#N/A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67</v>
      </c>
      <c r="R2199" s="2" t="s">
        <v>50</v>
      </c>
      <c r="S2199" s="9">
        <f t="shared" si="174"/>
        <v>0.02</v>
      </c>
    </row>
    <row r="2200" spans="1:19" x14ac:dyDescent="0.3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e">
        <f>VLOOKUP('Customer Info'!B2192,'Customer Info'!B2192:B2691,1,0)</f>
        <v>#N/A</v>
      </c>
      <c r="H2200" s="6" t="e">
        <f>VLOOKUP('Customer Info'!C2192,'Customer Info'!C2192:C2691,1)</f>
        <v>#N/A</v>
      </c>
      <c r="I2200" s="6" t="e">
        <f>VLOOKUP('Customer Info'!E2192,'Customer Info'!E2192:E2691,1,0)</f>
        <v>#N/A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351</v>
      </c>
      <c r="R2200" s="2" t="s">
        <v>50</v>
      </c>
      <c r="S2200" s="9">
        <f t="shared" si="174"/>
        <v>0.05</v>
      </c>
    </row>
    <row r="2201" spans="1:19" x14ac:dyDescent="0.3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e">
        <f>VLOOKUP('Customer Info'!B2193,'Customer Info'!B2193:B2692,1,0)</f>
        <v>#N/A</v>
      </c>
      <c r="H2201" s="6" t="e">
        <f>VLOOKUP('Customer Info'!C2193,'Customer Info'!C2193:C2692,1)</f>
        <v>#N/A</v>
      </c>
      <c r="I2201" s="6" t="e">
        <f>VLOOKUP('Customer Info'!E2193,'Customer Info'!E2193:E2692,1,0)</f>
        <v>#N/A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264</v>
      </c>
      <c r="R2201" s="2" t="s">
        <v>28</v>
      </c>
      <c r="S2201" s="9">
        <f t="shared" si="174"/>
        <v>0.02</v>
      </c>
    </row>
    <row r="2202" spans="1:19" x14ac:dyDescent="0.3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e">
        <f>VLOOKUP('Customer Info'!B2194,'Customer Info'!B2194:B2693,1,0)</f>
        <v>#N/A</v>
      </c>
      <c r="H2202" s="6" t="e">
        <f>VLOOKUP('Customer Info'!C2194,'Customer Info'!C2194:C2693,1)</f>
        <v>#N/A</v>
      </c>
      <c r="I2202" s="6" t="e">
        <f>VLOOKUP('Customer Info'!E2194,'Customer Info'!E2194:E2693,1,0)</f>
        <v>#N/A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852</v>
      </c>
      <c r="R2202" s="2" t="s">
        <v>50</v>
      </c>
      <c r="S2202" s="9">
        <f t="shared" si="174"/>
        <v>0.05</v>
      </c>
    </row>
    <row r="2203" spans="1:19" x14ac:dyDescent="0.3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e">
        <f>VLOOKUP('Customer Info'!B2195,'Customer Info'!B2195:B2694,1,0)</f>
        <v>#N/A</v>
      </c>
      <c r="H2203" s="6" t="e">
        <f>VLOOKUP('Customer Info'!C2195,'Customer Info'!C2195:C2694,1)</f>
        <v>#N/A</v>
      </c>
      <c r="I2203" s="6" t="e">
        <f>VLOOKUP('Customer Info'!E2195,'Customer Info'!E2195:E2694,1,0)</f>
        <v>#N/A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228</v>
      </c>
      <c r="R2203" s="2" t="s">
        <v>28</v>
      </c>
      <c r="S2203" s="9">
        <f t="shared" si="174"/>
        <v>0.02</v>
      </c>
    </row>
    <row r="2204" spans="1:19" x14ac:dyDescent="0.3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e">
        <f>VLOOKUP('Customer Info'!B2196,'Customer Info'!B2196:B2695,1,0)</f>
        <v>#N/A</v>
      </c>
      <c r="H2204" s="6" t="e">
        <f>VLOOKUP('Customer Info'!C2196,'Customer Info'!C2196:C2695,1)</f>
        <v>#N/A</v>
      </c>
      <c r="I2204" s="6" t="e">
        <f>VLOOKUP('Customer Info'!E2196,'Customer Info'!E2196:E2695,1,0)</f>
        <v>#N/A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864</v>
      </c>
      <c r="R2204" s="2" t="s">
        <v>50</v>
      </c>
      <c r="S2204" s="9">
        <f t="shared" si="174"/>
        <v>0.05</v>
      </c>
    </row>
    <row r="2205" spans="1:19" x14ac:dyDescent="0.3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e">
        <f>VLOOKUP('Customer Info'!B2197,'Customer Info'!B2197:B2696,1,0)</f>
        <v>#N/A</v>
      </c>
      <c r="H2205" s="6" t="e">
        <f>VLOOKUP('Customer Info'!C2197,'Customer Info'!C2197:C2696,1)</f>
        <v>#N/A</v>
      </c>
      <c r="I2205" s="6" t="e">
        <f>VLOOKUP('Customer Info'!E2197,'Customer Info'!E2197:E2696,1,0)</f>
        <v>#N/A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607</v>
      </c>
      <c r="R2205" s="2" t="s">
        <v>50</v>
      </c>
      <c r="S2205" s="9">
        <f t="shared" si="174"/>
        <v>0.05</v>
      </c>
    </row>
    <row r="2206" spans="1:19" x14ac:dyDescent="0.3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e">
        <f>VLOOKUP('Customer Info'!B2198,'Customer Info'!B2198:B2697,1,0)</f>
        <v>#N/A</v>
      </c>
      <c r="H2206" s="6" t="e">
        <f>VLOOKUP('Customer Info'!C2198,'Customer Info'!C2198:C2697,1)</f>
        <v>#N/A</v>
      </c>
      <c r="I2206" s="6" t="e">
        <f>VLOOKUP('Customer Info'!E2198,'Customer Info'!E2198:E2697,1,0)</f>
        <v>#N/A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940</v>
      </c>
      <c r="R2206" s="2" t="s">
        <v>50</v>
      </c>
      <c r="S2206" s="9">
        <f t="shared" si="174"/>
        <v>0.05</v>
      </c>
    </row>
    <row r="2207" spans="1:19" x14ac:dyDescent="0.3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e">
        <f>VLOOKUP('Customer Info'!B2199,'Customer Info'!B2199:B2698,1,0)</f>
        <v>#N/A</v>
      </c>
      <c r="H2207" s="6" t="e">
        <f>VLOOKUP('Customer Info'!C2199,'Customer Info'!C2199:C2698,1)</f>
        <v>#N/A</v>
      </c>
      <c r="I2207" s="6" t="e">
        <f>VLOOKUP('Customer Info'!E2199,'Customer Info'!E2199:E2698,1,0)</f>
        <v>#N/A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90</v>
      </c>
      <c r="R2207" s="2" t="s">
        <v>26</v>
      </c>
      <c r="S2207" s="9">
        <f t="shared" si="174"/>
        <v>0.02</v>
      </c>
    </row>
    <row r="2208" spans="1:19" x14ac:dyDescent="0.3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e">
        <f>VLOOKUP('Customer Info'!B2200,'Customer Info'!B2200:B2699,1,0)</f>
        <v>#N/A</v>
      </c>
      <c r="H2208" s="6" t="e">
        <f>VLOOKUP('Customer Info'!C2200,'Customer Info'!C2200:C2699,1)</f>
        <v>#N/A</v>
      </c>
      <c r="I2208" s="6" t="e">
        <f>VLOOKUP('Customer Info'!E2200,'Customer Info'!E2200:E2699,1,0)</f>
        <v>#N/A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5706</v>
      </c>
      <c r="R2208" s="2" t="s">
        <v>28</v>
      </c>
      <c r="S2208" s="9">
        <f t="shared" si="174"/>
        <v>0.09</v>
      </c>
    </row>
    <row r="2209" spans="1:19" x14ac:dyDescent="0.3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e">
        <f>VLOOKUP('Customer Info'!B2201,'Customer Info'!B2201:B2700,1,0)</f>
        <v>#N/A</v>
      </c>
      <c r="H2209" s="6" t="e">
        <f>VLOOKUP('Customer Info'!C2201,'Customer Info'!C2201:C2700,1)</f>
        <v>#N/A</v>
      </c>
      <c r="I2209" s="6" t="e">
        <f>VLOOKUP('Customer Info'!E2201,'Customer Info'!E2201:E2700,1,0)</f>
        <v>#N/A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340</v>
      </c>
      <c r="R2209" s="2" t="s">
        <v>28</v>
      </c>
      <c r="S2209" s="9">
        <f t="shared" si="174"/>
        <v>0.02</v>
      </c>
    </row>
    <row r="2210" spans="1:19" x14ac:dyDescent="0.3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e">
        <f>VLOOKUP('Customer Info'!B2202,'Customer Info'!B2202:B2701,1,0)</f>
        <v>#N/A</v>
      </c>
      <c r="H2210" s="6" t="e">
        <f>VLOOKUP('Customer Info'!C2202,'Customer Info'!C2202:C2701,1)</f>
        <v>#N/A</v>
      </c>
      <c r="I2210" s="6" t="e">
        <f>VLOOKUP('Customer Info'!E2202,'Customer Info'!E2202:E2701,1,0)</f>
        <v>#N/A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12</v>
      </c>
      <c r="R2210" s="2" t="s">
        <v>28</v>
      </c>
      <c r="S2210" s="9">
        <f t="shared" si="174"/>
        <v>0.02</v>
      </c>
    </row>
    <row r="2211" spans="1:19" x14ac:dyDescent="0.3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e">
        <f>VLOOKUP('Customer Info'!B2203,'Customer Info'!B2203:B2702,1,0)</f>
        <v>#N/A</v>
      </c>
      <c r="H2211" s="6" t="e">
        <f>VLOOKUP('Customer Info'!C2203,'Customer Info'!C2203:C2702,1)</f>
        <v>#N/A</v>
      </c>
      <c r="I2211" s="6" t="e">
        <f>VLOOKUP('Customer Info'!E2203,'Customer Info'!E2203:E2702,1,0)</f>
        <v>#N/A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60</v>
      </c>
      <c r="R2211" s="2" t="s">
        <v>28</v>
      </c>
      <c r="S2211" s="9">
        <f t="shared" si="174"/>
        <v>0.02</v>
      </c>
    </row>
    <row r="2212" spans="1:19" x14ac:dyDescent="0.3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e">
        <f>VLOOKUP('Customer Info'!B2204,'Customer Info'!B2204:B2703,1,0)</f>
        <v>#N/A</v>
      </c>
      <c r="H2212" s="6" t="e">
        <f>VLOOKUP('Customer Info'!C2204,'Customer Info'!C2204:C2703,1)</f>
        <v>#N/A</v>
      </c>
      <c r="I2212" s="6" t="e">
        <f>VLOOKUP('Customer Info'!E2204,'Customer Info'!E2204:E2703,1,0)</f>
        <v>#N/A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885</v>
      </c>
      <c r="R2212" s="2" t="s">
        <v>26</v>
      </c>
      <c r="S2212" s="9">
        <f t="shared" si="174"/>
        <v>0.05</v>
      </c>
    </row>
    <row r="2213" spans="1:19" x14ac:dyDescent="0.3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e">
        <f>VLOOKUP('Customer Info'!B2205,'Customer Info'!B2205:B2704,1,0)</f>
        <v>#N/A</v>
      </c>
      <c r="H2213" s="6" t="e">
        <f>VLOOKUP('Customer Info'!C2205,'Customer Info'!C2205:C2704,1)</f>
        <v>#N/A</v>
      </c>
      <c r="I2213" s="6" t="e">
        <f>VLOOKUP('Customer Info'!E2205,'Customer Info'!E2205:E2704,1,0)</f>
        <v>#N/A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2328</v>
      </c>
      <c r="R2213" s="2" t="s">
        <v>28</v>
      </c>
      <c r="S2213" s="9">
        <f t="shared" si="174"/>
        <v>0.05</v>
      </c>
    </row>
    <row r="2214" spans="1:19" x14ac:dyDescent="0.3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e">
        <f>VLOOKUP('Customer Info'!B2206,'Customer Info'!B2206:B2705,1,0)</f>
        <v>#N/A</v>
      </c>
      <c r="H2214" s="6" t="e">
        <f>VLOOKUP('Customer Info'!C2206,'Customer Info'!C2206:C2705,1)</f>
        <v>#N/A</v>
      </c>
      <c r="I2214" s="6" t="e">
        <f>VLOOKUP('Customer Info'!E2206,'Customer Info'!E2206:E2705,1,0)</f>
        <v>#N/A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48</v>
      </c>
      <c r="R2214" s="2" t="s">
        <v>28</v>
      </c>
      <c r="S2214" s="9">
        <f t="shared" si="174"/>
        <v>0.02</v>
      </c>
    </row>
    <row r="2215" spans="1:19" x14ac:dyDescent="0.3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e">
        <f>VLOOKUP('Customer Info'!B2207,'Customer Info'!B2207:B2706,1,0)</f>
        <v>#N/A</v>
      </c>
      <c r="H2215" s="6" t="e">
        <f>VLOOKUP('Customer Info'!C2207,'Customer Info'!C2207:C2706,1)</f>
        <v>#N/A</v>
      </c>
      <c r="I2215" s="6" t="e">
        <f>VLOOKUP('Customer Info'!E2207,'Customer Info'!E2207:E2706,1,0)</f>
        <v>#N/A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6</v>
      </c>
      <c r="R2215" s="2" t="s">
        <v>28</v>
      </c>
      <c r="S2215" s="9">
        <f t="shared" si="174"/>
        <v>0.02</v>
      </c>
    </row>
    <row r="2216" spans="1:19" x14ac:dyDescent="0.3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e">
        <f>VLOOKUP('Customer Info'!B2208,'Customer Info'!B2208:B2707,1,0)</f>
        <v>#N/A</v>
      </c>
      <c r="H2216" s="6" t="e">
        <f>VLOOKUP('Customer Info'!C2208,'Customer Info'!C2208:C2707,1)</f>
        <v>#N/A</v>
      </c>
      <c r="I2216" s="6" t="e">
        <f>VLOOKUP('Customer Info'!E2208,'Customer Info'!E2208:E2707,1,0)</f>
        <v>#N/A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15</v>
      </c>
      <c r="R2216" s="2" t="s">
        <v>26</v>
      </c>
      <c r="S2216" s="9">
        <f t="shared" si="174"/>
        <v>0.02</v>
      </c>
    </row>
    <row r="2217" spans="1:19" x14ac:dyDescent="0.3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e">
        <f>VLOOKUP('Customer Info'!B2209,'Customer Info'!B2209:B2708,1,0)</f>
        <v>#N/A</v>
      </c>
      <c r="H2217" s="6" t="e">
        <f>VLOOKUP('Customer Info'!C2209,'Customer Info'!C2209:C2708,1)</f>
        <v>#N/A</v>
      </c>
      <c r="I2217" s="6" t="e">
        <f>VLOOKUP('Customer Info'!E2209,'Customer Info'!E2209:E2708,1,0)</f>
        <v>#N/A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146</v>
      </c>
      <c r="R2217" s="2" t="s">
        <v>28</v>
      </c>
      <c r="S2217" s="9">
        <f t="shared" si="174"/>
        <v>0.02</v>
      </c>
    </row>
    <row r="2218" spans="1:19" x14ac:dyDescent="0.3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e">
        <f>VLOOKUP('Customer Info'!B2210,'Customer Info'!B2210:B2709,1,0)</f>
        <v>#N/A</v>
      </c>
      <c r="H2218" s="6" t="e">
        <f>VLOOKUP('Customer Info'!C2210,'Customer Info'!C2210:C2709,1)</f>
        <v>#N/A</v>
      </c>
      <c r="I2218" s="6" t="e">
        <f>VLOOKUP('Customer Info'!E2210,'Customer Info'!E2210:E2709,1,0)</f>
        <v>#N/A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1338</v>
      </c>
      <c r="R2218" s="2" t="s">
        <v>26</v>
      </c>
      <c r="S2218" s="9">
        <f t="shared" si="174"/>
        <v>0.05</v>
      </c>
    </row>
    <row r="2219" spans="1:19" x14ac:dyDescent="0.3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e">
        <f>VLOOKUP('Customer Info'!B2211,'Customer Info'!B2211:B2710,1,0)</f>
        <v>#N/A</v>
      </c>
      <c r="H2219" s="6" t="e">
        <f>VLOOKUP('Customer Info'!C2211,'Customer Info'!C2211:C2710,1)</f>
        <v>#N/A</v>
      </c>
      <c r="I2219" s="6" t="e">
        <f>VLOOKUP('Customer Info'!E2211,'Customer Info'!E2211:E2710,1,0)</f>
        <v>#N/A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5</v>
      </c>
      <c r="R2219" s="2" t="s">
        <v>28</v>
      </c>
      <c r="S2219" s="9">
        <f t="shared" si="174"/>
        <v>0.02</v>
      </c>
    </row>
    <row r="2220" spans="1:19" x14ac:dyDescent="0.3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e">
        <f>VLOOKUP('Customer Info'!B2212,'Customer Info'!B2212:B2711,1,0)</f>
        <v>#N/A</v>
      </c>
      <c r="H2220" s="6" t="e">
        <f>VLOOKUP('Customer Info'!C2212,'Customer Info'!C2212:C2711,1)</f>
        <v>#N/A</v>
      </c>
      <c r="I2220" s="6" t="e">
        <f>VLOOKUP('Customer Info'!E2212,'Customer Info'!E2212:E2711,1,0)</f>
        <v>#N/A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15</v>
      </c>
      <c r="R2220" s="2" t="s">
        <v>28</v>
      </c>
      <c r="S2220" s="9">
        <f t="shared" si="174"/>
        <v>0.02</v>
      </c>
    </row>
    <row r="2221" spans="1:19" x14ac:dyDescent="0.3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e">
        <f>VLOOKUP('Customer Info'!B2213,'Customer Info'!B2213:B2712,1,0)</f>
        <v>#N/A</v>
      </c>
      <c r="H2221" s="6" t="e">
        <f>VLOOKUP('Customer Info'!C2213,'Customer Info'!C2213:C2712,1)</f>
        <v>#N/A</v>
      </c>
      <c r="I2221" s="6" t="e">
        <f>VLOOKUP('Customer Info'!E2213,'Customer Info'!E2213:E2712,1,0)</f>
        <v>#N/A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10</v>
      </c>
      <c r="R2221" s="2" t="s">
        <v>50</v>
      </c>
      <c r="S2221" s="9">
        <f t="shared" si="174"/>
        <v>0.02</v>
      </c>
    </row>
    <row r="2222" spans="1:19" x14ac:dyDescent="0.3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e">
        <f>VLOOKUP('Customer Info'!B2214,'Customer Info'!B2214:B2713,1,0)</f>
        <v>#N/A</v>
      </c>
      <c r="H2222" s="6" t="e">
        <f>VLOOKUP('Customer Info'!C2214,'Customer Info'!C2214:C2713,1)</f>
        <v>#N/A</v>
      </c>
      <c r="I2222" s="6" t="e">
        <f>VLOOKUP('Customer Info'!E2214,'Customer Info'!E2214:E2713,1,0)</f>
        <v>#N/A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765</v>
      </c>
      <c r="R2222" s="2" t="s">
        <v>50</v>
      </c>
      <c r="S2222" s="9">
        <f t="shared" si="174"/>
        <v>0.05</v>
      </c>
    </row>
    <row r="2223" spans="1:19" x14ac:dyDescent="0.3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e">
        <f>VLOOKUP('Customer Info'!B2215,'Customer Info'!B2215:B2714,1,0)</f>
        <v>#N/A</v>
      </c>
      <c r="H2223" s="6" t="e">
        <f>VLOOKUP('Customer Info'!C2215,'Customer Info'!C2215:C2714,1)</f>
        <v>#N/A</v>
      </c>
      <c r="I2223" s="6" t="e">
        <f>VLOOKUP('Customer Info'!E2215,'Customer Info'!E2215:E2714,1,0)</f>
        <v>#N/A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154</v>
      </c>
      <c r="R2223" s="2" t="s">
        <v>28</v>
      </c>
      <c r="S2223" s="9">
        <f t="shared" si="174"/>
        <v>0.05</v>
      </c>
    </row>
    <row r="2224" spans="1:19" x14ac:dyDescent="0.3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e">
        <f>VLOOKUP('Customer Info'!B2216,'Customer Info'!B2216:B2715,1,0)</f>
        <v>#N/A</v>
      </c>
      <c r="H2224" s="6" t="e">
        <f>VLOOKUP('Customer Info'!C2216,'Customer Info'!C2216:C2715,1)</f>
        <v>#N/A</v>
      </c>
      <c r="I2224" s="6" t="e">
        <f>VLOOKUP('Customer Info'!E2216,'Customer Info'!E2216:E2715,1,0)</f>
        <v>#N/A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45</v>
      </c>
      <c r="R2224" s="2" t="s">
        <v>28</v>
      </c>
      <c r="S2224" s="9">
        <f t="shared" si="174"/>
        <v>0.02</v>
      </c>
    </row>
    <row r="2225" spans="1:19" x14ac:dyDescent="0.3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e">
        <f>VLOOKUP('Customer Info'!B2217,'Customer Info'!B2217:B2716,1,0)</f>
        <v>#N/A</v>
      </c>
      <c r="H2225" s="6" t="e">
        <f>VLOOKUP('Customer Info'!C2217,'Customer Info'!C2217:C2716,1)</f>
        <v>#N/A</v>
      </c>
      <c r="I2225" s="6" t="e">
        <f>VLOOKUP('Customer Info'!E2217,'Customer Info'!E2217:E2716,1,0)</f>
        <v>#N/A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130</v>
      </c>
      <c r="R2225" s="2" t="s">
        <v>26</v>
      </c>
      <c r="S2225" s="9">
        <f t="shared" si="174"/>
        <v>0.02</v>
      </c>
    </row>
    <row r="2226" spans="1:19" x14ac:dyDescent="0.3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e">
        <f>VLOOKUP('Customer Info'!B2218,'Customer Info'!B2218:B2717,1,0)</f>
        <v>#N/A</v>
      </c>
      <c r="H2226" s="6" t="e">
        <f>VLOOKUP('Customer Info'!C2218,'Customer Info'!C2218:C2717,1)</f>
        <v>#N/A</v>
      </c>
      <c r="I2226" s="6" t="e">
        <f>VLOOKUP('Customer Info'!E2218,'Customer Info'!E2218:E2717,1,0)</f>
        <v>#N/A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494</v>
      </c>
      <c r="R2226" s="2" t="s">
        <v>28</v>
      </c>
      <c r="S2226" s="9">
        <f t="shared" si="174"/>
        <v>0.05</v>
      </c>
    </row>
    <row r="2227" spans="1:19" x14ac:dyDescent="0.3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e">
        <f>VLOOKUP('Customer Info'!B2219,'Customer Info'!B2219:B2718,1,0)</f>
        <v>#N/A</v>
      </c>
      <c r="H2227" s="6" t="e">
        <f>VLOOKUP('Customer Info'!C2219,'Customer Info'!C2219:C2718,1)</f>
        <v>#N/A</v>
      </c>
      <c r="I2227" s="6" t="e">
        <f>VLOOKUP('Customer Info'!E2219,'Customer Info'!E2219:E2718,1,0)</f>
        <v>#N/A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1780</v>
      </c>
      <c r="R2227" s="2" t="s">
        <v>50</v>
      </c>
      <c r="S2227" s="9">
        <f t="shared" si="174"/>
        <v>0.05</v>
      </c>
    </row>
    <row r="2228" spans="1:19" x14ac:dyDescent="0.3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e">
        <f>VLOOKUP('Customer Info'!B2220,'Customer Info'!B2220:B2719,1,0)</f>
        <v>#N/A</v>
      </c>
      <c r="H2228" s="6" t="e">
        <f>VLOOKUP('Customer Info'!C2220,'Customer Info'!C2220:C2719,1)</f>
        <v>#N/A</v>
      </c>
      <c r="I2228" s="6" t="e">
        <f>VLOOKUP('Customer Info'!E2220,'Customer Info'!E2220:E2719,1,0)</f>
        <v>#N/A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72</v>
      </c>
      <c r="R2228" s="2" t="s">
        <v>28</v>
      </c>
      <c r="S2228" s="9">
        <f t="shared" si="174"/>
        <v>0.02</v>
      </c>
    </row>
    <row r="2229" spans="1:19" x14ac:dyDescent="0.3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e">
        <f>VLOOKUP('Customer Info'!B2221,'Customer Info'!B2221:B2720,1,0)</f>
        <v>#N/A</v>
      </c>
      <c r="H2229" s="6" t="e">
        <f>VLOOKUP('Customer Info'!C2221,'Customer Info'!C2221:C2720,1)</f>
        <v>#N/A</v>
      </c>
      <c r="I2229" s="6" t="e">
        <f>VLOOKUP('Customer Info'!E2221,'Customer Info'!E2221:E2720,1,0)</f>
        <v>#N/A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143</v>
      </c>
      <c r="R2229" s="2" t="s">
        <v>50</v>
      </c>
      <c r="S2229" s="9">
        <f t="shared" si="174"/>
        <v>0.02</v>
      </c>
    </row>
    <row r="2230" spans="1:19" x14ac:dyDescent="0.3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e">
        <f>VLOOKUP('Customer Info'!B2222,'Customer Info'!B2222:B2721,1,0)</f>
        <v>#N/A</v>
      </c>
      <c r="H2230" s="6" t="e">
        <f>VLOOKUP('Customer Info'!C2222,'Customer Info'!C2222:C2721,1)</f>
        <v>#N/A</v>
      </c>
      <c r="I2230" s="6" t="e">
        <f>VLOOKUP('Customer Info'!E2222,'Customer Info'!E2222:E2721,1,0)</f>
        <v>#N/A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379</v>
      </c>
      <c r="R2230" s="2" t="s">
        <v>50</v>
      </c>
      <c r="S2230" s="9">
        <f t="shared" si="174"/>
        <v>0.05</v>
      </c>
    </row>
    <row r="2231" spans="1:19" x14ac:dyDescent="0.3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e">
        <f>VLOOKUP('Customer Info'!B2223,'Customer Info'!B2223:B2722,1,0)</f>
        <v>#N/A</v>
      </c>
      <c r="H2231" s="6" t="e">
        <f>VLOOKUP('Customer Info'!C2223,'Customer Info'!C2223:C2722,1)</f>
        <v>#N/A</v>
      </c>
      <c r="I2231" s="6" t="e">
        <f>VLOOKUP('Customer Info'!E2223,'Customer Info'!E2223:E2722,1,0)</f>
        <v>#N/A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128</v>
      </c>
      <c r="R2231" s="2" t="s">
        <v>28</v>
      </c>
      <c r="S2231" s="9">
        <f t="shared" si="174"/>
        <v>0.02</v>
      </c>
    </row>
    <row r="2232" spans="1:19" x14ac:dyDescent="0.3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e">
        <f>VLOOKUP('Customer Info'!B2224,'Customer Info'!B2224:B2723,1,0)</f>
        <v>#N/A</v>
      </c>
      <c r="H2232" s="6" t="e">
        <f>VLOOKUP('Customer Info'!C2224,'Customer Info'!C2224:C2723,1)</f>
        <v>#N/A</v>
      </c>
      <c r="I2232" s="6" t="e">
        <f>VLOOKUP('Customer Info'!E2224,'Customer Info'!E2224:E2723,1,0)</f>
        <v>#N/A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1710</v>
      </c>
      <c r="R2232" s="2" t="s">
        <v>28</v>
      </c>
      <c r="S2232" s="9">
        <f t="shared" si="174"/>
        <v>7.0000000000000007E-2</v>
      </c>
    </row>
    <row r="2233" spans="1:19" x14ac:dyDescent="0.3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e">
        <f>VLOOKUP('Customer Info'!B2225,'Customer Info'!B2225:B2724,1,0)</f>
        <v>#N/A</v>
      </c>
      <c r="H2233" s="6" t="e">
        <f>VLOOKUP('Customer Info'!C2225,'Customer Info'!C2225:C2724,1)</f>
        <v>#N/A</v>
      </c>
      <c r="I2233" s="6" t="e">
        <f>VLOOKUP('Customer Info'!E2225,'Customer Info'!E2225:E2724,1,0)</f>
        <v>#N/A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430</v>
      </c>
      <c r="R2233" s="2" t="s">
        <v>56</v>
      </c>
      <c r="S2233" s="9">
        <f t="shared" si="174"/>
        <v>0.05</v>
      </c>
    </row>
    <row r="2234" spans="1:19" x14ac:dyDescent="0.3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e">
        <f>VLOOKUP('Customer Info'!B2226,'Customer Info'!B2226:B2725,1,0)</f>
        <v>#N/A</v>
      </c>
      <c r="H2234" s="6" t="e">
        <f>VLOOKUP('Customer Info'!C2226,'Customer Info'!C2226:C2725,1)</f>
        <v>#N/A</v>
      </c>
      <c r="I2234" s="6" t="e">
        <f>VLOOKUP('Customer Info'!E2226,'Customer Info'!E2226:E2725,1,0)</f>
        <v>#N/A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8</v>
      </c>
      <c r="R2234" s="2" t="s">
        <v>28</v>
      </c>
      <c r="S2234" s="9">
        <f t="shared" si="174"/>
        <v>0.02</v>
      </c>
    </row>
    <row r="2235" spans="1:19" x14ac:dyDescent="0.3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e">
        <f>VLOOKUP('Customer Info'!B2227,'Customer Info'!B2227:B2726,1,0)</f>
        <v>#N/A</v>
      </c>
      <c r="H2235" s="6" t="e">
        <f>VLOOKUP('Customer Info'!C2227,'Customer Info'!C2227:C2726,1)</f>
        <v>#N/A</v>
      </c>
      <c r="I2235" s="6" t="e">
        <f>VLOOKUP('Customer Info'!E2227,'Customer Info'!E2227:E2726,1,0)</f>
        <v>#N/A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2156</v>
      </c>
      <c r="R2235" s="2" t="s">
        <v>50</v>
      </c>
      <c r="S2235" s="9">
        <f t="shared" si="174"/>
        <v>7.0000000000000007E-2</v>
      </c>
    </row>
    <row r="2236" spans="1:19" x14ac:dyDescent="0.3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e">
        <f>VLOOKUP('Customer Info'!B2228,'Customer Info'!B2228:B2727,1,0)</f>
        <v>#N/A</v>
      </c>
      <c r="H2236" s="6" t="e">
        <f>VLOOKUP('Customer Info'!C2228,'Customer Info'!C2228:C2727,1)</f>
        <v>#N/A</v>
      </c>
      <c r="I2236" s="6" t="e">
        <f>VLOOKUP('Customer Info'!E2228,'Customer Info'!E2228:E2727,1,0)</f>
        <v>#N/A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2672</v>
      </c>
      <c r="R2236" s="2" t="s">
        <v>50</v>
      </c>
      <c r="S2236" s="9">
        <f t="shared" si="174"/>
        <v>7.0000000000000007E-2</v>
      </c>
    </row>
    <row r="2237" spans="1:19" x14ac:dyDescent="0.3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e">
        <f>VLOOKUP('Customer Info'!B2229,'Customer Info'!B2229:B2728,1,0)</f>
        <v>#N/A</v>
      </c>
      <c r="H2237" s="6" t="e">
        <f>VLOOKUP('Customer Info'!C2229,'Customer Info'!C2229:C2728,1)</f>
        <v>#N/A</v>
      </c>
      <c r="I2237" s="6" t="e">
        <f>VLOOKUP('Customer Info'!E2229,'Customer Info'!E2229:E2728,1,0)</f>
        <v>#N/A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44</v>
      </c>
      <c r="R2237" s="2" t="s">
        <v>28</v>
      </c>
      <c r="S2237" s="9">
        <f t="shared" si="174"/>
        <v>0.02</v>
      </c>
    </row>
    <row r="2238" spans="1:19" x14ac:dyDescent="0.3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e">
        <f>VLOOKUP('Customer Info'!B2230,'Customer Info'!B2230:B2729,1,0)</f>
        <v>#N/A</v>
      </c>
      <c r="H2238" s="6" t="e">
        <f>VLOOKUP('Customer Info'!C2230,'Customer Info'!C2230:C2729,1)</f>
        <v>#N/A</v>
      </c>
      <c r="I2238" s="6" t="e">
        <f>VLOOKUP('Customer Info'!E2230,'Customer Info'!E2230:E2729,1,0)</f>
        <v>#N/A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1920</v>
      </c>
      <c r="R2238" s="2" t="s">
        <v>28</v>
      </c>
      <c r="S2238" s="9">
        <f t="shared" si="174"/>
        <v>0.05</v>
      </c>
    </row>
    <row r="2239" spans="1:19" x14ac:dyDescent="0.3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e">
        <f>VLOOKUP('Customer Info'!B2231,'Customer Info'!B2231:B2730,1,0)</f>
        <v>#N/A</v>
      </c>
      <c r="H2239" s="6" t="e">
        <f>VLOOKUP('Customer Info'!C2231,'Customer Info'!C2231:C2730,1)</f>
        <v>#N/A</v>
      </c>
      <c r="I2239" s="6" t="e">
        <f>VLOOKUP('Customer Info'!E2231,'Customer Info'!E2231:E2730,1,0)</f>
        <v>#N/A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32</v>
      </c>
      <c r="R2239" s="2" t="s">
        <v>50</v>
      </c>
      <c r="S2239" s="9">
        <f t="shared" si="174"/>
        <v>0.02</v>
      </c>
    </row>
    <row r="2240" spans="1:19" x14ac:dyDescent="0.3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e">
        <f>VLOOKUP('Customer Info'!B2232,'Customer Info'!B2232:B2731,1,0)</f>
        <v>#N/A</v>
      </c>
      <c r="H2240" s="6" t="e">
        <f>VLOOKUP('Customer Info'!C2232,'Customer Info'!C2232:C2731,1)</f>
        <v>#N/A</v>
      </c>
      <c r="I2240" s="6" t="e">
        <f>VLOOKUP('Customer Info'!E2232,'Customer Info'!E2232:E2731,1,0)</f>
        <v>#N/A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24</v>
      </c>
      <c r="R2240" s="2" t="s">
        <v>50</v>
      </c>
      <c r="S2240" s="9">
        <f t="shared" si="174"/>
        <v>0.02</v>
      </c>
    </row>
    <row r="2241" spans="1:19" x14ac:dyDescent="0.3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e">
        <f>VLOOKUP('Customer Info'!B2233,'Customer Info'!B2233:B2732,1,0)</f>
        <v>#N/A</v>
      </c>
      <c r="H2241" s="6" t="e">
        <f>VLOOKUP('Customer Info'!C2233,'Customer Info'!C2233:C2732,1)</f>
        <v>#N/A</v>
      </c>
      <c r="I2241" s="6" t="e">
        <f>VLOOKUP('Customer Info'!E2233,'Customer Info'!E2233:E2732,1,0)</f>
        <v>#N/A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1060</v>
      </c>
      <c r="R2241" s="2" t="s">
        <v>28</v>
      </c>
      <c r="S2241" s="9">
        <f t="shared" si="174"/>
        <v>0.05</v>
      </c>
    </row>
    <row r="2242" spans="1:19" x14ac:dyDescent="0.3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e">
        <f>VLOOKUP('Customer Info'!B2234,'Customer Info'!B2234:B2733,1,0)</f>
        <v>#N/A</v>
      </c>
      <c r="H2242" s="6" t="e">
        <f>VLOOKUP('Customer Info'!C2234,'Customer Info'!C2234:C2733,1)</f>
        <v>#N/A</v>
      </c>
      <c r="I2242" s="6" t="e">
        <f>VLOOKUP('Customer Info'!E2234,'Customer Info'!E2234:E2733,1,0)</f>
        <v>#N/A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18</v>
      </c>
      <c r="R2242" s="2" t="s">
        <v>26</v>
      </c>
      <c r="S2242" s="9">
        <f t="shared" si="174"/>
        <v>0.02</v>
      </c>
    </row>
    <row r="2243" spans="1:19" x14ac:dyDescent="0.3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e">
        <f>VLOOKUP('Customer Info'!B2235,'Customer Info'!B2235:B2734,1,0)</f>
        <v>#N/A</v>
      </c>
      <c r="H2243" s="6" t="e">
        <f>VLOOKUP('Customer Info'!C2235,'Customer Info'!C2235:C2734,1)</f>
        <v>#N/A</v>
      </c>
      <c r="I2243" s="6" t="e">
        <f>VLOOKUP('Customer Info'!E2235,'Customer Info'!E2235:E2734,1,0)</f>
        <v>#N/A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728</v>
      </c>
      <c r="R2243" s="2" t="s">
        <v>50</v>
      </c>
      <c r="S2243" s="9">
        <f t="shared" si="174"/>
        <v>0.05</v>
      </c>
    </row>
    <row r="2244" spans="1:19" x14ac:dyDescent="0.3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e">
        <f>VLOOKUP('Customer Info'!B2236,'Customer Info'!B2236:B2735,1,0)</f>
        <v>#N/A</v>
      </c>
      <c r="H2244" s="6" t="e">
        <f>VLOOKUP('Customer Info'!C2236,'Customer Info'!C2236:C2735,1)</f>
        <v>#N/A</v>
      </c>
      <c r="I2244" s="6" t="e">
        <f>VLOOKUP('Customer Info'!E2236,'Customer Info'!E2236:E2735,1,0)</f>
        <v>#N/A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36</v>
      </c>
      <c r="R2244" s="2" t="s">
        <v>50</v>
      </c>
      <c r="S2244" s="9">
        <f t="shared" si="174"/>
        <v>0.02</v>
      </c>
    </row>
    <row r="2245" spans="1:19" x14ac:dyDescent="0.3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e">
        <f>VLOOKUP('Customer Info'!B2237,'Customer Info'!B2237:B2736,1,0)</f>
        <v>#N/A</v>
      </c>
      <c r="H2245" s="6" t="e">
        <f>VLOOKUP('Customer Info'!C2237,'Customer Info'!C2237:C2736,1)</f>
        <v>#N/A</v>
      </c>
      <c r="I2245" s="6" t="e">
        <f>VLOOKUP('Customer Info'!E2237,'Customer Info'!E2237:E2736,1,0)</f>
        <v>#N/A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2184</v>
      </c>
      <c r="R2245" s="2" t="s">
        <v>28</v>
      </c>
      <c r="S2245" s="9">
        <f t="shared" si="174"/>
        <v>7.0000000000000007E-2</v>
      </c>
    </row>
    <row r="2246" spans="1:19" x14ac:dyDescent="0.3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e">
        <f>VLOOKUP('Customer Info'!B2238,'Customer Info'!B2238:B2737,1,0)</f>
        <v>#N/A</v>
      </c>
      <c r="H2246" s="6" t="e">
        <f>VLOOKUP('Customer Info'!C2238,'Customer Info'!C2238:C2737,1)</f>
        <v>#N/A</v>
      </c>
      <c r="I2246" s="6" t="e">
        <f>VLOOKUP('Customer Info'!E2238,'Customer Info'!E2238:E2737,1,0)</f>
        <v>#N/A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40</v>
      </c>
      <c r="R2246" s="2" t="s">
        <v>28</v>
      </c>
      <c r="S2246" s="9">
        <f t="shared" si="174"/>
        <v>0.02</v>
      </c>
    </row>
    <row r="2247" spans="1:19" x14ac:dyDescent="0.3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e">
        <f>VLOOKUP('Customer Info'!B2239,'Customer Info'!B2239:B2738,1,0)</f>
        <v>#N/A</v>
      </c>
      <c r="H2247" s="6" t="e">
        <f>VLOOKUP('Customer Info'!C2239,'Customer Info'!C2239:C2738,1)</f>
        <v>#N/A</v>
      </c>
      <c r="I2247" s="6" t="e">
        <f>VLOOKUP('Customer Info'!E2239,'Customer Info'!E2239:E2738,1,0)</f>
        <v>#N/A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219</v>
      </c>
      <c r="R2247" s="2" t="s">
        <v>28</v>
      </c>
      <c r="S2247" s="9">
        <f t="shared" si="174"/>
        <v>0.02</v>
      </c>
    </row>
    <row r="2248" spans="1:19" x14ac:dyDescent="0.3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e">
        <f>VLOOKUP('Customer Info'!B2240,'Customer Info'!B2240:B2739,1,0)</f>
        <v>#N/A</v>
      </c>
      <c r="H2248" s="6" t="e">
        <f>VLOOKUP('Customer Info'!C2240,'Customer Info'!C2240:C2739,1)</f>
        <v>#N/A</v>
      </c>
      <c r="I2248" s="6" t="e">
        <f>VLOOKUP('Customer Info'!E2240,'Customer Info'!E2240:E2739,1,0)</f>
        <v>#N/A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180</v>
      </c>
      <c r="R2248" s="2" t="s">
        <v>50</v>
      </c>
      <c r="S2248" s="9">
        <f t="shared" si="174"/>
        <v>0.02</v>
      </c>
    </row>
    <row r="2249" spans="1:19" x14ac:dyDescent="0.3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e">
        <f>VLOOKUP('Customer Info'!B2241,'Customer Info'!B2241:B2740,1,0)</f>
        <v>#N/A</v>
      </c>
      <c r="H2249" s="6" t="e">
        <f>VLOOKUP('Customer Info'!C2241,'Customer Info'!C2241:C2740,1)</f>
        <v>#N/A</v>
      </c>
      <c r="I2249" s="6" t="e">
        <f>VLOOKUP('Customer Info'!E2241,'Customer Info'!E2241:E2740,1,0)</f>
        <v>#N/A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4</v>
      </c>
      <c r="R2249" s="2" t="s">
        <v>28</v>
      </c>
      <c r="S2249" s="9">
        <f t="shared" si="174"/>
        <v>0.02</v>
      </c>
    </row>
    <row r="2250" spans="1:19" x14ac:dyDescent="0.3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e">
        <f>VLOOKUP('Customer Info'!B2242,'Customer Info'!B2242:B2741,1,0)</f>
        <v>#N/A</v>
      </c>
      <c r="H2250" s="6" t="e">
        <f>VLOOKUP('Customer Info'!C2242,'Customer Info'!C2242:C2741,1)</f>
        <v>#N/A</v>
      </c>
      <c r="I2250" s="6" t="e">
        <f>VLOOKUP('Customer Info'!E2242,'Customer Info'!E2242:E2741,1,0)</f>
        <v>#N/A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648</v>
      </c>
      <c r="R2250" s="2" t="s">
        <v>56</v>
      </c>
      <c r="S2250" s="9">
        <f t="shared" si="174"/>
        <v>0.05</v>
      </c>
    </row>
    <row r="2251" spans="1:19" x14ac:dyDescent="0.3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e">
        <f>VLOOKUP('Customer Info'!B2243,'Customer Info'!B2243:B2742,1,0)</f>
        <v>#N/A</v>
      </c>
      <c r="H2251" s="6" t="e">
        <f>VLOOKUP('Customer Info'!C2243,'Customer Info'!C2243:C2742,1)</f>
        <v>#N/A</v>
      </c>
      <c r="I2251" s="6" t="e">
        <f>VLOOKUP('Customer Info'!E2243,'Customer Info'!E2243:E2742,1,0)</f>
        <v>#N/A</v>
      </c>
      <c r="J2251" s="2">
        <v>2787</v>
      </c>
      <c r="K2251" s="2">
        <v>2681</v>
      </c>
      <c r="L2251" s="2">
        <v>9</v>
      </c>
      <c r="M2251" s="7">
        <f t="shared" ref="M2251:M2314" si="175">(K2251*L2251)</f>
        <v>24129</v>
      </c>
      <c r="N2251" s="7">
        <f t="shared" ref="N2251:N2314" si="176">(J2251*L2251)</f>
        <v>25083</v>
      </c>
      <c r="O2251" s="2">
        <v>55</v>
      </c>
      <c r="P2251" s="8">
        <f t="shared" ref="P2251:P2314" si="177">(N2251+O2251)</f>
        <v>25138</v>
      </c>
      <c r="Q2251" s="8">
        <f t="shared" ref="Q2251:Q2314" si="178">(N2251-M2251)</f>
        <v>954</v>
      </c>
      <c r="R2251" s="2" t="s">
        <v>28</v>
      </c>
      <c r="S2251" s="9">
        <f t="shared" ref="S2251:S2314" si="179">_xlfn.IFS(P2251&gt;250000,0.15,P2251&gt;100000,0.12,P2251&gt;50000,0.09,P2251&gt;25000,0.07,P2251&gt;5000,0.05,
 TRUE,0.02)</f>
        <v>7.0000000000000007E-2</v>
      </c>
    </row>
    <row r="2252" spans="1:19" x14ac:dyDescent="0.3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e">
        <f>VLOOKUP('Customer Info'!B2244,'Customer Info'!B2244:B2743,1,0)</f>
        <v>#N/A</v>
      </c>
      <c r="H2252" s="6" t="e">
        <f>VLOOKUP('Customer Info'!C2244,'Customer Info'!C2244:C2743,1)</f>
        <v>#N/A</v>
      </c>
      <c r="I2252" s="6" t="e">
        <f>VLOOKUP('Customer Info'!E2244,'Customer Info'!E2244:E2743,1,0)</f>
        <v>#N/A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956</v>
      </c>
      <c r="R2252" s="2" t="s">
        <v>28</v>
      </c>
      <c r="S2252" s="9">
        <f t="shared" si="179"/>
        <v>0.05</v>
      </c>
    </row>
    <row r="2253" spans="1:19" x14ac:dyDescent="0.3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e">
        <f>VLOOKUP('Customer Info'!B2245,'Customer Info'!B2245:B2744,1,0)</f>
        <v>#N/A</v>
      </c>
      <c r="H2253" s="6" t="e">
        <f>VLOOKUP('Customer Info'!C2245,'Customer Info'!C2245:C2744,1)</f>
        <v>#N/A</v>
      </c>
      <c r="I2253" s="6" t="e">
        <f>VLOOKUP('Customer Info'!E2245,'Customer Info'!E2245:E2744,1,0)</f>
        <v>#N/A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4014</v>
      </c>
      <c r="R2253" s="2" t="s">
        <v>50</v>
      </c>
      <c r="S2253" s="9">
        <f t="shared" si="179"/>
        <v>7.0000000000000007E-2</v>
      </c>
    </row>
    <row r="2254" spans="1:19" x14ac:dyDescent="0.3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e">
        <f>VLOOKUP('Customer Info'!B2246,'Customer Info'!B2246:B2745,1,0)</f>
        <v>#N/A</v>
      </c>
      <c r="H2254" s="6" t="e">
        <f>VLOOKUP('Customer Info'!C2246,'Customer Info'!C2246:C2745,1)</f>
        <v>#N/A</v>
      </c>
      <c r="I2254" s="6" t="e">
        <f>VLOOKUP('Customer Info'!E2246,'Customer Info'!E2246:E2745,1,0)</f>
        <v>#N/A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1152</v>
      </c>
      <c r="R2254" s="2" t="s">
        <v>28</v>
      </c>
      <c r="S2254" s="9">
        <f t="shared" si="179"/>
        <v>0.05</v>
      </c>
    </row>
    <row r="2255" spans="1:19" x14ac:dyDescent="0.3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e">
        <f>VLOOKUP('Customer Info'!B2247,'Customer Info'!B2247:B2746,1,0)</f>
        <v>#N/A</v>
      </c>
      <c r="H2255" s="6" t="e">
        <f>VLOOKUP('Customer Info'!C2247,'Customer Info'!C2247:C2746,1)</f>
        <v>#N/A</v>
      </c>
      <c r="I2255" s="6" t="e">
        <f>VLOOKUP('Customer Info'!E2247,'Customer Info'!E2247:E2746,1,0)</f>
        <v>#N/A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634</v>
      </c>
      <c r="R2255" s="2" t="s">
        <v>26</v>
      </c>
      <c r="S2255" s="9">
        <f t="shared" si="179"/>
        <v>0.05</v>
      </c>
    </row>
    <row r="2256" spans="1:19" x14ac:dyDescent="0.3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e">
        <f>VLOOKUP('Customer Info'!B2248,'Customer Info'!B2248:B2747,1,0)</f>
        <v>#N/A</v>
      </c>
      <c r="H2256" s="6" t="e">
        <f>VLOOKUP('Customer Info'!C2248,'Customer Info'!C2248:C2747,1)</f>
        <v>#N/A</v>
      </c>
      <c r="I2256" s="6" t="e">
        <f>VLOOKUP('Customer Info'!E2248,'Customer Info'!E2248:E2747,1,0)</f>
        <v>#N/A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670</v>
      </c>
      <c r="R2256" s="2" t="s">
        <v>28</v>
      </c>
      <c r="S2256" s="9">
        <f t="shared" si="179"/>
        <v>0.05</v>
      </c>
    </row>
    <row r="2257" spans="1:19" x14ac:dyDescent="0.3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e">
        <f>VLOOKUP('Customer Info'!B2249,'Customer Info'!B2249:B2748,1,0)</f>
        <v>#N/A</v>
      </c>
      <c r="H2257" s="6" t="e">
        <f>VLOOKUP('Customer Info'!C2249,'Customer Info'!C2249:C2748,1)</f>
        <v>#N/A</v>
      </c>
      <c r="I2257" s="6" t="e">
        <f>VLOOKUP('Customer Info'!E2249,'Customer Info'!E2249:E2748,1,0)</f>
        <v>#N/A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78</v>
      </c>
      <c r="R2257" s="2" t="s">
        <v>28</v>
      </c>
      <c r="S2257" s="9">
        <f t="shared" si="179"/>
        <v>0.02</v>
      </c>
    </row>
    <row r="2258" spans="1:19" x14ac:dyDescent="0.3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e">
        <f>VLOOKUP('Customer Info'!B2250,'Customer Info'!B2250:B2749,1,0)</f>
        <v>#N/A</v>
      </c>
      <c r="H2258" s="6" t="e">
        <f>VLOOKUP('Customer Info'!C2250,'Customer Info'!C2250:C2749,1)</f>
        <v>#N/A</v>
      </c>
      <c r="I2258" s="6" t="e">
        <f>VLOOKUP('Customer Info'!E2250,'Customer Info'!E2250:E2749,1,0)</f>
        <v>#N/A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385</v>
      </c>
      <c r="R2258" s="2" t="s">
        <v>28</v>
      </c>
      <c r="S2258" s="9">
        <f t="shared" si="179"/>
        <v>0.05</v>
      </c>
    </row>
    <row r="2259" spans="1:19" x14ac:dyDescent="0.3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e">
        <f>VLOOKUP('Customer Info'!B2251,'Customer Info'!B2251:B2750,1,0)</f>
        <v>#N/A</v>
      </c>
      <c r="H2259" s="6" t="e">
        <f>VLOOKUP('Customer Info'!C2251,'Customer Info'!C2251:C2750,1)</f>
        <v>#N/A</v>
      </c>
      <c r="I2259" s="6" t="e">
        <f>VLOOKUP('Customer Info'!E2251,'Customer Info'!E2251:E2750,1,0)</f>
        <v>#N/A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45</v>
      </c>
      <c r="R2259" s="2" t="s">
        <v>28</v>
      </c>
      <c r="S2259" s="9">
        <f t="shared" si="179"/>
        <v>0.02</v>
      </c>
    </row>
    <row r="2260" spans="1:19" x14ac:dyDescent="0.3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e">
        <f>VLOOKUP('Customer Info'!B2252,'Customer Info'!B2252:B2751,1,0)</f>
        <v>#N/A</v>
      </c>
      <c r="H2260" s="6" t="e">
        <f>VLOOKUP('Customer Info'!C2252,'Customer Info'!C2252:C2751,1)</f>
        <v>#N/A</v>
      </c>
      <c r="I2260" s="6" t="e">
        <f>VLOOKUP('Customer Info'!E2252,'Customer Info'!E2252:E2751,1,0)</f>
        <v>#N/A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28</v>
      </c>
      <c r="R2260" s="2" t="s">
        <v>28</v>
      </c>
      <c r="S2260" s="9">
        <f t="shared" si="179"/>
        <v>0.02</v>
      </c>
    </row>
    <row r="2261" spans="1:19" x14ac:dyDescent="0.3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e">
        <f>VLOOKUP('Customer Info'!B2253,'Customer Info'!B2253:B2752,1,0)</f>
        <v>#N/A</v>
      </c>
      <c r="H2261" s="6" t="e">
        <f>VLOOKUP('Customer Info'!C2253,'Customer Info'!C2253:C2752,1)</f>
        <v>#N/A</v>
      </c>
      <c r="I2261" s="6" t="e">
        <f>VLOOKUP('Customer Info'!E2253,'Customer Info'!E2253:E2752,1,0)</f>
        <v>#N/A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91</v>
      </c>
      <c r="R2261" s="2" t="s">
        <v>50</v>
      </c>
      <c r="S2261" s="9">
        <f t="shared" si="179"/>
        <v>0.02</v>
      </c>
    </row>
    <row r="2262" spans="1:19" x14ac:dyDescent="0.3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e">
        <f>VLOOKUP('Customer Info'!B2254,'Customer Info'!B2254:B2753,1,0)</f>
        <v>#N/A</v>
      </c>
      <c r="H2262" s="6" t="e">
        <f>VLOOKUP('Customer Info'!C2254,'Customer Info'!C2254:C2753,1)</f>
        <v>#N/A</v>
      </c>
      <c r="I2262" s="6" t="e">
        <f>VLOOKUP('Customer Info'!E2254,'Customer Info'!E2254:E2753,1,0)</f>
        <v>#N/A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90</v>
      </c>
      <c r="R2262" s="2" t="s">
        <v>28</v>
      </c>
      <c r="S2262" s="9">
        <f t="shared" si="179"/>
        <v>0.02</v>
      </c>
    </row>
    <row r="2263" spans="1:19" x14ac:dyDescent="0.3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e">
        <f>VLOOKUP('Customer Info'!B2255,'Customer Info'!B2255:B2754,1,0)</f>
        <v>#N/A</v>
      </c>
      <c r="H2263" s="6" t="e">
        <f>VLOOKUP('Customer Info'!C2255,'Customer Info'!C2255:C2754,1)</f>
        <v>#N/A</v>
      </c>
      <c r="I2263" s="6" t="e">
        <f>VLOOKUP('Customer Info'!E2255,'Customer Info'!E2255:E2754,1,0)</f>
        <v>#N/A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190</v>
      </c>
      <c r="R2263" s="2" t="s">
        <v>28</v>
      </c>
      <c r="S2263" s="9">
        <f t="shared" si="179"/>
        <v>0.05</v>
      </c>
    </row>
    <row r="2264" spans="1:19" x14ac:dyDescent="0.3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e">
        <f>VLOOKUP('Customer Info'!B2256,'Customer Info'!B2256:B2755,1,0)</f>
        <v>#N/A</v>
      </c>
      <c r="H2264" s="6" t="e">
        <f>VLOOKUP('Customer Info'!C2256,'Customer Info'!C2256:C2755,1)</f>
        <v>#N/A</v>
      </c>
      <c r="I2264" s="6" t="e">
        <f>VLOOKUP('Customer Info'!E2256,'Customer Info'!E2256:E2755,1,0)</f>
        <v>#N/A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2889</v>
      </c>
      <c r="R2264" s="2" t="s">
        <v>28</v>
      </c>
      <c r="S2264" s="9">
        <f t="shared" si="179"/>
        <v>7.0000000000000007E-2</v>
      </c>
    </row>
    <row r="2265" spans="1:19" x14ac:dyDescent="0.3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e">
        <f>VLOOKUP('Customer Info'!B2257,'Customer Info'!B2257:B2756,1,0)</f>
        <v>#N/A</v>
      </c>
      <c r="H2265" s="6" t="e">
        <f>VLOOKUP('Customer Info'!C2257,'Customer Info'!C2257:C2756,1)</f>
        <v>#N/A</v>
      </c>
      <c r="I2265" s="6" t="e">
        <f>VLOOKUP('Customer Info'!E2257,'Customer Info'!E2257:E2756,1,0)</f>
        <v>#N/A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2604</v>
      </c>
      <c r="R2265" s="2" t="s">
        <v>28</v>
      </c>
      <c r="S2265" s="9">
        <f t="shared" si="179"/>
        <v>7.0000000000000007E-2</v>
      </c>
    </row>
    <row r="2266" spans="1:19" x14ac:dyDescent="0.3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e">
        <f>VLOOKUP('Customer Info'!B2258,'Customer Info'!B2258:B2757,1,0)</f>
        <v>#N/A</v>
      </c>
      <c r="H2266" s="6" t="e">
        <f>VLOOKUP('Customer Info'!C2258,'Customer Info'!C2258:C2757,1)</f>
        <v>#N/A</v>
      </c>
      <c r="I2266" s="6" t="e">
        <f>VLOOKUP('Customer Info'!E2258,'Customer Info'!E2258:E2757,1,0)</f>
        <v>#N/A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676</v>
      </c>
      <c r="R2266" s="2" t="s">
        <v>50</v>
      </c>
      <c r="S2266" s="9">
        <f t="shared" si="179"/>
        <v>0.05</v>
      </c>
    </row>
    <row r="2267" spans="1:19" x14ac:dyDescent="0.3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e">
        <f>VLOOKUP('Customer Info'!B2259,'Customer Info'!B2259:B2758,1,0)</f>
        <v>#N/A</v>
      </c>
      <c r="H2267" s="6" t="e">
        <f>VLOOKUP('Customer Info'!C2259,'Customer Info'!C2259:C2758,1)</f>
        <v>#N/A</v>
      </c>
      <c r="I2267" s="6" t="e">
        <f>VLOOKUP('Customer Info'!E2259,'Customer Info'!E2259:E2758,1,0)</f>
        <v>#N/A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36</v>
      </c>
      <c r="R2267" s="2" t="s">
        <v>50</v>
      </c>
      <c r="S2267" s="9">
        <f t="shared" si="179"/>
        <v>0.02</v>
      </c>
    </row>
    <row r="2268" spans="1:19" x14ac:dyDescent="0.3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e">
        <f>VLOOKUP('Customer Info'!B2260,'Customer Info'!B2260:B2759,1,0)</f>
        <v>#N/A</v>
      </c>
      <c r="H2268" s="6" t="e">
        <f>VLOOKUP('Customer Info'!C2260,'Customer Info'!C2260:C2759,1)</f>
        <v>#N/A</v>
      </c>
      <c r="I2268" s="6" t="e">
        <f>VLOOKUP('Customer Info'!E2260,'Customer Info'!E2260:E2759,1,0)</f>
        <v>#N/A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426</v>
      </c>
      <c r="R2268" s="2" t="s">
        <v>28</v>
      </c>
      <c r="S2268" s="9">
        <f t="shared" si="179"/>
        <v>0.02</v>
      </c>
    </row>
    <row r="2269" spans="1:19" x14ac:dyDescent="0.3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e">
        <f>VLOOKUP('Customer Info'!B2261,'Customer Info'!B2261:B2760,1,0)</f>
        <v>#N/A</v>
      </c>
      <c r="H2269" s="6" t="e">
        <f>VLOOKUP('Customer Info'!C2261,'Customer Info'!C2261:C2760,1)</f>
        <v>#N/A</v>
      </c>
      <c r="I2269" s="6" t="e">
        <f>VLOOKUP('Customer Info'!E2261,'Customer Info'!E2261:E2760,1,0)</f>
        <v>#N/A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1170</v>
      </c>
      <c r="R2269" s="2" t="s">
        <v>28</v>
      </c>
      <c r="S2269" s="9">
        <f t="shared" si="179"/>
        <v>0.05</v>
      </c>
    </row>
    <row r="2270" spans="1:19" x14ac:dyDescent="0.3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e">
        <f>VLOOKUP('Customer Info'!B2262,'Customer Info'!B2262:B2761,1,0)</f>
        <v>#N/A</v>
      </c>
      <c r="H2270" s="6" t="e">
        <f>VLOOKUP('Customer Info'!C2262,'Customer Info'!C2262:C2761,1)</f>
        <v>#N/A</v>
      </c>
      <c r="I2270" s="6" t="e">
        <f>VLOOKUP('Customer Info'!E2262,'Customer Info'!E2262:E2761,1,0)</f>
        <v>#N/A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16</v>
      </c>
      <c r="R2270" s="2" t="s">
        <v>50</v>
      </c>
      <c r="S2270" s="9">
        <f t="shared" si="179"/>
        <v>0.02</v>
      </c>
    </row>
    <row r="2271" spans="1:19" x14ac:dyDescent="0.3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e">
        <f>VLOOKUP('Customer Info'!B2263,'Customer Info'!B2263:B2762,1,0)</f>
        <v>#N/A</v>
      </c>
      <c r="H2271" s="6" t="e">
        <f>VLOOKUP('Customer Info'!C2263,'Customer Info'!C2263:C2762,1)</f>
        <v>#N/A</v>
      </c>
      <c r="I2271" s="6" t="e">
        <f>VLOOKUP('Customer Info'!E2263,'Customer Info'!E2263:E2762,1,0)</f>
        <v>#N/A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12</v>
      </c>
      <c r="R2271" s="2" t="s">
        <v>28</v>
      </c>
      <c r="S2271" s="9">
        <f t="shared" si="179"/>
        <v>0.02</v>
      </c>
    </row>
    <row r="2272" spans="1:19" x14ac:dyDescent="0.3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e">
        <f>VLOOKUP('Customer Info'!B2264,'Customer Info'!B2264:B2763,1,0)</f>
        <v>#N/A</v>
      </c>
      <c r="H2272" s="6" t="e">
        <f>VLOOKUP('Customer Info'!C2264,'Customer Info'!C2264:C2763,1)</f>
        <v>#N/A</v>
      </c>
      <c r="I2272" s="6" t="e">
        <f>VLOOKUP('Customer Info'!E2264,'Customer Info'!E2264:E2763,1,0)</f>
        <v>#N/A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382</v>
      </c>
      <c r="R2272" s="2" t="s">
        <v>28</v>
      </c>
      <c r="S2272" s="9">
        <f t="shared" si="179"/>
        <v>0.05</v>
      </c>
    </row>
    <row r="2273" spans="1:19" x14ac:dyDescent="0.3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e">
        <f>VLOOKUP('Customer Info'!B2265,'Customer Info'!B2265:B2764,1,0)</f>
        <v>#N/A</v>
      </c>
      <c r="H2273" s="6" t="e">
        <f>VLOOKUP('Customer Info'!C2265,'Customer Info'!C2265:C2764,1)</f>
        <v>#N/A</v>
      </c>
      <c r="I2273" s="6" t="e">
        <f>VLOOKUP('Customer Info'!E2265,'Customer Info'!E2265:E2764,1,0)</f>
        <v>#N/A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840</v>
      </c>
      <c r="R2273" s="2" t="s">
        <v>28</v>
      </c>
      <c r="S2273" s="9">
        <f t="shared" si="179"/>
        <v>0.05</v>
      </c>
    </row>
    <row r="2274" spans="1:19" x14ac:dyDescent="0.3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e">
        <f>VLOOKUP('Customer Info'!B2266,'Customer Info'!B2266:B2765,1,0)</f>
        <v>#N/A</v>
      </c>
      <c r="H2274" s="6" t="e">
        <f>VLOOKUP('Customer Info'!C2266,'Customer Info'!C2266:C2765,1)</f>
        <v>#N/A</v>
      </c>
      <c r="I2274" s="6" t="e">
        <f>VLOOKUP('Customer Info'!E2266,'Customer Info'!E2266:E2765,1,0)</f>
        <v>#N/A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8</v>
      </c>
      <c r="R2274" s="2" t="s">
        <v>28</v>
      </c>
      <c r="S2274" s="9">
        <f t="shared" si="179"/>
        <v>0.02</v>
      </c>
    </row>
    <row r="2275" spans="1:19" x14ac:dyDescent="0.3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e">
        <f>VLOOKUP('Customer Info'!B2267,'Customer Info'!B2267:B2766,1,0)</f>
        <v>#N/A</v>
      </c>
      <c r="H2275" s="6" t="e">
        <f>VLOOKUP('Customer Info'!C2267,'Customer Info'!C2267:C2766,1)</f>
        <v>#N/A</v>
      </c>
      <c r="I2275" s="6" t="e">
        <f>VLOOKUP('Customer Info'!E2267,'Customer Info'!E2267:E2766,1,0)</f>
        <v>#N/A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12</v>
      </c>
      <c r="R2275" s="2" t="s">
        <v>26</v>
      </c>
      <c r="S2275" s="9">
        <f t="shared" si="179"/>
        <v>0.02</v>
      </c>
    </row>
    <row r="2276" spans="1:19" x14ac:dyDescent="0.3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e">
        <f>VLOOKUP('Customer Info'!B2268,'Customer Info'!B2268:B2767,1,0)</f>
        <v>#N/A</v>
      </c>
      <c r="H2276" s="6" t="e">
        <f>VLOOKUP('Customer Info'!C2268,'Customer Info'!C2268:C2767,1)</f>
        <v>#N/A</v>
      </c>
      <c r="I2276" s="6" t="e">
        <f>VLOOKUP('Customer Info'!E2268,'Customer Info'!E2268:E2767,1,0)</f>
        <v>#N/A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271</v>
      </c>
      <c r="R2276" s="2" t="s">
        <v>28</v>
      </c>
      <c r="S2276" s="9">
        <f t="shared" si="179"/>
        <v>0.02</v>
      </c>
    </row>
    <row r="2277" spans="1:19" x14ac:dyDescent="0.3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e">
        <f>VLOOKUP('Customer Info'!B2269,'Customer Info'!B2269:B2768,1,0)</f>
        <v>#N/A</v>
      </c>
      <c r="H2277" s="6" t="e">
        <f>VLOOKUP('Customer Info'!C2269,'Customer Info'!C2269:C2768,1)</f>
        <v>#N/A</v>
      </c>
      <c r="I2277" s="6" t="e">
        <f>VLOOKUP('Customer Info'!E2269,'Customer Info'!E2269:E2768,1,0)</f>
        <v>#N/A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218</v>
      </c>
      <c r="R2277" s="2" t="s">
        <v>26</v>
      </c>
      <c r="S2277" s="9">
        <f t="shared" si="179"/>
        <v>0.02</v>
      </c>
    </row>
    <row r="2278" spans="1:19" x14ac:dyDescent="0.3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e">
        <f>VLOOKUP('Customer Info'!B2270,'Customer Info'!B2270:B2769,1,0)</f>
        <v>#N/A</v>
      </c>
      <c r="H2278" s="6" t="e">
        <f>VLOOKUP('Customer Info'!C2270,'Customer Info'!C2270:C2769,1)</f>
        <v>#N/A</v>
      </c>
      <c r="I2278" s="6" t="e">
        <f>VLOOKUP('Customer Info'!E2270,'Customer Info'!E2270:E2769,1,0)</f>
        <v>#N/A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819</v>
      </c>
      <c r="R2278" s="2" t="s">
        <v>28</v>
      </c>
      <c r="S2278" s="9">
        <f t="shared" si="179"/>
        <v>0.05</v>
      </c>
    </row>
    <row r="2279" spans="1:19" x14ac:dyDescent="0.3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e">
        <f>VLOOKUP('Customer Info'!B2271,'Customer Info'!B2271:B2770,1,0)</f>
        <v>#N/A</v>
      </c>
      <c r="H2279" s="6" t="e">
        <f>VLOOKUP('Customer Info'!C2271,'Customer Info'!C2271:C2770,1)</f>
        <v>#N/A</v>
      </c>
      <c r="I2279" s="6" t="e">
        <f>VLOOKUP('Customer Info'!E2271,'Customer Info'!E2271:E2770,1,0)</f>
        <v>#N/A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158</v>
      </c>
      <c r="R2279" s="2" t="s">
        <v>28</v>
      </c>
      <c r="S2279" s="9">
        <f t="shared" si="179"/>
        <v>0.02</v>
      </c>
    </row>
    <row r="2280" spans="1:19" x14ac:dyDescent="0.3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e">
        <f>VLOOKUP('Customer Info'!B2272,'Customer Info'!B2272:B2771,1,0)</f>
        <v>#N/A</v>
      </c>
      <c r="H2280" s="6" t="e">
        <f>VLOOKUP('Customer Info'!C2272,'Customer Info'!C2272:C2771,1)</f>
        <v>#N/A</v>
      </c>
      <c r="I2280" s="6" t="e">
        <f>VLOOKUP('Customer Info'!E2272,'Customer Info'!E2272:E2771,1,0)</f>
        <v>#N/A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126</v>
      </c>
      <c r="R2280" s="2" t="s">
        <v>28</v>
      </c>
      <c r="S2280" s="9">
        <f t="shared" si="179"/>
        <v>0.02</v>
      </c>
    </row>
    <row r="2281" spans="1:19" x14ac:dyDescent="0.3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e">
        <f>VLOOKUP('Customer Info'!B2273,'Customer Info'!B2273:B2772,1,0)</f>
        <v>#N/A</v>
      </c>
      <c r="H2281" s="6" t="e">
        <f>VLOOKUP('Customer Info'!C2273,'Customer Info'!C2273:C2772,1)</f>
        <v>#N/A</v>
      </c>
      <c r="I2281" s="6" t="e">
        <f>VLOOKUP('Customer Info'!E2273,'Customer Info'!E2273:E2772,1,0)</f>
        <v>#N/A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1104</v>
      </c>
      <c r="R2281" s="2" t="s">
        <v>28</v>
      </c>
      <c r="S2281" s="9">
        <f t="shared" si="179"/>
        <v>0.05</v>
      </c>
    </row>
    <row r="2282" spans="1:19" x14ac:dyDescent="0.3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e">
        <f>VLOOKUP('Customer Info'!B2274,'Customer Info'!B2274:B2773,1,0)</f>
        <v>#N/A</v>
      </c>
      <c r="H2282" s="6" t="e">
        <f>VLOOKUP('Customer Info'!C2274,'Customer Info'!C2274:C2773,1)</f>
        <v>#N/A</v>
      </c>
      <c r="I2282" s="6" t="e">
        <f>VLOOKUP('Customer Info'!E2274,'Customer Info'!E2274:E2773,1,0)</f>
        <v>#N/A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354</v>
      </c>
      <c r="R2282" s="2" t="s">
        <v>56</v>
      </c>
      <c r="S2282" s="9">
        <f t="shared" si="179"/>
        <v>0.02</v>
      </c>
    </row>
    <row r="2283" spans="1:19" x14ac:dyDescent="0.3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e">
        <f>VLOOKUP('Customer Info'!B2275,'Customer Info'!B2275:B2774,1,0)</f>
        <v>#N/A</v>
      </c>
      <c r="H2283" s="6" t="e">
        <f>VLOOKUP('Customer Info'!C2275,'Customer Info'!C2275:C2774,1)</f>
        <v>#N/A</v>
      </c>
      <c r="I2283" s="6" t="e">
        <f>VLOOKUP('Customer Info'!E2275,'Customer Info'!E2275:E2774,1,0)</f>
        <v>#N/A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90</v>
      </c>
      <c r="R2283" s="2" t="s">
        <v>26</v>
      </c>
      <c r="S2283" s="9">
        <f t="shared" si="179"/>
        <v>0.02</v>
      </c>
    </row>
    <row r="2284" spans="1:19" x14ac:dyDescent="0.3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e">
        <f>VLOOKUP('Customer Info'!B2276,'Customer Info'!B2276:B2775,1,0)</f>
        <v>#N/A</v>
      </c>
      <c r="H2284" s="6" t="e">
        <f>VLOOKUP('Customer Info'!C2276,'Customer Info'!C2276:C2775,1)</f>
        <v>#N/A</v>
      </c>
      <c r="I2284" s="6" t="e">
        <f>VLOOKUP('Customer Info'!E2276,'Customer Info'!E2276:E2775,1,0)</f>
        <v>#N/A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300</v>
      </c>
      <c r="R2284" s="2" t="s">
        <v>50</v>
      </c>
      <c r="S2284" s="9">
        <f t="shared" si="179"/>
        <v>0.02</v>
      </c>
    </row>
    <row r="2285" spans="1:19" x14ac:dyDescent="0.3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e">
        <f>VLOOKUP('Customer Info'!B2277,'Customer Info'!B2277:B2776,1,0)</f>
        <v>#N/A</v>
      </c>
      <c r="H2285" s="6" t="e">
        <f>VLOOKUP('Customer Info'!C2277,'Customer Info'!C2277:C2776,1)</f>
        <v>#N/A</v>
      </c>
      <c r="I2285" s="6" t="e">
        <f>VLOOKUP('Customer Info'!E2277,'Customer Info'!E2277:E2776,1,0)</f>
        <v>#N/A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125</v>
      </c>
      <c r="R2285" s="2" t="s">
        <v>28</v>
      </c>
      <c r="S2285" s="9">
        <f t="shared" si="179"/>
        <v>0.02</v>
      </c>
    </row>
    <row r="2286" spans="1:19" x14ac:dyDescent="0.3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e">
        <f>VLOOKUP('Customer Info'!B2278,'Customer Info'!B2278:B2777,1,0)</f>
        <v>#N/A</v>
      </c>
      <c r="H2286" s="6" t="e">
        <f>VLOOKUP('Customer Info'!C2278,'Customer Info'!C2278:C2777,1)</f>
        <v>#N/A</v>
      </c>
      <c r="I2286" s="6" t="e">
        <f>VLOOKUP('Customer Info'!E2278,'Customer Info'!E2278:E2777,1,0)</f>
        <v>#N/A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15</v>
      </c>
      <c r="R2286" s="2" t="s">
        <v>50</v>
      </c>
      <c r="S2286" s="9">
        <f t="shared" si="179"/>
        <v>0.02</v>
      </c>
    </row>
    <row r="2287" spans="1:19" x14ac:dyDescent="0.3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e">
        <f>VLOOKUP('Customer Info'!B2279,'Customer Info'!B2279:B2778,1,0)</f>
        <v>#N/A</v>
      </c>
      <c r="H2287" s="6" t="e">
        <f>VLOOKUP('Customer Info'!C2279,'Customer Info'!C2279:C2778,1)</f>
        <v>#N/A</v>
      </c>
      <c r="I2287" s="6" t="e">
        <f>VLOOKUP('Customer Info'!E2279,'Customer Info'!E2279:E2778,1,0)</f>
        <v>#N/A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507</v>
      </c>
      <c r="R2287" s="2" t="s">
        <v>50</v>
      </c>
      <c r="S2287" s="9">
        <f t="shared" si="179"/>
        <v>0.05</v>
      </c>
    </row>
    <row r="2288" spans="1:19" x14ac:dyDescent="0.3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e">
        <f>VLOOKUP('Customer Info'!B2280,'Customer Info'!B2280:B2779,1,0)</f>
        <v>#N/A</v>
      </c>
      <c r="H2288" s="6" t="e">
        <f>VLOOKUP('Customer Info'!C2280,'Customer Info'!C2280:C2779,1)</f>
        <v>#N/A</v>
      </c>
      <c r="I2288" s="6" t="e">
        <f>VLOOKUP('Customer Info'!E2280,'Customer Info'!E2280:E2779,1,0)</f>
        <v>#N/A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54</v>
      </c>
      <c r="R2288" s="2" t="s">
        <v>28</v>
      </c>
      <c r="S2288" s="9">
        <f t="shared" si="179"/>
        <v>0.02</v>
      </c>
    </row>
    <row r="2289" spans="1:19" x14ac:dyDescent="0.3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e">
        <f>VLOOKUP('Customer Info'!B2281,'Customer Info'!B2281:B2780,1,0)</f>
        <v>#N/A</v>
      </c>
      <c r="H2289" s="6" t="e">
        <f>VLOOKUP('Customer Info'!C2281,'Customer Info'!C2281:C2780,1)</f>
        <v>#N/A</v>
      </c>
      <c r="I2289" s="6" t="e">
        <f>VLOOKUP('Customer Info'!E2281,'Customer Info'!E2281:E2780,1,0)</f>
        <v>#N/A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5</v>
      </c>
      <c r="R2289" s="2" t="s">
        <v>26</v>
      </c>
      <c r="S2289" s="9">
        <f t="shared" si="179"/>
        <v>0.02</v>
      </c>
    </row>
    <row r="2290" spans="1:19" x14ac:dyDescent="0.3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e">
        <f>VLOOKUP('Customer Info'!B2282,'Customer Info'!B2282:B2781,1,0)</f>
        <v>#N/A</v>
      </c>
      <c r="H2290" s="6" t="e">
        <f>VLOOKUP('Customer Info'!C2282,'Customer Info'!C2282:C2781,1)</f>
        <v>#N/A</v>
      </c>
      <c r="I2290" s="6" t="e">
        <f>VLOOKUP('Customer Info'!E2282,'Customer Info'!E2282:E2781,1,0)</f>
        <v>#N/A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394</v>
      </c>
      <c r="R2290" s="2" t="s">
        <v>28</v>
      </c>
      <c r="S2290" s="9">
        <f t="shared" si="179"/>
        <v>0.05</v>
      </c>
    </row>
    <row r="2291" spans="1:19" x14ac:dyDescent="0.3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e">
        <f>VLOOKUP('Customer Info'!B2283,'Customer Info'!B2283:B2782,1,0)</f>
        <v>#N/A</v>
      </c>
      <c r="H2291" s="6" t="e">
        <f>VLOOKUP('Customer Info'!C2283,'Customer Info'!C2283:C2782,1)</f>
        <v>#N/A</v>
      </c>
      <c r="I2291" s="6" t="e">
        <f>VLOOKUP('Customer Info'!E2283,'Customer Info'!E2283:E2782,1,0)</f>
        <v>#N/A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74</v>
      </c>
      <c r="R2291" s="2" t="s">
        <v>28</v>
      </c>
      <c r="S2291" s="9">
        <f t="shared" si="179"/>
        <v>0.02</v>
      </c>
    </row>
    <row r="2292" spans="1:19" x14ac:dyDescent="0.3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e">
        <f>VLOOKUP('Customer Info'!B2284,'Customer Info'!B2284:B2783,1,0)</f>
        <v>#N/A</v>
      </c>
      <c r="H2292" s="6" t="e">
        <f>VLOOKUP('Customer Info'!C2284,'Customer Info'!C2284:C2783,1)</f>
        <v>#N/A</v>
      </c>
      <c r="I2292" s="6" t="e">
        <f>VLOOKUP('Customer Info'!E2284,'Customer Info'!E2284:E2783,1,0)</f>
        <v>#N/A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640</v>
      </c>
      <c r="R2292" s="2" t="s">
        <v>28</v>
      </c>
      <c r="S2292" s="9">
        <f t="shared" si="179"/>
        <v>0.05</v>
      </c>
    </row>
    <row r="2293" spans="1:19" x14ac:dyDescent="0.3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e">
        <f>VLOOKUP('Customer Info'!B2285,'Customer Info'!B2285:B2784,1,0)</f>
        <v>#N/A</v>
      </c>
      <c r="H2293" s="6" t="e">
        <f>VLOOKUP('Customer Info'!C2285,'Customer Info'!C2285:C2784,1)</f>
        <v>#N/A</v>
      </c>
      <c r="I2293" s="6" t="e">
        <f>VLOOKUP('Customer Info'!E2285,'Customer Info'!E2285:E2784,1,0)</f>
        <v>#N/A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958</v>
      </c>
      <c r="R2293" s="2" t="s">
        <v>28</v>
      </c>
      <c r="S2293" s="9">
        <f t="shared" si="179"/>
        <v>0.05</v>
      </c>
    </row>
    <row r="2294" spans="1:19" x14ac:dyDescent="0.3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e">
        <f>VLOOKUP('Customer Info'!B2286,'Customer Info'!B2286:B2785,1,0)</f>
        <v>#N/A</v>
      </c>
      <c r="H2294" s="6" t="e">
        <f>VLOOKUP('Customer Info'!C2286,'Customer Info'!C2286:C2785,1)</f>
        <v>#N/A</v>
      </c>
      <c r="I2294" s="6" t="e">
        <f>VLOOKUP('Customer Info'!E2286,'Customer Info'!E2286:E2785,1,0)</f>
        <v>#N/A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132</v>
      </c>
      <c r="R2294" s="2" t="s">
        <v>50</v>
      </c>
      <c r="S2294" s="9">
        <f t="shared" si="179"/>
        <v>0.05</v>
      </c>
    </row>
    <row r="2295" spans="1:19" x14ac:dyDescent="0.3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e">
        <f>VLOOKUP('Customer Info'!B2287,'Customer Info'!B2287:B2786,1,0)</f>
        <v>#N/A</v>
      </c>
      <c r="H2295" s="6" t="e">
        <f>VLOOKUP('Customer Info'!C2287,'Customer Info'!C2287:C2786,1)</f>
        <v>#N/A</v>
      </c>
      <c r="I2295" s="6" t="e">
        <f>VLOOKUP('Customer Info'!E2287,'Customer Info'!E2287:E2786,1,0)</f>
        <v>#N/A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201</v>
      </c>
      <c r="R2295" s="2" t="s">
        <v>26</v>
      </c>
      <c r="S2295" s="9">
        <f t="shared" si="179"/>
        <v>0.02</v>
      </c>
    </row>
    <row r="2296" spans="1:19" x14ac:dyDescent="0.3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e">
        <f>VLOOKUP('Customer Info'!B2288,'Customer Info'!B2288:B2787,1,0)</f>
        <v>#N/A</v>
      </c>
      <c r="H2296" s="6" t="e">
        <f>VLOOKUP('Customer Info'!C2288,'Customer Info'!C2288:C2787,1)</f>
        <v>#N/A</v>
      </c>
      <c r="I2296" s="6" t="e">
        <f>VLOOKUP('Customer Info'!E2288,'Customer Info'!E2288:E2787,1,0)</f>
        <v>#N/A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24</v>
      </c>
      <c r="R2296" s="2" t="s">
        <v>28</v>
      </c>
      <c r="S2296" s="9">
        <f t="shared" si="179"/>
        <v>0.02</v>
      </c>
    </row>
    <row r="2297" spans="1:19" x14ac:dyDescent="0.3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e">
        <f>VLOOKUP('Customer Info'!B2289,'Customer Info'!B2289:B2788,1,0)</f>
        <v>#N/A</v>
      </c>
      <c r="H2297" s="6" t="e">
        <f>VLOOKUP('Customer Info'!C2289,'Customer Info'!C2289:C2788,1)</f>
        <v>#N/A</v>
      </c>
      <c r="I2297" s="6" t="e">
        <f>VLOOKUP('Customer Info'!E2289,'Customer Info'!E2289:E2788,1,0)</f>
        <v>#N/A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960</v>
      </c>
      <c r="R2297" s="2" t="s">
        <v>50</v>
      </c>
      <c r="S2297" s="9">
        <f t="shared" si="179"/>
        <v>0.05</v>
      </c>
    </row>
    <row r="2298" spans="1:19" x14ac:dyDescent="0.3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e">
        <f>VLOOKUP('Customer Info'!B2290,'Customer Info'!B2290:B2789,1,0)</f>
        <v>#N/A</v>
      </c>
      <c r="H2298" s="6" t="e">
        <f>VLOOKUP('Customer Info'!C2290,'Customer Info'!C2290:C2789,1)</f>
        <v>#N/A</v>
      </c>
      <c r="I2298" s="6" t="e">
        <f>VLOOKUP('Customer Info'!E2290,'Customer Info'!E2290:E2789,1,0)</f>
        <v>#N/A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12</v>
      </c>
      <c r="R2298" s="2" t="s">
        <v>28</v>
      </c>
      <c r="S2298" s="9">
        <f t="shared" si="179"/>
        <v>0.02</v>
      </c>
    </row>
    <row r="2299" spans="1:19" x14ac:dyDescent="0.3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e">
        <f>VLOOKUP('Customer Info'!B2291,'Customer Info'!B2291:B2790,1,0)</f>
        <v>#N/A</v>
      </c>
      <c r="H2299" s="6" t="e">
        <f>VLOOKUP('Customer Info'!C2291,'Customer Info'!C2291:C2790,1)</f>
        <v>#N/A</v>
      </c>
      <c r="I2299" s="6" t="e">
        <f>VLOOKUP('Customer Info'!E2291,'Customer Info'!E2291:E2790,1,0)</f>
        <v>#N/A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45</v>
      </c>
      <c r="R2299" s="2" t="s">
        <v>28</v>
      </c>
      <c r="S2299" s="9">
        <f t="shared" si="179"/>
        <v>0.02</v>
      </c>
    </row>
    <row r="2300" spans="1:19" x14ac:dyDescent="0.3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e">
        <f>VLOOKUP('Customer Info'!B2292,'Customer Info'!B2292:B2791,1,0)</f>
        <v>#N/A</v>
      </c>
      <c r="H2300" s="6" t="e">
        <f>VLOOKUP('Customer Info'!C2292,'Customer Info'!C2292:C2791,1)</f>
        <v>#N/A</v>
      </c>
      <c r="I2300" s="6" t="e">
        <f>VLOOKUP('Customer Info'!E2292,'Customer Info'!E2292:E2791,1,0)</f>
        <v>#N/A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7</v>
      </c>
      <c r="R2300" s="2" t="s">
        <v>28</v>
      </c>
      <c r="S2300" s="9">
        <f t="shared" si="179"/>
        <v>0.02</v>
      </c>
    </row>
    <row r="2301" spans="1:19" x14ac:dyDescent="0.3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e">
        <f>VLOOKUP('Customer Info'!B2293,'Customer Info'!B2293:B2792,1,0)</f>
        <v>#N/A</v>
      </c>
      <c r="H2301" s="6" t="e">
        <f>VLOOKUP('Customer Info'!C2293,'Customer Info'!C2293:C2792,1)</f>
        <v>#N/A</v>
      </c>
      <c r="I2301" s="6" t="e">
        <f>VLOOKUP('Customer Info'!E2293,'Customer Info'!E2293:E2792,1,0)</f>
        <v>#N/A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670</v>
      </c>
      <c r="R2301" s="2" t="s">
        <v>28</v>
      </c>
      <c r="S2301" s="9">
        <f t="shared" si="179"/>
        <v>0.05</v>
      </c>
    </row>
    <row r="2302" spans="1:19" x14ac:dyDescent="0.3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e">
        <f>VLOOKUP('Customer Info'!B2294,'Customer Info'!B2294:B2793,1,0)</f>
        <v>#N/A</v>
      </c>
      <c r="H2302" s="6" t="e">
        <f>VLOOKUP('Customer Info'!C2294,'Customer Info'!C2294:C2793,1)</f>
        <v>#N/A</v>
      </c>
      <c r="I2302" s="6" t="e">
        <f>VLOOKUP('Customer Info'!E2294,'Customer Info'!E2294:E2793,1,0)</f>
        <v>#N/A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546</v>
      </c>
      <c r="R2302" s="2" t="s">
        <v>28</v>
      </c>
      <c r="S2302" s="9">
        <f t="shared" si="179"/>
        <v>0.02</v>
      </c>
    </row>
    <row r="2303" spans="1:19" x14ac:dyDescent="0.3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e">
        <f>VLOOKUP('Customer Info'!B2295,'Customer Info'!B2295:B2794,1,0)</f>
        <v>#N/A</v>
      </c>
      <c r="H2303" s="6" t="e">
        <f>VLOOKUP('Customer Info'!C2295,'Customer Info'!C2295:C2794,1)</f>
        <v>#N/A</v>
      </c>
      <c r="I2303" s="6" t="e">
        <f>VLOOKUP('Customer Info'!E2295,'Customer Info'!E2295:E2794,1,0)</f>
        <v>#N/A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708</v>
      </c>
      <c r="R2303" s="2" t="s">
        <v>50</v>
      </c>
      <c r="S2303" s="9">
        <f t="shared" si="179"/>
        <v>0.05</v>
      </c>
    </row>
    <row r="2304" spans="1:19" x14ac:dyDescent="0.3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e">
        <f>VLOOKUP('Customer Info'!B2296,'Customer Info'!B2296:B2795,1,0)</f>
        <v>#N/A</v>
      </c>
      <c r="H2304" s="6" t="e">
        <f>VLOOKUP('Customer Info'!C2296,'Customer Info'!C2296:C2795,1)</f>
        <v>#N/A</v>
      </c>
      <c r="I2304" s="6" t="e">
        <f>VLOOKUP('Customer Info'!E2296,'Customer Info'!E2296:E2795,1,0)</f>
        <v>#N/A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335</v>
      </c>
      <c r="R2304" s="2" t="s">
        <v>28</v>
      </c>
      <c r="S2304" s="9">
        <f t="shared" si="179"/>
        <v>0.05</v>
      </c>
    </row>
    <row r="2305" spans="1:19" x14ac:dyDescent="0.3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e">
        <f>VLOOKUP('Customer Info'!B2297,'Customer Info'!B2297:B2796,1,0)</f>
        <v>#N/A</v>
      </c>
      <c r="H2305" s="6" t="e">
        <f>VLOOKUP('Customer Info'!C2297,'Customer Info'!C2297:C2796,1)</f>
        <v>#N/A</v>
      </c>
      <c r="I2305" s="6" t="e">
        <f>VLOOKUP('Customer Info'!E2297,'Customer Info'!E2297:E2796,1,0)</f>
        <v>#N/A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146</v>
      </c>
      <c r="R2305" s="2" t="s">
        <v>28</v>
      </c>
      <c r="S2305" s="9">
        <f t="shared" si="179"/>
        <v>0.02</v>
      </c>
    </row>
    <row r="2306" spans="1:19" x14ac:dyDescent="0.3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e">
        <f>VLOOKUP('Customer Info'!B2298,'Customer Info'!B2298:B2797,1,0)</f>
        <v>#N/A</v>
      </c>
      <c r="H2306" s="6" t="e">
        <f>VLOOKUP('Customer Info'!C2298,'Customer Info'!C2298:C2797,1)</f>
        <v>#N/A</v>
      </c>
      <c r="I2306" s="6" t="e">
        <f>VLOOKUP('Customer Info'!E2298,'Customer Info'!E2298:E2797,1,0)</f>
        <v>#N/A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30</v>
      </c>
      <c r="R2306" s="2" t="s">
        <v>28</v>
      </c>
      <c r="S2306" s="9">
        <f t="shared" si="179"/>
        <v>0.02</v>
      </c>
    </row>
    <row r="2307" spans="1:19" x14ac:dyDescent="0.3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e">
        <f>VLOOKUP('Customer Info'!B2299,'Customer Info'!B2299:B2798,1,0)</f>
        <v>#N/A</v>
      </c>
      <c r="H2307" s="6" t="e">
        <f>VLOOKUP('Customer Info'!C2299,'Customer Info'!C2299:C2798,1)</f>
        <v>#N/A</v>
      </c>
      <c r="I2307" s="6" t="e">
        <f>VLOOKUP('Customer Info'!E2299,'Customer Info'!E2299:E2798,1,0)</f>
        <v>#N/A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327</v>
      </c>
      <c r="R2307" s="2" t="s">
        <v>28</v>
      </c>
      <c r="S2307" s="9">
        <f t="shared" si="179"/>
        <v>0.02</v>
      </c>
    </row>
    <row r="2308" spans="1:19" x14ac:dyDescent="0.3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e">
        <f>VLOOKUP('Customer Info'!B2300,'Customer Info'!B2300:B2799,1,0)</f>
        <v>#N/A</v>
      </c>
      <c r="H2308" s="6" t="e">
        <f>VLOOKUP('Customer Info'!C2300,'Customer Info'!C2300:C2799,1)</f>
        <v>#N/A</v>
      </c>
      <c r="I2308" s="6" t="e">
        <f>VLOOKUP('Customer Info'!E2300,'Customer Info'!E2300:E2799,1,0)</f>
        <v>#N/A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125</v>
      </c>
      <c r="R2308" s="2" t="s">
        <v>26</v>
      </c>
      <c r="S2308" s="9">
        <f t="shared" si="179"/>
        <v>0.02</v>
      </c>
    </row>
    <row r="2309" spans="1:19" x14ac:dyDescent="0.3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e">
        <f>VLOOKUP('Customer Info'!B2301,'Customer Info'!B2301:B2800,1,0)</f>
        <v>#N/A</v>
      </c>
      <c r="H2309" s="6" t="e">
        <f>VLOOKUP('Customer Info'!C2301,'Customer Info'!C2301:C2800,1)</f>
        <v>#N/A</v>
      </c>
      <c r="I2309" s="6" t="e">
        <f>VLOOKUP('Customer Info'!E2301,'Customer Info'!E2301:E2800,1,0)</f>
        <v>#N/A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192</v>
      </c>
      <c r="R2309" s="2" t="s">
        <v>50</v>
      </c>
      <c r="S2309" s="9">
        <f t="shared" si="179"/>
        <v>0.02</v>
      </c>
    </row>
    <row r="2310" spans="1:19" x14ac:dyDescent="0.3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e">
        <f>VLOOKUP('Customer Info'!B2302,'Customer Info'!B2302:B2801,1,0)</f>
        <v>#N/A</v>
      </c>
      <c r="H2310" s="6" t="e">
        <f>VLOOKUP('Customer Info'!C2302,'Customer Info'!C2302:C2801,1)</f>
        <v>#N/A</v>
      </c>
      <c r="I2310" s="6" t="e">
        <f>VLOOKUP('Customer Info'!E2302,'Customer Info'!E2302:E2801,1,0)</f>
        <v>#N/A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234</v>
      </c>
      <c r="R2310" s="2" t="s">
        <v>28</v>
      </c>
      <c r="S2310" s="9">
        <f t="shared" si="179"/>
        <v>0.02</v>
      </c>
    </row>
    <row r="2311" spans="1:19" x14ac:dyDescent="0.3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e">
        <f>VLOOKUP('Customer Info'!B2303,'Customer Info'!B2303:B2802,1,0)</f>
        <v>#N/A</v>
      </c>
      <c r="H2311" s="6" t="e">
        <f>VLOOKUP('Customer Info'!C2303,'Customer Info'!C2303:C2802,1)</f>
        <v>#N/A</v>
      </c>
      <c r="I2311" s="6" t="e">
        <f>VLOOKUP('Customer Info'!E2303,'Customer Info'!E2303:E2802,1,0)</f>
        <v>#N/A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102</v>
      </c>
      <c r="R2311" s="2" t="s">
        <v>28</v>
      </c>
      <c r="S2311" s="9">
        <f t="shared" si="179"/>
        <v>0.02</v>
      </c>
    </row>
    <row r="2312" spans="1:19" x14ac:dyDescent="0.3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e">
        <f>VLOOKUP('Customer Info'!B2304,'Customer Info'!B2304:B2803,1,0)</f>
        <v>#N/A</v>
      </c>
      <c r="H2312" s="6" t="e">
        <f>VLOOKUP('Customer Info'!C2304,'Customer Info'!C2304:C2803,1)</f>
        <v>#N/A</v>
      </c>
      <c r="I2312" s="6" t="e">
        <f>VLOOKUP('Customer Info'!E2304,'Customer Info'!E2304:E2803,1,0)</f>
        <v>#N/A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282</v>
      </c>
      <c r="R2312" s="2" t="s">
        <v>26</v>
      </c>
      <c r="S2312" s="9">
        <f t="shared" si="179"/>
        <v>0.05</v>
      </c>
    </row>
    <row r="2313" spans="1:19" x14ac:dyDescent="0.3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e">
        <f>VLOOKUP('Customer Info'!B2305,'Customer Info'!B2305:B2804,1,0)</f>
        <v>#N/A</v>
      </c>
      <c r="H2313" s="6" t="e">
        <f>VLOOKUP('Customer Info'!C2305,'Customer Info'!C2305:C2804,1)</f>
        <v>#N/A</v>
      </c>
      <c r="I2313" s="6" t="e">
        <f>VLOOKUP('Customer Info'!E2305,'Customer Info'!E2305:E2804,1,0)</f>
        <v>#N/A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11</v>
      </c>
      <c r="R2313" s="2" t="s">
        <v>50</v>
      </c>
      <c r="S2313" s="9">
        <f t="shared" si="179"/>
        <v>0.02</v>
      </c>
    </row>
    <row r="2314" spans="1:19" x14ac:dyDescent="0.3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e">
        <f>VLOOKUP('Customer Info'!B2306,'Customer Info'!B2306:B2805,1,0)</f>
        <v>#N/A</v>
      </c>
      <c r="H2314" s="6" t="e">
        <f>VLOOKUP('Customer Info'!C2306,'Customer Info'!C2306:C2805,1)</f>
        <v>#N/A</v>
      </c>
      <c r="I2314" s="6" t="e">
        <f>VLOOKUP('Customer Info'!E2306,'Customer Info'!E2306:E2805,1,0)</f>
        <v>#N/A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136</v>
      </c>
      <c r="R2314" s="2" t="s">
        <v>28</v>
      </c>
      <c r="S2314" s="9">
        <f t="shared" si="179"/>
        <v>0.02</v>
      </c>
    </row>
    <row r="2315" spans="1:19" x14ac:dyDescent="0.3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e">
        <f>VLOOKUP('Customer Info'!B2307,'Customer Info'!B2307:B2806,1,0)</f>
        <v>#N/A</v>
      </c>
      <c r="H2315" s="6" t="e">
        <f>VLOOKUP('Customer Info'!C2307,'Customer Info'!C2307:C2806,1)</f>
        <v>#N/A</v>
      </c>
      <c r="I2315" s="6" t="e">
        <f>VLOOKUP('Customer Info'!E2307,'Customer Info'!E2307:E2806,1,0)</f>
        <v>#N/A</v>
      </c>
      <c r="J2315" s="2">
        <v>7960</v>
      </c>
      <c r="K2315" s="2">
        <v>7375</v>
      </c>
      <c r="L2315" s="2">
        <v>2</v>
      </c>
      <c r="M2315" s="7">
        <f t="shared" ref="M2315:M2378" si="180">(K2315*L2315)</f>
        <v>14750</v>
      </c>
      <c r="N2315" s="7">
        <f t="shared" ref="N2315:N2378" si="181">(J2315*L2315)</f>
        <v>15920</v>
      </c>
      <c r="O2315" s="2">
        <v>77</v>
      </c>
      <c r="P2315" s="8">
        <f t="shared" ref="P2315:P2378" si="182">(N2315+O2315)</f>
        <v>15997</v>
      </c>
      <c r="Q2315" s="8">
        <f t="shared" ref="Q2315:Q2378" si="183">(N2315-M2315)</f>
        <v>1170</v>
      </c>
      <c r="R2315" s="2" t="s">
        <v>28</v>
      </c>
      <c r="S2315" s="9">
        <f t="shared" ref="S2315:S2378" si="184">_xlfn.IFS(P2315&gt;250000,0.15,P2315&gt;100000,0.12,P2315&gt;50000,0.09,P2315&gt;25000,0.07,P2315&gt;5000,0.05,
 TRUE,0.02)</f>
        <v>0.05</v>
      </c>
    </row>
    <row r="2316" spans="1:19" x14ac:dyDescent="0.3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e">
        <f>VLOOKUP('Customer Info'!B2308,'Customer Info'!B2308:B2807,1,0)</f>
        <v>#N/A</v>
      </c>
      <c r="H2316" s="6" t="e">
        <f>VLOOKUP('Customer Info'!C2308,'Customer Info'!C2308:C2807,1)</f>
        <v>#N/A</v>
      </c>
      <c r="I2316" s="6" t="e">
        <f>VLOOKUP('Customer Info'!E2308,'Customer Info'!E2308:E2807,1,0)</f>
        <v>#N/A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9364</v>
      </c>
      <c r="R2316" s="2" t="s">
        <v>28</v>
      </c>
      <c r="S2316" s="9">
        <f t="shared" si="184"/>
        <v>0.09</v>
      </c>
    </row>
    <row r="2317" spans="1:19" x14ac:dyDescent="0.3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e">
        <f>VLOOKUP('Customer Info'!B2309,'Customer Info'!B2309:B2808,1,0)</f>
        <v>#N/A</v>
      </c>
      <c r="H2317" s="6" t="e">
        <f>VLOOKUP('Customer Info'!C2309,'Customer Info'!C2309:C2808,1)</f>
        <v>#N/A</v>
      </c>
      <c r="I2317" s="6" t="e">
        <f>VLOOKUP('Customer Info'!E2309,'Customer Info'!E2309:E2808,1,0)</f>
        <v>#N/A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5</v>
      </c>
      <c r="R2317" s="2" t="s">
        <v>28</v>
      </c>
      <c r="S2317" s="9">
        <f t="shared" si="184"/>
        <v>0.02</v>
      </c>
    </row>
    <row r="2318" spans="1:19" x14ac:dyDescent="0.3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e">
        <f>VLOOKUP('Customer Info'!B2310,'Customer Info'!B2310:B2809,1,0)</f>
        <v>#N/A</v>
      </c>
      <c r="H2318" s="6" t="e">
        <f>VLOOKUP('Customer Info'!C2310,'Customer Info'!C2310:C2809,1)</f>
        <v>#N/A</v>
      </c>
      <c r="I2318" s="6" t="e">
        <f>VLOOKUP('Customer Info'!E2310,'Customer Info'!E2310:E2809,1,0)</f>
        <v>#N/A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60</v>
      </c>
      <c r="R2318" s="2" t="s">
        <v>50</v>
      </c>
      <c r="S2318" s="9">
        <f t="shared" si="184"/>
        <v>0.02</v>
      </c>
    </row>
    <row r="2319" spans="1:19" x14ac:dyDescent="0.3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e">
        <f>VLOOKUP('Customer Info'!B2311,'Customer Info'!B2311:B2810,1,0)</f>
        <v>#N/A</v>
      </c>
      <c r="H2319" s="6" t="e">
        <f>VLOOKUP('Customer Info'!C2311,'Customer Info'!C2311:C2810,1)</f>
        <v>#N/A</v>
      </c>
      <c r="I2319" s="6" t="e">
        <f>VLOOKUP('Customer Info'!E2311,'Customer Info'!E2311:E2810,1,0)</f>
        <v>#N/A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531</v>
      </c>
      <c r="R2319" s="2" t="s">
        <v>28</v>
      </c>
      <c r="S2319" s="9">
        <f t="shared" si="184"/>
        <v>0.02</v>
      </c>
    </row>
    <row r="2320" spans="1:19" x14ac:dyDescent="0.3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e">
        <f>VLOOKUP('Customer Info'!B2312,'Customer Info'!B2312:B2811,1,0)</f>
        <v>#N/A</v>
      </c>
      <c r="H2320" s="6" t="e">
        <f>VLOOKUP('Customer Info'!C2312,'Customer Info'!C2312:C2811,1)</f>
        <v>#N/A</v>
      </c>
      <c r="I2320" s="6" t="e">
        <f>VLOOKUP('Customer Info'!E2312,'Customer Info'!E2312:E2811,1,0)</f>
        <v>#N/A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856</v>
      </c>
      <c r="R2320" s="2" t="s">
        <v>28</v>
      </c>
      <c r="S2320" s="9">
        <f t="shared" si="184"/>
        <v>0.05</v>
      </c>
    </row>
    <row r="2321" spans="1:19" x14ac:dyDescent="0.3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e">
        <f>VLOOKUP('Customer Info'!B2313,'Customer Info'!B2313:B2812,1,0)</f>
        <v>#N/A</v>
      </c>
      <c r="H2321" s="6" t="e">
        <f>VLOOKUP('Customer Info'!C2313,'Customer Info'!C2313:C2812,1)</f>
        <v>#N/A</v>
      </c>
      <c r="I2321" s="6" t="e">
        <f>VLOOKUP('Customer Info'!E2313,'Customer Info'!E2313:E2812,1,0)</f>
        <v>#N/A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250</v>
      </c>
      <c r="R2321" s="2" t="s">
        <v>56</v>
      </c>
      <c r="S2321" s="9">
        <f t="shared" si="184"/>
        <v>0.02</v>
      </c>
    </row>
    <row r="2322" spans="1:19" x14ac:dyDescent="0.3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e">
        <f>VLOOKUP('Customer Info'!B2314,'Customer Info'!B2314:B2813,1,0)</f>
        <v>#N/A</v>
      </c>
      <c r="H2322" s="6" t="e">
        <f>VLOOKUP('Customer Info'!C2314,'Customer Info'!C2314:C2813,1)</f>
        <v>#N/A</v>
      </c>
      <c r="I2322" s="6" t="e">
        <f>VLOOKUP('Customer Info'!E2314,'Customer Info'!E2314:E2813,1,0)</f>
        <v>#N/A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340</v>
      </c>
      <c r="R2322" s="2" t="s">
        <v>26</v>
      </c>
      <c r="S2322" s="9">
        <f t="shared" si="184"/>
        <v>0.02</v>
      </c>
    </row>
    <row r="2323" spans="1:19" x14ac:dyDescent="0.3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e">
        <f>VLOOKUP('Customer Info'!B2315,'Customer Info'!B2315:B2814,1,0)</f>
        <v>#N/A</v>
      </c>
      <c r="H2323" s="6" t="e">
        <f>VLOOKUP('Customer Info'!C2315,'Customer Info'!C2315:C2814,1)</f>
        <v>#N/A</v>
      </c>
      <c r="I2323" s="6" t="e">
        <f>VLOOKUP('Customer Info'!E2315,'Customer Info'!E2315:E2814,1,0)</f>
        <v>#N/A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202</v>
      </c>
      <c r="R2323" s="2" t="s">
        <v>28</v>
      </c>
      <c r="S2323" s="9">
        <f t="shared" si="184"/>
        <v>0.02</v>
      </c>
    </row>
    <row r="2324" spans="1:19" x14ac:dyDescent="0.3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e">
        <f>VLOOKUP('Customer Info'!B2316,'Customer Info'!B2316:B2815,1,0)</f>
        <v>#N/A</v>
      </c>
      <c r="H2324" s="6" t="e">
        <f>VLOOKUP('Customer Info'!C2316,'Customer Info'!C2316:C2815,1)</f>
        <v>#N/A</v>
      </c>
      <c r="I2324" s="6" t="e">
        <f>VLOOKUP('Customer Info'!E2316,'Customer Info'!E2316:E2815,1,0)</f>
        <v>#N/A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21</v>
      </c>
      <c r="R2324" s="2" t="s">
        <v>28</v>
      </c>
      <c r="S2324" s="9">
        <f t="shared" si="184"/>
        <v>0.02</v>
      </c>
    </row>
    <row r="2325" spans="1:19" x14ac:dyDescent="0.3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e">
        <f>VLOOKUP('Customer Info'!B2317,'Customer Info'!B2317:B2816,1,0)</f>
        <v>#N/A</v>
      </c>
      <c r="H2325" s="6" t="e">
        <f>VLOOKUP('Customer Info'!C2317,'Customer Info'!C2317:C2816,1)</f>
        <v>#N/A</v>
      </c>
      <c r="I2325" s="6" t="e">
        <f>VLOOKUP('Customer Info'!E2317,'Customer Info'!E2317:E2816,1,0)</f>
        <v>#N/A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999</v>
      </c>
      <c r="R2325" s="2" t="s">
        <v>28</v>
      </c>
      <c r="S2325" s="9">
        <f t="shared" si="184"/>
        <v>0.05</v>
      </c>
    </row>
    <row r="2326" spans="1:19" x14ac:dyDescent="0.3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e">
        <f>VLOOKUP('Customer Info'!B2318,'Customer Info'!B2318:B2817,1,0)</f>
        <v>#N/A</v>
      </c>
      <c r="H2326" s="6" t="e">
        <f>VLOOKUP('Customer Info'!C2318,'Customer Info'!C2318:C2817,1)</f>
        <v>#N/A</v>
      </c>
      <c r="I2326" s="6" t="e">
        <f>VLOOKUP('Customer Info'!E2318,'Customer Info'!E2318:E2817,1,0)</f>
        <v>#N/A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3164</v>
      </c>
      <c r="R2326" s="2" t="s">
        <v>28</v>
      </c>
      <c r="S2326" s="9">
        <f t="shared" si="184"/>
        <v>7.0000000000000007E-2</v>
      </c>
    </row>
    <row r="2327" spans="1:19" x14ac:dyDescent="0.3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e">
        <f>VLOOKUP('Customer Info'!B2319,'Customer Info'!B2319:B2818,1,0)</f>
        <v>#N/A</v>
      </c>
      <c r="H2327" s="6" t="e">
        <f>VLOOKUP('Customer Info'!C2319,'Customer Info'!C2319:C2818,1)</f>
        <v>#N/A</v>
      </c>
      <c r="I2327" s="6" t="e">
        <f>VLOOKUP('Customer Info'!E2319,'Customer Info'!E2319:E2818,1,0)</f>
        <v>#N/A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163</v>
      </c>
      <c r="R2327" s="2" t="s">
        <v>28</v>
      </c>
      <c r="S2327" s="9">
        <f t="shared" si="184"/>
        <v>0.02</v>
      </c>
    </row>
    <row r="2328" spans="1:19" x14ac:dyDescent="0.3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e">
        <f>VLOOKUP('Customer Info'!B2320,'Customer Info'!B2320:B2819,1,0)</f>
        <v>#N/A</v>
      </c>
      <c r="H2328" s="6" t="e">
        <f>VLOOKUP('Customer Info'!C2320,'Customer Info'!C2320:C2819,1)</f>
        <v>#N/A</v>
      </c>
      <c r="I2328" s="6" t="e">
        <f>VLOOKUP('Customer Info'!E2320,'Customer Info'!E2320:E2819,1,0)</f>
        <v>#N/A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772</v>
      </c>
      <c r="R2328" s="2" t="s">
        <v>50</v>
      </c>
      <c r="S2328" s="9">
        <f t="shared" si="184"/>
        <v>0.05</v>
      </c>
    </row>
    <row r="2329" spans="1:19" x14ac:dyDescent="0.3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e">
        <f>VLOOKUP('Customer Info'!B2321,'Customer Info'!B2321:B2820,1,0)</f>
        <v>#N/A</v>
      </c>
      <c r="H2329" s="6" t="e">
        <f>VLOOKUP('Customer Info'!C2321,'Customer Info'!C2321:C2820,1)</f>
        <v>#N/A</v>
      </c>
      <c r="I2329" s="6" t="e">
        <f>VLOOKUP('Customer Info'!E2321,'Customer Info'!E2321:E2820,1,0)</f>
        <v>#N/A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45</v>
      </c>
      <c r="R2329" s="2" t="s">
        <v>28</v>
      </c>
      <c r="S2329" s="9">
        <f t="shared" si="184"/>
        <v>0.02</v>
      </c>
    </row>
    <row r="2330" spans="1:19" x14ac:dyDescent="0.3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e">
        <f>VLOOKUP('Customer Info'!B2322,'Customer Info'!B2322:B2821,1,0)</f>
        <v>#N/A</v>
      </c>
      <c r="H2330" s="6" t="e">
        <f>VLOOKUP('Customer Info'!C2322,'Customer Info'!C2322:C2821,1)</f>
        <v>#N/A</v>
      </c>
      <c r="I2330" s="6" t="e">
        <f>VLOOKUP('Customer Info'!E2322,'Customer Info'!E2322:E2821,1,0)</f>
        <v>#N/A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231</v>
      </c>
      <c r="R2330" s="2" t="s">
        <v>28</v>
      </c>
      <c r="S2330" s="9">
        <f t="shared" si="184"/>
        <v>0.02</v>
      </c>
    </row>
    <row r="2331" spans="1:19" x14ac:dyDescent="0.3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e">
        <f>VLOOKUP('Customer Info'!B2323,'Customer Info'!B2323:B2822,1,0)</f>
        <v>#N/A</v>
      </c>
      <c r="H2331" s="6" t="e">
        <f>VLOOKUP('Customer Info'!C2323,'Customer Info'!C2323:C2822,1)</f>
        <v>#N/A</v>
      </c>
      <c r="I2331" s="6" t="e">
        <f>VLOOKUP('Customer Info'!E2323,'Customer Info'!E2323:E2822,1,0)</f>
        <v>#N/A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636</v>
      </c>
      <c r="R2331" s="2" t="s">
        <v>50</v>
      </c>
      <c r="S2331" s="9">
        <f t="shared" si="184"/>
        <v>0.05</v>
      </c>
    </row>
    <row r="2332" spans="1:19" x14ac:dyDescent="0.3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e">
        <f>VLOOKUP('Customer Info'!B2324,'Customer Info'!B2324:B2823,1,0)</f>
        <v>#N/A</v>
      </c>
      <c r="H2332" s="6" t="e">
        <f>VLOOKUP('Customer Info'!C2324,'Customer Info'!C2324:C2823,1)</f>
        <v>#N/A</v>
      </c>
      <c r="I2332" s="6" t="e">
        <f>VLOOKUP('Customer Info'!E2324,'Customer Info'!E2324:E2823,1,0)</f>
        <v>#N/A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118</v>
      </c>
      <c r="R2332" s="2" t="s">
        <v>28</v>
      </c>
      <c r="S2332" s="9">
        <f t="shared" si="184"/>
        <v>0.02</v>
      </c>
    </row>
    <row r="2333" spans="1:19" x14ac:dyDescent="0.3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e">
        <f>VLOOKUP('Customer Info'!B2325,'Customer Info'!B2325:B2824,1,0)</f>
        <v>#N/A</v>
      </c>
      <c r="H2333" s="6" t="e">
        <f>VLOOKUP('Customer Info'!C2325,'Customer Info'!C2325:C2824,1)</f>
        <v>#N/A</v>
      </c>
      <c r="I2333" s="6" t="e">
        <f>VLOOKUP('Customer Info'!E2325,'Customer Info'!E2325:E2824,1,0)</f>
        <v>#N/A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129</v>
      </c>
      <c r="R2333" s="2" t="s">
        <v>50</v>
      </c>
      <c r="S2333" s="9">
        <f t="shared" si="184"/>
        <v>0.02</v>
      </c>
    </row>
    <row r="2334" spans="1:19" x14ac:dyDescent="0.3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e">
        <f>VLOOKUP('Customer Info'!B2326,'Customer Info'!B2326:B2825,1,0)</f>
        <v>#N/A</v>
      </c>
      <c r="H2334" s="6" t="e">
        <f>VLOOKUP('Customer Info'!C2326,'Customer Info'!C2326:C2825,1)</f>
        <v>#N/A</v>
      </c>
      <c r="I2334" s="6" t="e">
        <f>VLOOKUP('Customer Info'!E2326,'Customer Info'!E2326:E2825,1,0)</f>
        <v>#N/A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4300</v>
      </c>
      <c r="R2334" s="2" t="s">
        <v>50</v>
      </c>
      <c r="S2334" s="9">
        <f t="shared" si="184"/>
        <v>7.0000000000000007E-2</v>
      </c>
    </row>
    <row r="2335" spans="1:19" x14ac:dyDescent="0.3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e">
        <f>VLOOKUP('Customer Info'!B2327,'Customer Info'!B2327:B2826,1,0)</f>
        <v>#N/A</v>
      </c>
      <c r="H2335" s="6" t="e">
        <f>VLOOKUP('Customer Info'!C2327,'Customer Info'!C2327:C2826,1)</f>
        <v>#N/A</v>
      </c>
      <c r="I2335" s="6" t="e">
        <f>VLOOKUP('Customer Info'!E2327,'Customer Info'!E2327:E2826,1,0)</f>
        <v>#N/A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2274</v>
      </c>
      <c r="R2335" s="2" t="s">
        <v>28</v>
      </c>
      <c r="S2335" s="9">
        <f t="shared" si="184"/>
        <v>7.0000000000000007E-2</v>
      </c>
    </row>
    <row r="2336" spans="1:19" x14ac:dyDescent="0.3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e">
        <f>VLOOKUP('Customer Info'!B2328,'Customer Info'!B2328:B2827,1,0)</f>
        <v>#N/A</v>
      </c>
      <c r="H2336" s="6" t="e">
        <f>VLOOKUP('Customer Info'!C2328,'Customer Info'!C2328:C2827,1)</f>
        <v>#N/A</v>
      </c>
      <c r="I2336" s="6" t="e">
        <f>VLOOKUP('Customer Info'!E2328,'Customer Info'!E2328:E2827,1,0)</f>
        <v>#N/A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153</v>
      </c>
      <c r="R2336" s="2" t="s">
        <v>50</v>
      </c>
      <c r="S2336" s="9">
        <f t="shared" si="184"/>
        <v>0.02</v>
      </c>
    </row>
    <row r="2337" spans="1:19" x14ac:dyDescent="0.3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e">
        <f>VLOOKUP('Customer Info'!B2329,'Customer Info'!B2329:B2828,1,0)</f>
        <v>#N/A</v>
      </c>
      <c r="H2337" s="6" t="e">
        <f>VLOOKUP('Customer Info'!C2329,'Customer Info'!C2329:C2828,1)</f>
        <v>#N/A</v>
      </c>
      <c r="I2337" s="6" t="e">
        <f>VLOOKUP('Customer Info'!E2329,'Customer Info'!E2329:E2828,1,0)</f>
        <v>#N/A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273</v>
      </c>
      <c r="R2337" s="2" t="s">
        <v>28</v>
      </c>
      <c r="S2337" s="9">
        <f t="shared" si="184"/>
        <v>0.02</v>
      </c>
    </row>
    <row r="2338" spans="1:19" x14ac:dyDescent="0.3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e">
        <f>VLOOKUP('Customer Info'!B2330,'Customer Info'!B2330:B2829,1,0)</f>
        <v>#N/A</v>
      </c>
      <c r="H2338" s="6" t="e">
        <f>VLOOKUP('Customer Info'!C2330,'Customer Info'!C2330:C2829,1)</f>
        <v>#N/A</v>
      </c>
      <c r="I2338" s="6" t="e">
        <f>VLOOKUP('Customer Info'!E2330,'Customer Info'!E2330:E2829,1,0)</f>
        <v>#N/A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2580</v>
      </c>
      <c r="R2338" s="2" t="s">
        <v>28</v>
      </c>
      <c r="S2338" s="9">
        <f t="shared" si="184"/>
        <v>7.0000000000000007E-2</v>
      </c>
    </row>
    <row r="2339" spans="1:19" x14ac:dyDescent="0.3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e">
        <f>VLOOKUP('Customer Info'!B2331,'Customer Info'!B2331:B2830,1,0)</f>
        <v>#N/A</v>
      </c>
      <c r="H2339" s="6" t="e">
        <f>VLOOKUP('Customer Info'!C2331,'Customer Info'!C2331:C2830,1)</f>
        <v>#N/A</v>
      </c>
      <c r="I2339" s="6" t="e">
        <f>VLOOKUP('Customer Info'!E2331,'Customer Info'!E2331:E2830,1,0)</f>
        <v>#N/A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42</v>
      </c>
      <c r="R2339" s="2" t="s">
        <v>28</v>
      </c>
      <c r="S2339" s="9">
        <f t="shared" si="184"/>
        <v>0.02</v>
      </c>
    </row>
    <row r="2340" spans="1:19" x14ac:dyDescent="0.3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e">
        <f>VLOOKUP('Customer Info'!B2332,'Customer Info'!B2332:B2831,1,0)</f>
        <v>#N/A</v>
      </c>
      <c r="H2340" s="6" t="e">
        <f>VLOOKUP('Customer Info'!C2332,'Customer Info'!C2332:C2831,1)</f>
        <v>#N/A</v>
      </c>
      <c r="I2340" s="6" t="e">
        <f>VLOOKUP('Customer Info'!E2332,'Customer Info'!E2332:E2831,1,0)</f>
        <v>#N/A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634</v>
      </c>
      <c r="R2340" s="2" t="s">
        <v>28</v>
      </c>
      <c r="S2340" s="9">
        <f t="shared" si="184"/>
        <v>0.05</v>
      </c>
    </row>
    <row r="2341" spans="1:19" x14ac:dyDescent="0.3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e">
        <f>VLOOKUP('Customer Info'!B2333,'Customer Info'!B2333:B2832,1,0)</f>
        <v>#N/A</v>
      </c>
      <c r="H2341" s="6" t="e">
        <f>VLOOKUP('Customer Info'!C2333,'Customer Info'!C2333:C2832,1)</f>
        <v>#N/A</v>
      </c>
      <c r="I2341" s="6" t="e">
        <f>VLOOKUP('Customer Info'!E2333,'Customer Info'!E2333:E2832,1,0)</f>
        <v>#N/A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740</v>
      </c>
      <c r="R2341" s="2" t="s">
        <v>26</v>
      </c>
      <c r="S2341" s="9">
        <f t="shared" si="184"/>
        <v>0.05</v>
      </c>
    </row>
    <row r="2342" spans="1:19" x14ac:dyDescent="0.3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e">
        <f>VLOOKUP('Customer Info'!B2334,'Customer Info'!B2334:B2833,1,0)</f>
        <v>#N/A</v>
      </c>
      <c r="H2342" s="6" t="e">
        <f>VLOOKUP('Customer Info'!C2334,'Customer Info'!C2334:C2833,1)</f>
        <v>#N/A</v>
      </c>
      <c r="I2342" s="6" t="e">
        <f>VLOOKUP('Customer Info'!E2334,'Customer Info'!E2334:E2833,1,0)</f>
        <v>#N/A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36</v>
      </c>
      <c r="R2342" s="2" t="s">
        <v>50</v>
      </c>
      <c r="S2342" s="9">
        <f t="shared" si="184"/>
        <v>0.02</v>
      </c>
    </row>
    <row r="2343" spans="1:19" x14ac:dyDescent="0.3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e">
        <f>VLOOKUP('Customer Info'!B2335,'Customer Info'!B2335:B2834,1,0)</f>
        <v>#N/A</v>
      </c>
      <c r="H2343" s="6" t="e">
        <f>VLOOKUP('Customer Info'!C2335,'Customer Info'!C2335:C2834,1)</f>
        <v>#N/A</v>
      </c>
      <c r="I2343" s="6" t="e">
        <f>VLOOKUP('Customer Info'!E2335,'Customer Info'!E2335:E2834,1,0)</f>
        <v>#N/A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16</v>
      </c>
      <c r="R2343" s="2" t="s">
        <v>28</v>
      </c>
      <c r="S2343" s="9">
        <f t="shared" si="184"/>
        <v>0.02</v>
      </c>
    </row>
    <row r="2344" spans="1:19" x14ac:dyDescent="0.3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e">
        <f>VLOOKUP('Customer Info'!B2336,'Customer Info'!B2336:B2835,1,0)</f>
        <v>#N/A</v>
      </c>
      <c r="H2344" s="6" t="e">
        <f>VLOOKUP('Customer Info'!C2336,'Customer Info'!C2336:C2835,1)</f>
        <v>#N/A</v>
      </c>
      <c r="I2344" s="6" t="e">
        <f>VLOOKUP('Customer Info'!E2336,'Customer Info'!E2336:E2835,1,0)</f>
        <v>#N/A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560</v>
      </c>
      <c r="R2344" s="2" t="s">
        <v>28</v>
      </c>
      <c r="S2344" s="9">
        <f t="shared" si="184"/>
        <v>0.05</v>
      </c>
    </row>
    <row r="2345" spans="1:19" x14ac:dyDescent="0.3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e">
        <f>VLOOKUP('Customer Info'!B2337,'Customer Info'!B2337:B2836,1,0)</f>
        <v>#N/A</v>
      </c>
      <c r="H2345" s="6" t="e">
        <f>VLOOKUP('Customer Info'!C2337,'Customer Info'!C2337:C2836,1)</f>
        <v>#N/A</v>
      </c>
      <c r="I2345" s="6" t="e">
        <f>VLOOKUP('Customer Info'!E2337,'Customer Info'!E2337:E2836,1,0)</f>
        <v>#N/A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4134</v>
      </c>
      <c r="R2345" s="2" t="s">
        <v>50</v>
      </c>
      <c r="S2345" s="9">
        <f t="shared" si="184"/>
        <v>0.12</v>
      </c>
    </row>
    <row r="2346" spans="1:19" x14ac:dyDescent="0.3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e">
        <f>VLOOKUP('Customer Info'!B2338,'Customer Info'!B2338:B2837,1,0)</f>
        <v>#N/A</v>
      </c>
      <c r="H2346" s="6" t="e">
        <f>VLOOKUP('Customer Info'!C2338,'Customer Info'!C2338:C2837,1)</f>
        <v>#N/A</v>
      </c>
      <c r="I2346" s="6" t="e">
        <f>VLOOKUP('Customer Info'!E2338,'Customer Info'!E2338:E2837,1,0)</f>
        <v>#N/A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1441</v>
      </c>
      <c r="R2346" s="2" t="s">
        <v>28</v>
      </c>
      <c r="S2346" s="9">
        <f t="shared" si="184"/>
        <v>7.0000000000000007E-2</v>
      </c>
    </row>
    <row r="2347" spans="1:19" x14ac:dyDescent="0.3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e">
        <f>VLOOKUP('Customer Info'!B2339,'Customer Info'!B2339:B2838,1,0)</f>
        <v>#N/A</v>
      </c>
      <c r="H2347" s="6" t="e">
        <f>VLOOKUP('Customer Info'!C2339,'Customer Info'!C2339:C2838,1)</f>
        <v>#N/A</v>
      </c>
      <c r="I2347" s="6" t="e">
        <f>VLOOKUP('Customer Info'!E2339,'Customer Info'!E2339:E2838,1,0)</f>
        <v>#N/A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266</v>
      </c>
      <c r="R2347" s="2" t="s">
        <v>26</v>
      </c>
      <c r="S2347" s="9">
        <f t="shared" si="184"/>
        <v>0.02</v>
      </c>
    </row>
    <row r="2348" spans="1:19" x14ac:dyDescent="0.3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e">
        <f>VLOOKUP('Customer Info'!B2340,'Customer Info'!B2340:B2839,1,0)</f>
        <v>#N/A</v>
      </c>
      <c r="H2348" s="6" t="e">
        <f>VLOOKUP('Customer Info'!C2340,'Customer Info'!C2340:C2839,1)</f>
        <v>#N/A</v>
      </c>
      <c r="I2348" s="6" t="e">
        <f>VLOOKUP('Customer Info'!E2340,'Customer Info'!E2340:E2839,1,0)</f>
        <v>#N/A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45</v>
      </c>
      <c r="R2348" s="2" t="s">
        <v>28</v>
      </c>
      <c r="S2348" s="9">
        <f t="shared" si="184"/>
        <v>0.02</v>
      </c>
    </row>
    <row r="2349" spans="1:19" x14ac:dyDescent="0.3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e">
        <f>VLOOKUP('Customer Info'!B2341,'Customer Info'!B2341:B2840,1,0)</f>
        <v>#N/A</v>
      </c>
      <c r="H2349" s="6" t="e">
        <f>VLOOKUP('Customer Info'!C2341,'Customer Info'!C2341:C2840,1)</f>
        <v>#N/A</v>
      </c>
      <c r="I2349" s="6" t="e">
        <f>VLOOKUP('Customer Info'!E2341,'Customer Info'!E2341:E2840,1,0)</f>
        <v>#N/A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80</v>
      </c>
      <c r="R2349" s="2" t="s">
        <v>26</v>
      </c>
      <c r="S2349" s="9">
        <f t="shared" si="184"/>
        <v>0.02</v>
      </c>
    </row>
    <row r="2350" spans="1:19" x14ac:dyDescent="0.3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e">
        <f>VLOOKUP('Customer Info'!B2342,'Customer Info'!B2342:B2841,1,0)</f>
        <v>#N/A</v>
      </c>
      <c r="H2350" s="6" t="e">
        <f>VLOOKUP('Customer Info'!C2342,'Customer Info'!C2342:C2841,1)</f>
        <v>#N/A</v>
      </c>
      <c r="I2350" s="6" t="e">
        <f>VLOOKUP('Customer Info'!E2342,'Customer Info'!E2342:E2841,1,0)</f>
        <v>#N/A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40</v>
      </c>
      <c r="R2350" s="2" t="s">
        <v>50</v>
      </c>
      <c r="S2350" s="9">
        <f t="shared" si="184"/>
        <v>0.02</v>
      </c>
    </row>
    <row r="2351" spans="1:19" x14ac:dyDescent="0.3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e">
        <f>VLOOKUP('Customer Info'!B2343,'Customer Info'!B2343:B2842,1,0)</f>
        <v>#N/A</v>
      </c>
      <c r="H2351" s="6" t="e">
        <f>VLOOKUP('Customer Info'!C2343,'Customer Info'!C2343:C2842,1)</f>
        <v>#N/A</v>
      </c>
      <c r="I2351" s="6" t="e">
        <f>VLOOKUP('Customer Info'!E2343,'Customer Info'!E2343:E2842,1,0)</f>
        <v>#N/A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240</v>
      </c>
      <c r="R2351" s="2" t="s">
        <v>26</v>
      </c>
      <c r="S2351" s="9">
        <f t="shared" si="184"/>
        <v>0.02</v>
      </c>
    </row>
    <row r="2352" spans="1:19" x14ac:dyDescent="0.3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e">
        <f>VLOOKUP('Customer Info'!B2344,'Customer Info'!B2344:B2843,1,0)</f>
        <v>#N/A</v>
      </c>
      <c r="H2352" s="6" t="e">
        <f>VLOOKUP('Customer Info'!C2344,'Customer Info'!C2344:C2843,1)</f>
        <v>#N/A</v>
      </c>
      <c r="I2352" s="6" t="e">
        <f>VLOOKUP('Customer Info'!E2344,'Customer Info'!E2344:E2843,1,0)</f>
        <v>#N/A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56</v>
      </c>
      <c r="R2352" s="2" t="s">
        <v>28</v>
      </c>
      <c r="S2352" s="9">
        <f t="shared" si="184"/>
        <v>0.02</v>
      </c>
    </row>
    <row r="2353" spans="1:19" x14ac:dyDescent="0.3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e">
        <f>VLOOKUP('Customer Info'!B2345,'Customer Info'!B2345:B2844,1,0)</f>
        <v>#N/A</v>
      </c>
      <c r="H2353" s="6" t="e">
        <f>VLOOKUP('Customer Info'!C2345,'Customer Info'!C2345:C2844,1)</f>
        <v>#N/A</v>
      </c>
      <c r="I2353" s="6" t="e">
        <f>VLOOKUP('Customer Info'!E2345,'Customer Info'!E2345:E2844,1,0)</f>
        <v>#N/A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368</v>
      </c>
      <c r="R2353" s="2" t="s">
        <v>28</v>
      </c>
      <c r="S2353" s="9">
        <f t="shared" si="184"/>
        <v>0.05</v>
      </c>
    </row>
    <row r="2354" spans="1:19" x14ac:dyDescent="0.3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e">
        <f>VLOOKUP('Customer Info'!B2346,'Customer Info'!B2346:B2845,1,0)</f>
        <v>#N/A</v>
      </c>
      <c r="H2354" s="6" t="e">
        <f>VLOOKUP('Customer Info'!C2346,'Customer Info'!C2346:C2845,1)</f>
        <v>#N/A</v>
      </c>
      <c r="I2354" s="6" t="e">
        <f>VLOOKUP('Customer Info'!E2346,'Customer Info'!E2346:E2845,1,0)</f>
        <v>#N/A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634</v>
      </c>
      <c r="R2354" s="2" t="s">
        <v>28</v>
      </c>
      <c r="S2354" s="9">
        <f t="shared" si="184"/>
        <v>0.05</v>
      </c>
    </row>
    <row r="2355" spans="1:19" x14ac:dyDescent="0.3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e">
        <f>VLOOKUP('Customer Info'!B2347,'Customer Info'!B2347:B2846,1,0)</f>
        <v>#N/A</v>
      </c>
      <c r="H2355" s="6" t="e">
        <f>VLOOKUP('Customer Info'!C2347,'Customer Info'!C2347:C2846,1)</f>
        <v>#N/A</v>
      </c>
      <c r="I2355" s="6" t="e">
        <f>VLOOKUP('Customer Info'!E2347,'Customer Info'!E2347:E2846,1,0)</f>
        <v>#N/A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810</v>
      </c>
      <c r="R2355" s="2" t="s">
        <v>28</v>
      </c>
      <c r="S2355" s="9">
        <f t="shared" si="184"/>
        <v>0.05</v>
      </c>
    </row>
    <row r="2356" spans="1:19" x14ac:dyDescent="0.3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e">
        <f>VLOOKUP('Customer Info'!B2348,'Customer Info'!B2348:B2847,1,0)</f>
        <v>#N/A</v>
      </c>
      <c r="H2356" s="6" t="e">
        <f>VLOOKUP('Customer Info'!C2348,'Customer Info'!C2348:C2847,1)</f>
        <v>#N/A</v>
      </c>
      <c r="I2356" s="6" t="e">
        <f>VLOOKUP('Customer Info'!E2348,'Customer Info'!E2348:E2847,1,0)</f>
        <v>#N/A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60</v>
      </c>
      <c r="R2356" s="2" t="s">
        <v>28</v>
      </c>
      <c r="S2356" s="9">
        <f t="shared" si="184"/>
        <v>0.02</v>
      </c>
    </row>
    <row r="2357" spans="1:19" x14ac:dyDescent="0.3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e">
        <f>VLOOKUP('Customer Info'!B2349,'Customer Info'!B2349:B2848,1,0)</f>
        <v>#N/A</v>
      </c>
      <c r="H2357" s="6" t="e">
        <f>VLOOKUP('Customer Info'!C2349,'Customer Info'!C2349:C2848,1)</f>
        <v>#N/A</v>
      </c>
      <c r="I2357" s="6" t="e">
        <f>VLOOKUP('Customer Info'!E2349,'Customer Info'!E2349:E2848,1,0)</f>
        <v>#N/A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590</v>
      </c>
      <c r="R2357" s="2" t="s">
        <v>28</v>
      </c>
      <c r="S2357" s="9">
        <f t="shared" si="184"/>
        <v>0.05</v>
      </c>
    </row>
    <row r="2358" spans="1:19" x14ac:dyDescent="0.3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e">
        <f>VLOOKUP('Customer Info'!B2350,'Customer Info'!B2350:B2849,1,0)</f>
        <v>#N/A</v>
      </c>
      <c r="H2358" s="6" t="e">
        <f>VLOOKUP('Customer Info'!C2350,'Customer Info'!C2350:C2849,1)</f>
        <v>#N/A</v>
      </c>
      <c r="I2358" s="6" t="e">
        <f>VLOOKUP('Customer Info'!E2350,'Customer Info'!E2350:E2849,1,0)</f>
        <v>#N/A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348</v>
      </c>
      <c r="R2358" s="2" t="s">
        <v>28</v>
      </c>
      <c r="S2358" s="9">
        <f t="shared" si="184"/>
        <v>0.02</v>
      </c>
    </row>
    <row r="2359" spans="1:19" x14ac:dyDescent="0.3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e">
        <f>VLOOKUP('Customer Info'!B2351,'Customer Info'!B2351:B2850,1,0)</f>
        <v>#N/A</v>
      </c>
      <c r="H2359" s="6" t="e">
        <f>VLOOKUP('Customer Info'!C2351,'Customer Info'!C2351:C2850,1)</f>
        <v>#N/A</v>
      </c>
      <c r="I2359" s="6" t="e">
        <f>VLOOKUP('Customer Info'!E2351,'Customer Info'!E2351:E2850,1,0)</f>
        <v>#N/A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15</v>
      </c>
      <c r="R2359" s="2" t="s">
        <v>28</v>
      </c>
      <c r="S2359" s="9">
        <f t="shared" si="184"/>
        <v>0.02</v>
      </c>
    </row>
    <row r="2360" spans="1:19" x14ac:dyDescent="0.3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e">
        <f>VLOOKUP('Customer Info'!B2352,'Customer Info'!B2352:B2851,1,0)</f>
        <v>#N/A</v>
      </c>
      <c r="H2360" s="6" t="e">
        <f>VLOOKUP('Customer Info'!C2352,'Customer Info'!C2352:C2851,1)</f>
        <v>#N/A</v>
      </c>
      <c r="I2360" s="6" t="e">
        <f>VLOOKUP('Customer Info'!E2352,'Customer Info'!E2352:E2851,1,0)</f>
        <v>#N/A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129</v>
      </c>
      <c r="R2360" s="2" t="s">
        <v>28</v>
      </c>
      <c r="S2360" s="9">
        <f t="shared" si="184"/>
        <v>0.02</v>
      </c>
    </row>
    <row r="2361" spans="1:19" x14ac:dyDescent="0.3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e">
        <f>VLOOKUP('Customer Info'!B2353,'Customer Info'!B2353:B2852,1,0)</f>
        <v>#N/A</v>
      </c>
      <c r="H2361" s="6" t="e">
        <f>VLOOKUP('Customer Info'!C2353,'Customer Info'!C2353:C2852,1)</f>
        <v>#N/A</v>
      </c>
      <c r="I2361" s="6" t="e">
        <f>VLOOKUP('Customer Info'!E2353,'Customer Info'!E2353:E2852,1,0)</f>
        <v>#N/A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398</v>
      </c>
      <c r="R2361" s="2" t="s">
        <v>50</v>
      </c>
      <c r="S2361" s="9">
        <f t="shared" si="184"/>
        <v>0.05</v>
      </c>
    </row>
    <row r="2362" spans="1:19" x14ac:dyDescent="0.3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e">
        <f>VLOOKUP('Customer Info'!B2354,'Customer Info'!B2354:B2853,1,0)</f>
        <v>#N/A</v>
      </c>
      <c r="H2362" s="6" t="e">
        <f>VLOOKUP('Customer Info'!C2354,'Customer Info'!C2354:C2853,1)</f>
        <v>#N/A</v>
      </c>
      <c r="I2362" s="6" t="e">
        <f>VLOOKUP('Customer Info'!E2354,'Customer Info'!E2354:E2853,1,0)</f>
        <v>#N/A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1062</v>
      </c>
      <c r="R2362" s="2" t="s">
        <v>50</v>
      </c>
      <c r="S2362" s="9">
        <f t="shared" si="184"/>
        <v>0.05</v>
      </c>
    </row>
    <row r="2363" spans="1:19" x14ac:dyDescent="0.3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e">
        <f>VLOOKUP('Customer Info'!B2355,'Customer Info'!B2355:B2854,1,0)</f>
        <v>#N/A</v>
      </c>
      <c r="H2363" s="6" t="e">
        <f>VLOOKUP('Customer Info'!C2355,'Customer Info'!C2355:C2854,1)</f>
        <v>#N/A</v>
      </c>
      <c r="I2363" s="6" t="e">
        <f>VLOOKUP('Customer Info'!E2355,'Customer Info'!E2355:E2854,1,0)</f>
        <v>#N/A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129</v>
      </c>
      <c r="R2363" s="2" t="s">
        <v>50</v>
      </c>
      <c r="S2363" s="9">
        <f t="shared" si="184"/>
        <v>0.02</v>
      </c>
    </row>
    <row r="2364" spans="1:19" x14ac:dyDescent="0.3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e">
        <f>VLOOKUP('Customer Info'!B2356,'Customer Info'!B2356:B2855,1,0)</f>
        <v>#N/A</v>
      </c>
      <c r="H2364" s="6" t="e">
        <f>VLOOKUP('Customer Info'!C2356,'Customer Info'!C2356:C2855,1)</f>
        <v>#N/A</v>
      </c>
      <c r="I2364" s="6" t="e">
        <f>VLOOKUP('Customer Info'!E2356,'Customer Info'!E2356:E2855,1,0)</f>
        <v>#N/A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306</v>
      </c>
      <c r="R2364" s="2" t="s">
        <v>50</v>
      </c>
      <c r="S2364" s="9">
        <f t="shared" si="184"/>
        <v>0.02</v>
      </c>
    </row>
    <row r="2365" spans="1:19" x14ac:dyDescent="0.3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e">
        <f>VLOOKUP('Customer Info'!B2357,'Customer Info'!B2357:B2856,1,0)</f>
        <v>#N/A</v>
      </c>
      <c r="H2365" s="6" t="e">
        <f>VLOOKUP('Customer Info'!C2357,'Customer Info'!C2357:C2856,1)</f>
        <v>#N/A</v>
      </c>
      <c r="I2365" s="6" t="e">
        <f>VLOOKUP('Customer Info'!E2357,'Customer Info'!E2357:E2856,1,0)</f>
        <v>#N/A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53</v>
      </c>
      <c r="R2365" s="2" t="s">
        <v>28</v>
      </c>
      <c r="S2365" s="9">
        <f t="shared" si="184"/>
        <v>0.02</v>
      </c>
    </row>
    <row r="2366" spans="1:19" x14ac:dyDescent="0.3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e">
        <f>VLOOKUP('Customer Info'!B2358,'Customer Info'!B2358:B2857,1,0)</f>
        <v>#N/A</v>
      </c>
      <c r="H2366" s="6" t="e">
        <f>VLOOKUP('Customer Info'!C2358,'Customer Info'!C2358:C2857,1)</f>
        <v>#N/A</v>
      </c>
      <c r="I2366" s="6" t="e">
        <f>VLOOKUP('Customer Info'!E2358,'Customer Info'!E2358:E2857,1,0)</f>
        <v>#N/A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21</v>
      </c>
      <c r="R2366" s="2" t="s">
        <v>28</v>
      </c>
      <c r="S2366" s="9">
        <f t="shared" si="184"/>
        <v>0.02</v>
      </c>
    </row>
    <row r="2367" spans="1:19" x14ac:dyDescent="0.3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e">
        <f>VLOOKUP('Customer Info'!B2359,'Customer Info'!B2359:B2858,1,0)</f>
        <v>#N/A</v>
      </c>
      <c r="H2367" s="6" t="e">
        <f>VLOOKUP('Customer Info'!C2359,'Customer Info'!C2359:C2858,1)</f>
        <v>#N/A</v>
      </c>
      <c r="I2367" s="6" t="e">
        <f>VLOOKUP('Customer Info'!E2359,'Customer Info'!E2359:E2858,1,0)</f>
        <v>#N/A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90</v>
      </c>
      <c r="R2367" s="2" t="s">
        <v>50</v>
      </c>
      <c r="S2367" s="9">
        <f t="shared" si="184"/>
        <v>0.02</v>
      </c>
    </row>
    <row r="2368" spans="1:19" x14ac:dyDescent="0.3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e">
        <f>VLOOKUP('Customer Info'!B2360,'Customer Info'!B2360:B2859,1,0)</f>
        <v>#N/A</v>
      </c>
      <c r="H2368" s="6" t="e">
        <f>VLOOKUP('Customer Info'!C2360,'Customer Info'!C2360:C2859,1)</f>
        <v>#N/A</v>
      </c>
      <c r="I2368" s="6" t="e">
        <f>VLOOKUP('Customer Info'!E2360,'Customer Info'!E2360:E2859,1,0)</f>
        <v>#N/A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205</v>
      </c>
      <c r="R2368" s="2" t="s">
        <v>28</v>
      </c>
      <c r="S2368" s="9">
        <f t="shared" si="184"/>
        <v>0.02</v>
      </c>
    </row>
    <row r="2369" spans="1:19" x14ac:dyDescent="0.3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e">
        <f>VLOOKUP('Customer Info'!B2361,'Customer Info'!B2361:B2860,1,0)</f>
        <v>#N/A</v>
      </c>
      <c r="H2369" s="6" t="e">
        <f>VLOOKUP('Customer Info'!C2361,'Customer Info'!C2361:C2860,1)</f>
        <v>#N/A</v>
      </c>
      <c r="I2369" s="6" t="e">
        <f>VLOOKUP('Customer Info'!E2361,'Customer Info'!E2361:E2860,1,0)</f>
        <v>#N/A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132</v>
      </c>
      <c r="R2369" s="2" t="s">
        <v>28</v>
      </c>
      <c r="S2369" s="9">
        <f t="shared" si="184"/>
        <v>0.02</v>
      </c>
    </row>
    <row r="2370" spans="1:19" x14ac:dyDescent="0.3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e">
        <f>VLOOKUP('Customer Info'!B2362,'Customer Info'!B2362:B2861,1,0)</f>
        <v>#N/A</v>
      </c>
      <c r="H2370" s="6" t="e">
        <f>VLOOKUP('Customer Info'!C2362,'Customer Info'!C2362:C2861,1)</f>
        <v>#N/A</v>
      </c>
      <c r="I2370" s="6" t="e">
        <f>VLOOKUP('Customer Info'!E2362,'Customer Info'!E2362:E2861,1,0)</f>
        <v>#N/A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234</v>
      </c>
      <c r="R2370" s="2" t="s">
        <v>28</v>
      </c>
      <c r="S2370" s="9">
        <f t="shared" si="184"/>
        <v>0.02</v>
      </c>
    </row>
    <row r="2371" spans="1:19" x14ac:dyDescent="0.3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e">
        <f>VLOOKUP('Customer Info'!B2363,'Customer Info'!B2363:B2862,1,0)</f>
        <v>#N/A</v>
      </c>
      <c r="H2371" s="6" t="e">
        <f>VLOOKUP('Customer Info'!C2363,'Customer Info'!C2363:C2862,1)</f>
        <v>#N/A</v>
      </c>
      <c r="I2371" s="6" t="e">
        <f>VLOOKUP('Customer Info'!E2363,'Customer Info'!E2363:E2862,1,0)</f>
        <v>#N/A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246</v>
      </c>
      <c r="R2371" s="2" t="s">
        <v>28</v>
      </c>
      <c r="S2371" s="9">
        <f t="shared" si="184"/>
        <v>0.02</v>
      </c>
    </row>
    <row r="2372" spans="1:19" x14ac:dyDescent="0.3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e">
        <f>VLOOKUP('Customer Info'!B2364,'Customer Info'!B2364:B2863,1,0)</f>
        <v>#N/A</v>
      </c>
      <c r="H2372" s="6" t="e">
        <f>VLOOKUP('Customer Info'!C2364,'Customer Info'!C2364:C2863,1)</f>
        <v>#N/A</v>
      </c>
      <c r="I2372" s="6" t="e">
        <f>VLOOKUP('Customer Info'!E2364,'Customer Info'!E2364:E2863,1,0)</f>
        <v>#N/A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55</v>
      </c>
      <c r="R2372" s="2" t="s">
        <v>50</v>
      </c>
      <c r="S2372" s="9">
        <f t="shared" si="184"/>
        <v>0.02</v>
      </c>
    </row>
    <row r="2373" spans="1:19" x14ac:dyDescent="0.3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e">
        <f>VLOOKUP('Customer Info'!B2365,'Customer Info'!B2365:B2864,1,0)</f>
        <v>#N/A</v>
      </c>
      <c r="H2373" s="6" t="e">
        <f>VLOOKUP('Customer Info'!C2365,'Customer Info'!C2365:C2864,1)</f>
        <v>#N/A</v>
      </c>
      <c r="I2373" s="6" t="e">
        <f>VLOOKUP('Customer Info'!E2365,'Customer Info'!E2365:E2864,1,0)</f>
        <v>#N/A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144</v>
      </c>
      <c r="R2373" s="2" t="s">
        <v>50</v>
      </c>
      <c r="S2373" s="9">
        <f t="shared" si="184"/>
        <v>0.05</v>
      </c>
    </row>
    <row r="2374" spans="1:19" x14ac:dyDescent="0.3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e">
        <f>VLOOKUP('Customer Info'!B2366,'Customer Info'!B2366:B2865,1,0)</f>
        <v>#N/A</v>
      </c>
      <c r="H2374" s="6" t="e">
        <f>VLOOKUP('Customer Info'!C2366,'Customer Info'!C2366:C2865,1)</f>
        <v>#N/A</v>
      </c>
      <c r="I2374" s="6" t="e">
        <f>VLOOKUP('Customer Info'!E2366,'Customer Info'!E2366:E2865,1,0)</f>
        <v>#N/A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39</v>
      </c>
      <c r="R2374" s="2" t="s">
        <v>28</v>
      </c>
      <c r="S2374" s="9">
        <f t="shared" si="184"/>
        <v>0.02</v>
      </c>
    </row>
    <row r="2375" spans="1:19" x14ac:dyDescent="0.3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e">
        <f>VLOOKUP('Customer Info'!B2367,'Customer Info'!B2367:B2866,1,0)</f>
        <v>#N/A</v>
      </c>
      <c r="H2375" s="6" t="e">
        <f>VLOOKUP('Customer Info'!C2367,'Customer Info'!C2367:C2866,1)</f>
        <v>#N/A</v>
      </c>
      <c r="I2375" s="6" t="e">
        <f>VLOOKUP('Customer Info'!E2367,'Customer Info'!E2367:E2866,1,0)</f>
        <v>#N/A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600</v>
      </c>
      <c r="R2375" s="2" t="s">
        <v>28</v>
      </c>
      <c r="S2375" s="9">
        <f t="shared" si="184"/>
        <v>0.05</v>
      </c>
    </row>
    <row r="2376" spans="1:19" x14ac:dyDescent="0.3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e">
        <f>VLOOKUP('Customer Info'!B2368,'Customer Info'!B2368:B2867,1,0)</f>
        <v>#N/A</v>
      </c>
      <c r="H2376" s="6" t="e">
        <f>VLOOKUP('Customer Info'!C2368,'Customer Info'!C2368:C2867,1)</f>
        <v>#N/A</v>
      </c>
      <c r="I2376" s="6" t="e">
        <f>VLOOKUP('Customer Info'!E2368,'Customer Info'!E2368:E2867,1,0)</f>
        <v>#N/A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1026</v>
      </c>
      <c r="R2376" s="2" t="s">
        <v>28</v>
      </c>
      <c r="S2376" s="9">
        <f t="shared" si="184"/>
        <v>0.09</v>
      </c>
    </row>
    <row r="2377" spans="1:19" x14ac:dyDescent="0.3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e">
        <f>VLOOKUP('Customer Info'!B2369,'Customer Info'!B2369:B2868,1,0)</f>
        <v>#N/A</v>
      </c>
      <c r="H2377" s="6" t="e">
        <f>VLOOKUP('Customer Info'!C2369,'Customer Info'!C2369:C2868,1)</f>
        <v>#N/A</v>
      </c>
      <c r="I2377" s="6" t="e">
        <f>VLOOKUP('Customer Info'!E2369,'Customer Info'!E2369:E2868,1,0)</f>
        <v>#N/A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219</v>
      </c>
      <c r="R2377" s="2" t="s">
        <v>50</v>
      </c>
      <c r="S2377" s="9">
        <f t="shared" si="184"/>
        <v>0.02</v>
      </c>
    </row>
    <row r="2378" spans="1:19" x14ac:dyDescent="0.3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e">
        <f>VLOOKUP('Customer Info'!B2370,'Customer Info'!B2370:B2869,1,0)</f>
        <v>#N/A</v>
      </c>
      <c r="H2378" s="6" t="e">
        <f>VLOOKUP('Customer Info'!C2370,'Customer Info'!C2370:C2869,1)</f>
        <v>#N/A</v>
      </c>
      <c r="I2378" s="6" t="e">
        <f>VLOOKUP('Customer Info'!E2370,'Customer Info'!E2370:E2869,1,0)</f>
        <v>#N/A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82</v>
      </c>
      <c r="R2378" s="2" t="s">
        <v>28</v>
      </c>
      <c r="S2378" s="9">
        <f t="shared" si="184"/>
        <v>0.02</v>
      </c>
    </row>
    <row r="2379" spans="1:19" x14ac:dyDescent="0.3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e">
        <f>VLOOKUP('Customer Info'!B2371,'Customer Info'!B2371:B2870,1,0)</f>
        <v>#N/A</v>
      </c>
      <c r="H2379" s="6" t="e">
        <f>VLOOKUP('Customer Info'!C2371,'Customer Info'!C2371:C2870,1)</f>
        <v>#N/A</v>
      </c>
      <c r="I2379" s="6" t="e">
        <f>VLOOKUP('Customer Info'!E2371,'Customer Info'!E2371:E2870,1,0)</f>
        <v>#N/A</v>
      </c>
      <c r="J2379" s="2">
        <v>139</v>
      </c>
      <c r="K2379" s="2">
        <v>133</v>
      </c>
      <c r="L2379" s="2">
        <v>4</v>
      </c>
      <c r="M2379" s="7">
        <f t="shared" ref="M2379:M2442" si="185">(K2379*L2379)</f>
        <v>532</v>
      </c>
      <c r="N2379" s="7">
        <f t="shared" ref="N2379:N2442" si="186">(J2379*L2379)</f>
        <v>556</v>
      </c>
      <c r="O2379" s="2">
        <v>30</v>
      </c>
      <c r="P2379" s="8">
        <f t="shared" ref="P2379:P2442" si="187">(N2379+O2379)</f>
        <v>586</v>
      </c>
      <c r="Q2379" s="8">
        <f t="shared" ref="Q2379:Q2442" si="188">(N2379-M2379)</f>
        <v>24</v>
      </c>
      <c r="R2379" s="2" t="s">
        <v>28</v>
      </c>
      <c r="S2379" s="9">
        <f t="shared" ref="S2379:S2442" si="189">_xlfn.IFS(P2379&gt;250000,0.15,P2379&gt;100000,0.12,P2379&gt;50000,0.09,P2379&gt;25000,0.07,P2379&gt;5000,0.05,
 TRUE,0.02)</f>
        <v>0.02</v>
      </c>
    </row>
    <row r="2380" spans="1:19" x14ac:dyDescent="0.3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e">
        <f>VLOOKUP('Customer Info'!B2372,'Customer Info'!B2372:B2871,1,0)</f>
        <v>#N/A</v>
      </c>
      <c r="H2380" s="6" t="e">
        <f>VLOOKUP('Customer Info'!C2372,'Customer Info'!C2372:C2871,1)</f>
        <v>#N/A</v>
      </c>
      <c r="I2380" s="6" t="e">
        <f>VLOOKUP('Customer Info'!E2372,'Customer Info'!E2372:E2871,1,0)</f>
        <v>#N/A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133</v>
      </c>
      <c r="R2380" s="2" t="s">
        <v>28</v>
      </c>
      <c r="S2380" s="9">
        <f t="shared" si="189"/>
        <v>0.02</v>
      </c>
    </row>
    <row r="2381" spans="1:19" x14ac:dyDescent="0.3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e">
        <f>VLOOKUP('Customer Info'!B2373,'Customer Info'!B2373:B2872,1,0)</f>
        <v>#N/A</v>
      </c>
      <c r="H2381" s="6" t="e">
        <f>VLOOKUP('Customer Info'!C2373,'Customer Info'!C2373:C2872,1)</f>
        <v>#N/A</v>
      </c>
      <c r="I2381" s="6" t="e">
        <f>VLOOKUP('Customer Info'!E2373,'Customer Info'!E2373:E2872,1,0)</f>
        <v>#N/A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360</v>
      </c>
      <c r="R2381" s="2" t="s">
        <v>28</v>
      </c>
      <c r="S2381" s="9">
        <f t="shared" si="189"/>
        <v>0.02</v>
      </c>
    </row>
    <row r="2382" spans="1:19" x14ac:dyDescent="0.3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e">
        <f>VLOOKUP('Customer Info'!B2374,'Customer Info'!B2374:B2873,1,0)</f>
        <v>#N/A</v>
      </c>
      <c r="H2382" s="6" t="e">
        <f>VLOOKUP('Customer Info'!C2374,'Customer Info'!C2374:C2873,1)</f>
        <v>#N/A</v>
      </c>
      <c r="I2382" s="6" t="e">
        <f>VLOOKUP('Customer Info'!E2374,'Customer Info'!E2374:E2873,1,0)</f>
        <v>#N/A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64</v>
      </c>
      <c r="R2382" s="2" t="s">
        <v>28</v>
      </c>
      <c r="S2382" s="9">
        <f t="shared" si="189"/>
        <v>0.02</v>
      </c>
    </row>
    <row r="2383" spans="1:19" x14ac:dyDescent="0.3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e">
        <f>VLOOKUP('Customer Info'!B2375,'Customer Info'!B2375:B2874,1,0)</f>
        <v>#N/A</v>
      </c>
      <c r="H2383" s="6" t="e">
        <f>VLOOKUP('Customer Info'!C2375,'Customer Info'!C2375:C2874,1)</f>
        <v>#N/A</v>
      </c>
      <c r="I2383" s="6" t="e">
        <f>VLOOKUP('Customer Info'!E2375,'Customer Info'!E2375:E2874,1,0)</f>
        <v>#N/A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5</v>
      </c>
      <c r="R2383" s="2" t="s">
        <v>26</v>
      </c>
      <c r="S2383" s="9">
        <f t="shared" si="189"/>
        <v>0.02</v>
      </c>
    </row>
    <row r="2384" spans="1:19" x14ac:dyDescent="0.3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e">
        <f>VLOOKUP('Customer Info'!B2376,'Customer Info'!B2376:B2875,1,0)</f>
        <v>#N/A</v>
      </c>
      <c r="H2384" s="6" t="e">
        <f>VLOOKUP('Customer Info'!C2376,'Customer Info'!C2376:C2875,1)</f>
        <v>#N/A</v>
      </c>
      <c r="I2384" s="6" t="e">
        <f>VLOOKUP('Customer Info'!E2376,'Customer Info'!E2376:E2875,1,0)</f>
        <v>#N/A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810</v>
      </c>
      <c r="R2384" s="2" t="s">
        <v>28</v>
      </c>
      <c r="S2384" s="9">
        <f t="shared" si="189"/>
        <v>0.05</v>
      </c>
    </row>
    <row r="2385" spans="1:19" x14ac:dyDescent="0.3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e">
        <f>VLOOKUP('Customer Info'!B2377,'Customer Info'!B2377:B2876,1,0)</f>
        <v>#N/A</v>
      </c>
      <c r="H2385" s="6" t="e">
        <f>VLOOKUP('Customer Info'!C2377,'Customer Info'!C2377:C2876,1)</f>
        <v>#N/A</v>
      </c>
      <c r="I2385" s="6" t="e">
        <f>VLOOKUP('Customer Info'!E2377,'Customer Info'!E2377:E2876,1,0)</f>
        <v>#N/A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594</v>
      </c>
      <c r="R2385" s="2" t="s">
        <v>28</v>
      </c>
      <c r="S2385" s="9">
        <f t="shared" si="189"/>
        <v>0.05</v>
      </c>
    </row>
    <row r="2386" spans="1:19" x14ac:dyDescent="0.3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e">
        <f>VLOOKUP('Customer Info'!B2378,'Customer Info'!B2378:B2877,1,0)</f>
        <v>#N/A</v>
      </c>
      <c r="H2386" s="6" t="e">
        <f>VLOOKUP('Customer Info'!C2378,'Customer Info'!C2378:C2877,1)</f>
        <v>#N/A</v>
      </c>
      <c r="I2386" s="6" t="e">
        <f>VLOOKUP('Customer Info'!E2378,'Customer Info'!E2378:E2877,1,0)</f>
        <v>#N/A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40</v>
      </c>
      <c r="R2386" s="2" t="s">
        <v>28</v>
      </c>
      <c r="S2386" s="9">
        <f t="shared" si="189"/>
        <v>0.02</v>
      </c>
    </row>
    <row r="2387" spans="1:19" x14ac:dyDescent="0.3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e">
        <f>VLOOKUP('Customer Info'!B2379,'Customer Info'!B2379:B2878,1,0)</f>
        <v>#N/A</v>
      </c>
      <c r="H2387" s="6" t="e">
        <f>VLOOKUP('Customer Info'!C2379,'Customer Info'!C2379:C2878,1)</f>
        <v>#N/A</v>
      </c>
      <c r="I2387" s="6" t="e">
        <f>VLOOKUP('Customer Info'!E2379,'Customer Info'!E2379:E2878,1,0)</f>
        <v>#N/A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36</v>
      </c>
      <c r="R2387" s="2" t="s">
        <v>50</v>
      </c>
      <c r="S2387" s="9">
        <f t="shared" si="189"/>
        <v>0.02</v>
      </c>
    </row>
    <row r="2388" spans="1:19" x14ac:dyDescent="0.3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e">
        <f>VLOOKUP('Customer Info'!B2380,'Customer Info'!B2380:B2879,1,0)</f>
        <v>#N/A</v>
      </c>
      <c r="H2388" s="6" t="e">
        <f>VLOOKUP('Customer Info'!C2380,'Customer Info'!C2380:C2879,1)</f>
        <v>#N/A</v>
      </c>
      <c r="I2388" s="6" t="e">
        <f>VLOOKUP('Customer Info'!E2380,'Customer Info'!E2380:E2879,1,0)</f>
        <v>#N/A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40</v>
      </c>
      <c r="R2388" s="2" t="s">
        <v>50</v>
      </c>
      <c r="S2388" s="9">
        <f t="shared" si="189"/>
        <v>0.02</v>
      </c>
    </row>
    <row r="2389" spans="1:19" x14ac:dyDescent="0.3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e">
        <f>VLOOKUP('Customer Info'!B2381,'Customer Info'!B2381:B2880,1,0)</f>
        <v>#N/A</v>
      </c>
      <c r="H2389" s="6" t="e">
        <f>VLOOKUP('Customer Info'!C2381,'Customer Info'!C2381:C2880,1)</f>
        <v>#N/A</v>
      </c>
      <c r="I2389" s="6" t="e">
        <f>VLOOKUP('Customer Info'!E2381,'Customer Info'!E2381:E2880,1,0)</f>
        <v>#N/A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78</v>
      </c>
      <c r="R2389" s="2" t="s">
        <v>50</v>
      </c>
      <c r="S2389" s="9">
        <f t="shared" si="189"/>
        <v>0.02</v>
      </c>
    </row>
    <row r="2390" spans="1:19" x14ac:dyDescent="0.3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e">
        <f>VLOOKUP('Customer Info'!B2382,'Customer Info'!B2382:B2881,1,0)</f>
        <v>#N/A</v>
      </c>
      <c r="H2390" s="6" t="e">
        <f>VLOOKUP('Customer Info'!C2382,'Customer Info'!C2382:C2881,1)</f>
        <v>#N/A</v>
      </c>
      <c r="I2390" s="6" t="e">
        <f>VLOOKUP('Customer Info'!E2382,'Customer Info'!E2382:E2881,1,0)</f>
        <v>#N/A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225</v>
      </c>
      <c r="R2390" s="2" t="s">
        <v>26</v>
      </c>
      <c r="S2390" s="9">
        <f t="shared" si="189"/>
        <v>0.02</v>
      </c>
    </row>
    <row r="2391" spans="1:19" x14ac:dyDescent="0.3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e">
        <f>VLOOKUP('Customer Info'!B2383,'Customer Info'!B2383:B2882,1,0)</f>
        <v>#N/A</v>
      </c>
      <c r="H2391" s="6" t="e">
        <f>VLOOKUP('Customer Info'!C2383,'Customer Info'!C2383:C2882,1)</f>
        <v>#N/A</v>
      </c>
      <c r="I2391" s="6" t="e">
        <f>VLOOKUP('Customer Info'!E2383,'Customer Info'!E2383:E2882,1,0)</f>
        <v>#N/A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50</v>
      </c>
      <c r="R2391" s="2" t="s">
        <v>26</v>
      </c>
      <c r="S2391" s="9">
        <f t="shared" si="189"/>
        <v>0.02</v>
      </c>
    </row>
    <row r="2392" spans="1:19" x14ac:dyDescent="0.3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e">
        <f>VLOOKUP('Customer Info'!B2384,'Customer Info'!B2384:B2883,1,0)</f>
        <v>#N/A</v>
      </c>
      <c r="H2392" s="6" t="e">
        <f>VLOOKUP('Customer Info'!C2384,'Customer Info'!C2384:C2883,1)</f>
        <v>#N/A</v>
      </c>
      <c r="I2392" s="6" t="e">
        <f>VLOOKUP('Customer Info'!E2384,'Customer Info'!E2384:E2883,1,0)</f>
        <v>#N/A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30</v>
      </c>
      <c r="R2392" s="2" t="s">
        <v>28</v>
      </c>
      <c r="S2392" s="9">
        <f t="shared" si="189"/>
        <v>0.02</v>
      </c>
    </row>
    <row r="2393" spans="1:19" x14ac:dyDescent="0.3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e">
        <f>VLOOKUP('Customer Info'!B2385,'Customer Info'!B2385:B2884,1,0)</f>
        <v>#N/A</v>
      </c>
      <c r="H2393" s="6" t="e">
        <f>VLOOKUP('Customer Info'!C2385,'Customer Info'!C2385:C2884,1)</f>
        <v>#N/A</v>
      </c>
      <c r="I2393" s="6" t="e">
        <f>VLOOKUP('Customer Info'!E2385,'Customer Info'!E2385:E2884,1,0)</f>
        <v>#N/A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6328</v>
      </c>
      <c r="R2393" s="2" t="s">
        <v>26</v>
      </c>
      <c r="S2393" s="9">
        <f t="shared" si="189"/>
        <v>0.09</v>
      </c>
    </row>
    <row r="2394" spans="1:19" x14ac:dyDescent="0.3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e">
        <f>VLOOKUP('Customer Info'!B2386,'Customer Info'!B2386:B2885,1,0)</f>
        <v>#N/A</v>
      </c>
      <c r="H2394" s="6" t="e">
        <f>VLOOKUP('Customer Info'!C2386,'Customer Info'!C2386:C2885,1)</f>
        <v>#N/A</v>
      </c>
      <c r="I2394" s="6" t="e">
        <f>VLOOKUP('Customer Info'!E2386,'Customer Info'!E2386:E2885,1,0)</f>
        <v>#N/A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273</v>
      </c>
      <c r="R2394" s="2" t="s">
        <v>50</v>
      </c>
      <c r="S2394" s="9">
        <f t="shared" si="189"/>
        <v>0.02</v>
      </c>
    </row>
    <row r="2395" spans="1:19" x14ac:dyDescent="0.3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e">
        <f>VLOOKUP('Customer Info'!B2387,'Customer Info'!B2387:B2886,1,0)</f>
        <v>#N/A</v>
      </c>
      <c r="H2395" s="6" t="e">
        <f>VLOOKUP('Customer Info'!C2387,'Customer Info'!C2387:C2886,1)</f>
        <v>#N/A</v>
      </c>
      <c r="I2395" s="6" t="e">
        <f>VLOOKUP('Customer Info'!E2387,'Customer Info'!E2387:E2886,1,0)</f>
        <v>#N/A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350</v>
      </c>
      <c r="R2395" s="2" t="s">
        <v>56</v>
      </c>
      <c r="S2395" s="9">
        <f t="shared" si="189"/>
        <v>0.02</v>
      </c>
    </row>
    <row r="2396" spans="1:19" x14ac:dyDescent="0.3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e">
        <f>VLOOKUP('Customer Info'!B2388,'Customer Info'!B2388:B2887,1,0)</f>
        <v>#N/A</v>
      </c>
      <c r="H2396" s="6" t="e">
        <f>VLOOKUP('Customer Info'!C2388,'Customer Info'!C2388:C2887,1)</f>
        <v>#N/A</v>
      </c>
      <c r="I2396" s="6" t="e">
        <f>VLOOKUP('Customer Info'!E2388,'Customer Info'!E2388:E2887,1,0)</f>
        <v>#N/A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1668</v>
      </c>
      <c r="R2396" s="2" t="s">
        <v>26</v>
      </c>
      <c r="S2396" s="9">
        <f t="shared" si="189"/>
        <v>0.05</v>
      </c>
    </row>
    <row r="2397" spans="1:19" x14ac:dyDescent="0.3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e">
        <f>VLOOKUP('Customer Info'!B2389,'Customer Info'!B2389:B2888,1,0)</f>
        <v>#N/A</v>
      </c>
      <c r="H2397" s="6" t="e">
        <f>VLOOKUP('Customer Info'!C2389,'Customer Info'!C2389:C2888,1)</f>
        <v>#N/A</v>
      </c>
      <c r="I2397" s="6" t="e">
        <f>VLOOKUP('Customer Info'!E2389,'Customer Info'!E2389:E2888,1,0)</f>
        <v>#N/A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252</v>
      </c>
      <c r="R2397" s="2" t="s">
        <v>28</v>
      </c>
      <c r="S2397" s="9">
        <f t="shared" si="189"/>
        <v>0.05</v>
      </c>
    </row>
    <row r="2398" spans="1:19" x14ac:dyDescent="0.3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e">
        <f>VLOOKUP('Customer Info'!B2390,'Customer Info'!B2390:B2889,1,0)</f>
        <v>#N/A</v>
      </c>
      <c r="H2398" s="6" t="e">
        <f>VLOOKUP('Customer Info'!C2390,'Customer Info'!C2390:C2889,1)</f>
        <v>#N/A</v>
      </c>
      <c r="I2398" s="6" t="e">
        <f>VLOOKUP('Customer Info'!E2390,'Customer Info'!E2390:E2889,1,0)</f>
        <v>#N/A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960</v>
      </c>
      <c r="R2398" s="2" t="s">
        <v>28</v>
      </c>
      <c r="S2398" s="9">
        <f t="shared" si="189"/>
        <v>0.05</v>
      </c>
    </row>
    <row r="2399" spans="1:19" x14ac:dyDescent="0.3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e">
        <f>VLOOKUP('Customer Info'!B2391,'Customer Info'!B2391:B2890,1,0)</f>
        <v>#N/A</v>
      </c>
      <c r="H2399" s="6" t="e">
        <f>VLOOKUP('Customer Info'!C2391,'Customer Info'!C2391:C2890,1)</f>
        <v>#N/A</v>
      </c>
      <c r="I2399" s="6" t="e">
        <f>VLOOKUP('Customer Info'!E2391,'Customer Info'!E2391:E2890,1,0)</f>
        <v>#N/A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222</v>
      </c>
      <c r="R2399" s="2" t="s">
        <v>26</v>
      </c>
      <c r="S2399" s="9">
        <f t="shared" si="189"/>
        <v>0.05</v>
      </c>
    </row>
    <row r="2400" spans="1:19" x14ac:dyDescent="0.3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e">
        <f>VLOOKUP('Customer Info'!B2392,'Customer Info'!B2392:B2891,1,0)</f>
        <v>#N/A</v>
      </c>
      <c r="H2400" s="6" t="e">
        <f>VLOOKUP('Customer Info'!C2392,'Customer Info'!C2392:C2891,1)</f>
        <v>#N/A</v>
      </c>
      <c r="I2400" s="6" t="e">
        <f>VLOOKUP('Customer Info'!E2392,'Customer Info'!E2392:E2891,1,0)</f>
        <v>#N/A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644</v>
      </c>
      <c r="R2400" s="2" t="s">
        <v>28</v>
      </c>
      <c r="S2400" s="9">
        <f t="shared" si="189"/>
        <v>0.05</v>
      </c>
    </row>
    <row r="2401" spans="1:19" x14ac:dyDescent="0.3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e">
        <f>VLOOKUP('Customer Info'!B2393,'Customer Info'!B2393:B2892,1,0)</f>
        <v>#N/A</v>
      </c>
      <c r="H2401" s="6" t="e">
        <f>VLOOKUP('Customer Info'!C2393,'Customer Info'!C2393:C2892,1)</f>
        <v>#N/A</v>
      </c>
      <c r="I2401" s="6" t="e">
        <f>VLOOKUP('Customer Info'!E2393,'Customer Info'!E2393:E2892,1,0)</f>
        <v>#N/A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165</v>
      </c>
      <c r="R2401" s="2" t="s">
        <v>28</v>
      </c>
      <c r="S2401" s="9">
        <f t="shared" si="189"/>
        <v>0.02</v>
      </c>
    </row>
    <row r="2402" spans="1:19" x14ac:dyDescent="0.3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e">
        <f>VLOOKUP('Customer Info'!B2394,'Customer Info'!B2394:B2893,1,0)</f>
        <v>#N/A</v>
      </c>
      <c r="H2402" s="6" t="e">
        <f>VLOOKUP('Customer Info'!C2394,'Customer Info'!C2394:C2893,1)</f>
        <v>#N/A</v>
      </c>
      <c r="I2402" s="6" t="e">
        <f>VLOOKUP('Customer Info'!E2394,'Customer Info'!E2394:E2893,1,0)</f>
        <v>#N/A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396</v>
      </c>
      <c r="R2402" s="2" t="s">
        <v>28</v>
      </c>
      <c r="S2402" s="9">
        <f t="shared" si="189"/>
        <v>0.05</v>
      </c>
    </row>
    <row r="2403" spans="1:19" x14ac:dyDescent="0.3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e">
        <f>VLOOKUP('Customer Info'!B2395,'Customer Info'!B2395:B2894,1,0)</f>
        <v>#N/A</v>
      </c>
      <c r="H2403" s="6" t="e">
        <f>VLOOKUP('Customer Info'!C2395,'Customer Info'!C2395:C2894,1)</f>
        <v>#N/A</v>
      </c>
      <c r="I2403" s="6" t="e">
        <f>VLOOKUP('Customer Info'!E2395,'Customer Info'!E2395:E2894,1,0)</f>
        <v>#N/A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150</v>
      </c>
      <c r="R2403" s="2" t="s">
        <v>26</v>
      </c>
      <c r="S2403" s="9">
        <f t="shared" si="189"/>
        <v>0.02</v>
      </c>
    </row>
    <row r="2404" spans="1:19" x14ac:dyDescent="0.3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e">
        <f>VLOOKUP('Customer Info'!B2396,'Customer Info'!B2396:B2895,1,0)</f>
        <v>#N/A</v>
      </c>
      <c r="H2404" s="6" t="e">
        <f>VLOOKUP('Customer Info'!C2396,'Customer Info'!C2396:C2895,1)</f>
        <v>#N/A</v>
      </c>
      <c r="I2404" s="6" t="e">
        <f>VLOOKUP('Customer Info'!E2396,'Customer Info'!E2396:E2895,1,0)</f>
        <v>#N/A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96</v>
      </c>
      <c r="R2404" s="2" t="s">
        <v>28</v>
      </c>
      <c r="S2404" s="9">
        <f t="shared" si="189"/>
        <v>0.02</v>
      </c>
    </row>
    <row r="2405" spans="1:19" x14ac:dyDescent="0.3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e">
        <f>VLOOKUP('Customer Info'!B2397,'Customer Info'!B2397:B2896,1,0)</f>
        <v>#N/A</v>
      </c>
      <c r="H2405" s="6" t="e">
        <f>VLOOKUP('Customer Info'!C2397,'Customer Info'!C2397:C2896,1)</f>
        <v>#N/A</v>
      </c>
      <c r="I2405" s="6" t="e">
        <f>VLOOKUP('Customer Info'!E2397,'Customer Info'!E2397:E2896,1,0)</f>
        <v>#N/A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25</v>
      </c>
      <c r="R2405" s="2" t="s">
        <v>28</v>
      </c>
      <c r="S2405" s="9">
        <f t="shared" si="189"/>
        <v>0.02</v>
      </c>
    </row>
    <row r="2406" spans="1:19" x14ac:dyDescent="0.3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e">
        <f>VLOOKUP('Customer Info'!B2398,'Customer Info'!B2398:B2897,1,0)</f>
        <v>#N/A</v>
      </c>
      <c r="H2406" s="6" t="e">
        <f>VLOOKUP('Customer Info'!C2398,'Customer Info'!C2398:C2897,1)</f>
        <v>#N/A</v>
      </c>
      <c r="I2406" s="6" t="e">
        <f>VLOOKUP('Customer Info'!E2398,'Customer Info'!E2398:E2897,1,0)</f>
        <v>#N/A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154</v>
      </c>
      <c r="R2406" s="2" t="s">
        <v>28</v>
      </c>
      <c r="S2406" s="9">
        <f t="shared" si="189"/>
        <v>0.05</v>
      </c>
    </row>
    <row r="2407" spans="1:19" x14ac:dyDescent="0.3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e">
        <f>VLOOKUP('Customer Info'!B2399,'Customer Info'!B2399:B2898,1,0)</f>
        <v>#N/A</v>
      </c>
      <c r="H2407" s="6" t="e">
        <f>VLOOKUP('Customer Info'!C2399,'Customer Info'!C2399:C2898,1)</f>
        <v>#N/A</v>
      </c>
      <c r="I2407" s="6" t="e">
        <f>VLOOKUP('Customer Info'!E2399,'Customer Info'!E2399:E2898,1,0)</f>
        <v>#N/A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2464</v>
      </c>
      <c r="R2407" s="2" t="s">
        <v>28</v>
      </c>
      <c r="S2407" s="9">
        <f t="shared" si="189"/>
        <v>7.0000000000000007E-2</v>
      </c>
    </row>
    <row r="2408" spans="1:19" x14ac:dyDescent="0.3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e">
        <f>VLOOKUP('Customer Info'!B2400,'Customer Info'!B2400:B2899,1,0)</f>
        <v>#N/A</v>
      </c>
      <c r="H2408" s="6" t="e">
        <f>VLOOKUP('Customer Info'!C2400,'Customer Info'!C2400:C2899,1)</f>
        <v>#N/A</v>
      </c>
      <c r="I2408" s="6" t="e">
        <f>VLOOKUP('Customer Info'!E2400,'Customer Info'!E2400:E2899,1,0)</f>
        <v>#N/A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10</v>
      </c>
      <c r="R2408" s="2" t="s">
        <v>28</v>
      </c>
      <c r="S2408" s="9">
        <f t="shared" si="189"/>
        <v>0.02</v>
      </c>
    </row>
    <row r="2409" spans="1:19" x14ac:dyDescent="0.3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e">
        <f>VLOOKUP('Customer Info'!B2401,'Customer Info'!B2401:B2900,1,0)</f>
        <v>#N/A</v>
      </c>
      <c r="H2409" s="6" t="e">
        <f>VLOOKUP('Customer Info'!C2401,'Customer Info'!C2401:C2900,1)</f>
        <v>#N/A</v>
      </c>
      <c r="I2409" s="6" t="e">
        <f>VLOOKUP('Customer Info'!E2401,'Customer Info'!E2401:E2900,1,0)</f>
        <v>#N/A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6</v>
      </c>
      <c r="R2409" s="2" t="s">
        <v>28</v>
      </c>
      <c r="S2409" s="9">
        <f t="shared" si="189"/>
        <v>0.02</v>
      </c>
    </row>
    <row r="2410" spans="1:19" x14ac:dyDescent="0.3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e">
        <f>VLOOKUP('Customer Info'!B2402,'Customer Info'!B2402:B2901,1,0)</f>
        <v>#N/A</v>
      </c>
      <c r="H2410" s="6" t="e">
        <f>VLOOKUP('Customer Info'!C2402,'Customer Info'!C2402:C2901,1)</f>
        <v>#N/A</v>
      </c>
      <c r="I2410" s="6" t="e">
        <f>VLOOKUP('Customer Info'!E2402,'Customer Info'!E2402:E2901,1,0)</f>
        <v>#N/A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308</v>
      </c>
      <c r="R2410" s="2" t="s">
        <v>50</v>
      </c>
      <c r="S2410" s="9">
        <f t="shared" si="189"/>
        <v>0.05</v>
      </c>
    </row>
    <row r="2411" spans="1:19" x14ac:dyDescent="0.3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e">
        <f>VLOOKUP('Customer Info'!B2403,'Customer Info'!B2403:B2902,1,0)</f>
        <v>#N/A</v>
      </c>
      <c r="H2411" s="6" t="e">
        <f>VLOOKUP('Customer Info'!C2403,'Customer Info'!C2403:C2902,1)</f>
        <v>#N/A</v>
      </c>
      <c r="I2411" s="6" t="e">
        <f>VLOOKUP('Customer Info'!E2403,'Customer Info'!E2403:E2902,1,0)</f>
        <v>#N/A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816</v>
      </c>
      <c r="R2411" s="2" t="s">
        <v>28</v>
      </c>
      <c r="S2411" s="9">
        <f t="shared" si="189"/>
        <v>0.05</v>
      </c>
    </row>
    <row r="2412" spans="1:19" x14ac:dyDescent="0.3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e">
        <f>VLOOKUP('Customer Info'!B2404,'Customer Info'!B2404:B2903,1,0)</f>
        <v>#N/A</v>
      </c>
      <c r="H2412" s="6" t="e">
        <f>VLOOKUP('Customer Info'!C2404,'Customer Info'!C2404:C2903,1)</f>
        <v>#N/A</v>
      </c>
      <c r="I2412" s="6" t="e">
        <f>VLOOKUP('Customer Info'!E2404,'Customer Info'!E2404:E2903,1,0)</f>
        <v>#N/A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168</v>
      </c>
      <c r="R2412" s="2" t="s">
        <v>26</v>
      </c>
      <c r="S2412" s="9">
        <f t="shared" si="189"/>
        <v>0.02</v>
      </c>
    </row>
    <row r="2413" spans="1:19" x14ac:dyDescent="0.3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e">
        <f>VLOOKUP('Customer Info'!B2405,'Customer Info'!B2405:B2904,1,0)</f>
        <v>#N/A</v>
      </c>
      <c r="H2413" s="6" t="e">
        <f>VLOOKUP('Customer Info'!C2405,'Customer Info'!C2405:C2904,1)</f>
        <v>#N/A</v>
      </c>
      <c r="I2413" s="6" t="e">
        <f>VLOOKUP('Customer Info'!E2405,'Customer Info'!E2405:E2904,1,0)</f>
        <v>#N/A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129</v>
      </c>
      <c r="R2413" s="2" t="s">
        <v>28</v>
      </c>
      <c r="S2413" s="9">
        <f t="shared" si="189"/>
        <v>0.02</v>
      </c>
    </row>
    <row r="2414" spans="1:19" x14ac:dyDescent="0.3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e">
        <f>VLOOKUP('Customer Info'!B2406,'Customer Info'!B2406:B2905,1,0)</f>
        <v>#N/A</v>
      </c>
      <c r="H2414" s="6" t="e">
        <f>VLOOKUP('Customer Info'!C2406,'Customer Info'!C2406:C2905,1)</f>
        <v>#N/A</v>
      </c>
      <c r="I2414" s="6" t="e">
        <f>VLOOKUP('Customer Info'!E2406,'Customer Info'!E2406:E2905,1,0)</f>
        <v>#N/A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1002</v>
      </c>
      <c r="R2414" s="2" t="s">
        <v>28</v>
      </c>
      <c r="S2414" s="9">
        <f t="shared" si="189"/>
        <v>0.05</v>
      </c>
    </row>
    <row r="2415" spans="1:19" x14ac:dyDescent="0.3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e">
        <f>VLOOKUP('Customer Info'!B2407,'Customer Info'!B2407:B2906,1,0)</f>
        <v>#N/A</v>
      </c>
      <c r="H2415" s="6" t="e">
        <f>VLOOKUP('Customer Info'!C2407,'Customer Info'!C2407:C2906,1)</f>
        <v>#N/A</v>
      </c>
      <c r="I2415" s="6" t="e">
        <f>VLOOKUP('Customer Info'!E2407,'Customer Info'!E2407:E2906,1,0)</f>
        <v>#N/A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1143</v>
      </c>
      <c r="R2415" s="2" t="s">
        <v>28</v>
      </c>
      <c r="S2415" s="9">
        <f t="shared" si="189"/>
        <v>0.05</v>
      </c>
    </row>
    <row r="2416" spans="1:19" x14ac:dyDescent="0.3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e">
        <f>VLOOKUP('Customer Info'!B2408,'Customer Info'!B2408:B2907,1,0)</f>
        <v>#N/A</v>
      </c>
      <c r="H2416" s="6" t="e">
        <f>VLOOKUP('Customer Info'!C2408,'Customer Info'!C2408:C2907,1)</f>
        <v>#N/A</v>
      </c>
      <c r="I2416" s="6" t="e">
        <f>VLOOKUP('Customer Info'!E2408,'Customer Info'!E2408:E2907,1,0)</f>
        <v>#N/A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763</v>
      </c>
      <c r="R2416" s="2" t="s">
        <v>28</v>
      </c>
      <c r="S2416" s="9">
        <f t="shared" si="189"/>
        <v>0.05</v>
      </c>
    </row>
    <row r="2417" spans="1:19" x14ac:dyDescent="0.3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e">
        <f>VLOOKUP('Customer Info'!B2409,'Customer Info'!B2409:B2908,1,0)</f>
        <v>#N/A</v>
      </c>
      <c r="H2417" s="6" t="e">
        <f>VLOOKUP('Customer Info'!C2409,'Customer Info'!C2409:C2908,1)</f>
        <v>#N/A</v>
      </c>
      <c r="I2417" s="6" t="e">
        <f>VLOOKUP('Customer Info'!E2409,'Customer Info'!E2409:E2908,1,0)</f>
        <v>#N/A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919</v>
      </c>
      <c r="R2417" s="2" t="s">
        <v>56</v>
      </c>
      <c r="S2417" s="9">
        <f t="shared" si="189"/>
        <v>0.05</v>
      </c>
    </row>
    <row r="2418" spans="1:19" x14ac:dyDescent="0.3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e">
        <f>VLOOKUP('Customer Info'!B2410,'Customer Info'!B2410:B2909,1,0)</f>
        <v>#N/A</v>
      </c>
      <c r="H2418" s="6" t="e">
        <f>VLOOKUP('Customer Info'!C2410,'Customer Info'!C2410:C2909,1)</f>
        <v>#N/A</v>
      </c>
      <c r="I2418" s="6" t="e">
        <f>VLOOKUP('Customer Info'!E2410,'Customer Info'!E2410:E2909,1,0)</f>
        <v>#N/A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1340</v>
      </c>
      <c r="R2418" s="2" t="s">
        <v>50</v>
      </c>
      <c r="S2418" s="9">
        <f t="shared" si="189"/>
        <v>7.0000000000000007E-2</v>
      </c>
    </row>
    <row r="2419" spans="1:19" x14ac:dyDescent="0.3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e">
        <f>VLOOKUP('Customer Info'!B2411,'Customer Info'!B2411:B2910,1,0)</f>
        <v>#N/A</v>
      </c>
      <c r="H2419" s="6" t="e">
        <f>VLOOKUP('Customer Info'!C2411,'Customer Info'!C2411:C2910,1)</f>
        <v>#N/A</v>
      </c>
      <c r="I2419" s="6" t="e">
        <f>VLOOKUP('Customer Info'!E2411,'Customer Info'!E2411:E2910,1,0)</f>
        <v>#N/A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234</v>
      </c>
      <c r="R2419" s="2" t="s">
        <v>28</v>
      </c>
      <c r="S2419" s="9">
        <f t="shared" si="189"/>
        <v>0.02</v>
      </c>
    </row>
    <row r="2420" spans="1:19" x14ac:dyDescent="0.3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e">
        <f>VLOOKUP('Customer Info'!B2412,'Customer Info'!B2412:B2911,1,0)</f>
        <v>#N/A</v>
      </c>
      <c r="H2420" s="6" t="e">
        <f>VLOOKUP('Customer Info'!C2412,'Customer Info'!C2412:C2911,1)</f>
        <v>#N/A</v>
      </c>
      <c r="I2420" s="6" t="e">
        <f>VLOOKUP('Customer Info'!E2412,'Customer Info'!E2412:E2911,1,0)</f>
        <v>#N/A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49</v>
      </c>
      <c r="R2420" s="2" t="s">
        <v>28</v>
      </c>
      <c r="S2420" s="9">
        <f t="shared" si="189"/>
        <v>0.02</v>
      </c>
    </row>
    <row r="2421" spans="1:19" x14ac:dyDescent="0.3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e">
        <f>VLOOKUP('Customer Info'!B2413,'Customer Info'!B2413:B2912,1,0)</f>
        <v>#N/A</v>
      </c>
      <c r="H2421" s="6" t="e">
        <f>VLOOKUP('Customer Info'!C2413,'Customer Info'!C2413:C2912,1)</f>
        <v>#N/A</v>
      </c>
      <c r="I2421" s="6" t="e">
        <f>VLOOKUP('Customer Info'!E2413,'Customer Info'!E2413:E2912,1,0)</f>
        <v>#N/A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90</v>
      </c>
      <c r="R2421" s="2" t="s">
        <v>50</v>
      </c>
      <c r="S2421" s="9">
        <f t="shared" si="189"/>
        <v>0.02</v>
      </c>
    </row>
    <row r="2422" spans="1:19" x14ac:dyDescent="0.3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e">
        <f>VLOOKUP('Customer Info'!B2414,'Customer Info'!B2414:B2913,1,0)</f>
        <v>#N/A</v>
      </c>
      <c r="H2422" s="6" t="e">
        <f>VLOOKUP('Customer Info'!C2414,'Customer Info'!C2414:C2913,1)</f>
        <v>#N/A</v>
      </c>
      <c r="I2422" s="6" t="e">
        <f>VLOOKUP('Customer Info'!E2414,'Customer Info'!E2414:E2913,1,0)</f>
        <v>#N/A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2970</v>
      </c>
      <c r="R2422" s="2" t="s">
        <v>50</v>
      </c>
      <c r="S2422" s="9">
        <f t="shared" si="189"/>
        <v>7.0000000000000007E-2</v>
      </c>
    </row>
    <row r="2423" spans="1:19" x14ac:dyDescent="0.3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e">
        <f>VLOOKUP('Customer Info'!B2415,'Customer Info'!B2415:B2914,1,0)</f>
        <v>#N/A</v>
      </c>
      <c r="H2423" s="6" t="e">
        <f>VLOOKUP('Customer Info'!C2415,'Customer Info'!C2415:C2914,1)</f>
        <v>#N/A</v>
      </c>
      <c r="I2423" s="6" t="e">
        <f>VLOOKUP('Customer Info'!E2415,'Customer Info'!E2415:E2914,1,0)</f>
        <v>#N/A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26</v>
      </c>
      <c r="R2423" s="2" t="s">
        <v>50</v>
      </c>
      <c r="S2423" s="9">
        <f t="shared" si="189"/>
        <v>0.02</v>
      </c>
    </row>
    <row r="2424" spans="1:19" x14ac:dyDescent="0.3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e">
        <f>VLOOKUP('Customer Info'!B2416,'Customer Info'!B2416:B2915,1,0)</f>
        <v>#N/A</v>
      </c>
      <c r="H2424" s="6" t="e">
        <f>VLOOKUP('Customer Info'!C2416,'Customer Info'!C2416:C2915,1)</f>
        <v>#N/A</v>
      </c>
      <c r="I2424" s="6" t="e">
        <f>VLOOKUP('Customer Info'!E2416,'Customer Info'!E2416:E2915,1,0)</f>
        <v>#N/A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288</v>
      </c>
      <c r="R2424" s="2" t="s">
        <v>56</v>
      </c>
      <c r="S2424" s="9">
        <f t="shared" si="189"/>
        <v>0.02</v>
      </c>
    </row>
    <row r="2425" spans="1:19" x14ac:dyDescent="0.3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e">
        <f>VLOOKUP('Customer Info'!B2417,'Customer Info'!B2417:B2916,1,0)</f>
        <v>#N/A</v>
      </c>
      <c r="H2425" s="6" t="e">
        <f>VLOOKUP('Customer Info'!C2417,'Customer Info'!C2417:C2916,1)</f>
        <v>#N/A</v>
      </c>
      <c r="I2425" s="6" t="e">
        <f>VLOOKUP('Customer Info'!E2417,'Customer Info'!E2417:E2916,1,0)</f>
        <v>#N/A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552</v>
      </c>
      <c r="R2425" s="2" t="s">
        <v>50</v>
      </c>
      <c r="S2425" s="9">
        <f t="shared" si="189"/>
        <v>0.05</v>
      </c>
    </row>
    <row r="2426" spans="1:19" x14ac:dyDescent="0.3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e">
        <f>VLOOKUP('Customer Info'!B2418,'Customer Info'!B2418:B2917,1,0)</f>
        <v>#N/A</v>
      </c>
      <c r="H2426" s="6" t="e">
        <f>VLOOKUP('Customer Info'!C2418,'Customer Info'!C2418:C2917,1)</f>
        <v>#N/A</v>
      </c>
      <c r="I2426" s="6" t="e">
        <f>VLOOKUP('Customer Info'!E2418,'Customer Info'!E2418:E2917,1,0)</f>
        <v>#N/A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45</v>
      </c>
      <c r="R2426" s="2" t="s">
        <v>50</v>
      </c>
      <c r="S2426" s="9">
        <f t="shared" si="189"/>
        <v>0.02</v>
      </c>
    </row>
    <row r="2427" spans="1:19" x14ac:dyDescent="0.3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e">
        <f>VLOOKUP('Customer Info'!B2419,'Customer Info'!B2419:B2918,1,0)</f>
        <v>#N/A</v>
      </c>
      <c r="H2427" s="6" t="e">
        <f>VLOOKUP('Customer Info'!C2419,'Customer Info'!C2419:C2918,1)</f>
        <v>#N/A</v>
      </c>
      <c r="I2427" s="6" t="e">
        <f>VLOOKUP('Customer Info'!E2419,'Customer Info'!E2419:E2918,1,0)</f>
        <v>#N/A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273</v>
      </c>
      <c r="R2427" s="2" t="s">
        <v>28</v>
      </c>
      <c r="S2427" s="9">
        <f t="shared" si="189"/>
        <v>0.02</v>
      </c>
    </row>
    <row r="2428" spans="1:19" x14ac:dyDescent="0.3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e">
        <f>VLOOKUP('Customer Info'!B2420,'Customer Info'!B2420:B2919,1,0)</f>
        <v>#N/A</v>
      </c>
      <c r="H2428" s="6" t="e">
        <f>VLOOKUP('Customer Info'!C2420,'Customer Info'!C2420:C2919,1)</f>
        <v>#N/A</v>
      </c>
      <c r="I2428" s="6" t="e">
        <f>VLOOKUP('Customer Info'!E2420,'Customer Info'!E2420:E2919,1,0)</f>
        <v>#N/A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32</v>
      </c>
      <c r="R2428" s="2" t="s">
        <v>26</v>
      </c>
      <c r="S2428" s="9">
        <f t="shared" si="189"/>
        <v>0.02</v>
      </c>
    </row>
    <row r="2429" spans="1:19" x14ac:dyDescent="0.3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e">
        <f>VLOOKUP('Customer Info'!B2421,'Customer Info'!B2421:B2920,1,0)</f>
        <v>#N/A</v>
      </c>
      <c r="H2429" s="6" t="e">
        <f>VLOOKUP('Customer Info'!C2421,'Customer Info'!C2421:C2920,1)</f>
        <v>#N/A</v>
      </c>
      <c r="I2429" s="6" t="e">
        <f>VLOOKUP('Customer Info'!E2421,'Customer Info'!E2421:E2920,1,0)</f>
        <v>#N/A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819</v>
      </c>
      <c r="R2429" s="2" t="s">
        <v>50</v>
      </c>
      <c r="S2429" s="9">
        <f t="shared" si="189"/>
        <v>0.05</v>
      </c>
    </row>
    <row r="2430" spans="1:19" x14ac:dyDescent="0.3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e">
        <f>VLOOKUP('Customer Info'!B2422,'Customer Info'!B2422:B2921,1,0)</f>
        <v>#N/A</v>
      </c>
      <c r="H2430" s="6" t="e">
        <f>VLOOKUP('Customer Info'!C2422,'Customer Info'!C2422:C2921,1)</f>
        <v>#N/A</v>
      </c>
      <c r="I2430" s="6" t="e">
        <f>VLOOKUP('Customer Info'!E2422,'Customer Info'!E2422:E2921,1,0)</f>
        <v>#N/A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64</v>
      </c>
      <c r="R2430" s="2" t="s">
        <v>28</v>
      </c>
      <c r="S2430" s="9">
        <f t="shared" si="189"/>
        <v>0.02</v>
      </c>
    </row>
    <row r="2431" spans="1:19" x14ac:dyDescent="0.3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e">
        <f>VLOOKUP('Customer Info'!B2423,'Customer Info'!B2423:B2922,1,0)</f>
        <v>#N/A</v>
      </c>
      <c r="H2431" s="6" t="e">
        <f>VLOOKUP('Customer Info'!C2423,'Customer Info'!C2423:C2922,1)</f>
        <v>#N/A</v>
      </c>
      <c r="I2431" s="6" t="e">
        <f>VLOOKUP('Customer Info'!E2423,'Customer Info'!E2423:E2922,1,0)</f>
        <v>#N/A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798</v>
      </c>
      <c r="R2431" s="2" t="s">
        <v>28</v>
      </c>
      <c r="S2431" s="9">
        <f t="shared" si="189"/>
        <v>0.05</v>
      </c>
    </row>
    <row r="2432" spans="1:19" x14ac:dyDescent="0.3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e">
        <f>VLOOKUP('Customer Info'!B2424,'Customer Info'!B2424:B2923,1,0)</f>
        <v>#N/A</v>
      </c>
      <c r="H2432" s="6" t="e">
        <f>VLOOKUP('Customer Info'!C2424,'Customer Info'!C2424:C2923,1)</f>
        <v>#N/A</v>
      </c>
      <c r="I2432" s="6" t="e">
        <f>VLOOKUP('Customer Info'!E2424,'Customer Info'!E2424:E2923,1,0)</f>
        <v>#N/A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168</v>
      </c>
      <c r="R2432" s="2" t="s">
        <v>50</v>
      </c>
      <c r="S2432" s="9">
        <f t="shared" si="189"/>
        <v>0.02</v>
      </c>
    </row>
    <row r="2433" spans="1:19" x14ac:dyDescent="0.3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e">
        <f>VLOOKUP('Customer Info'!B2425,'Customer Info'!B2425:B2924,1,0)</f>
        <v>#N/A</v>
      </c>
      <c r="H2433" s="6" t="e">
        <f>VLOOKUP('Customer Info'!C2425,'Customer Info'!C2425:C2924,1)</f>
        <v>#N/A</v>
      </c>
      <c r="I2433" s="6" t="e">
        <f>VLOOKUP('Customer Info'!E2425,'Customer Info'!E2425:E2924,1,0)</f>
        <v>#N/A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256</v>
      </c>
      <c r="R2433" s="2" t="s">
        <v>28</v>
      </c>
      <c r="S2433" s="9">
        <f t="shared" si="189"/>
        <v>0.05</v>
      </c>
    </row>
    <row r="2434" spans="1:19" x14ac:dyDescent="0.3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e">
        <f>VLOOKUP('Customer Info'!B2426,'Customer Info'!B2426:B2925,1,0)</f>
        <v>#N/A</v>
      </c>
      <c r="H2434" s="6" t="e">
        <f>VLOOKUP('Customer Info'!C2426,'Customer Info'!C2426:C2925,1)</f>
        <v>#N/A</v>
      </c>
      <c r="I2434" s="6" t="e">
        <f>VLOOKUP('Customer Info'!E2426,'Customer Info'!E2426:E2925,1,0)</f>
        <v>#N/A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155</v>
      </c>
      <c r="R2434" s="2" t="s">
        <v>26</v>
      </c>
      <c r="S2434" s="9">
        <f t="shared" si="189"/>
        <v>0.02</v>
      </c>
    </row>
    <row r="2435" spans="1:19" x14ac:dyDescent="0.3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e">
        <f>VLOOKUP('Customer Info'!B2427,'Customer Info'!B2427:B2926,1,0)</f>
        <v>#N/A</v>
      </c>
      <c r="H2435" s="6" t="e">
        <f>VLOOKUP('Customer Info'!C2427,'Customer Info'!C2427:C2926,1)</f>
        <v>#N/A</v>
      </c>
      <c r="I2435" s="6" t="e">
        <f>VLOOKUP('Customer Info'!E2427,'Customer Info'!E2427:E2926,1,0)</f>
        <v>#N/A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492</v>
      </c>
      <c r="R2435" s="2" t="s">
        <v>28</v>
      </c>
      <c r="S2435" s="9">
        <f t="shared" si="189"/>
        <v>0.05</v>
      </c>
    </row>
    <row r="2436" spans="1:19" x14ac:dyDescent="0.3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e">
        <f>VLOOKUP('Customer Info'!B2428,'Customer Info'!B2428:B2927,1,0)</f>
        <v>#N/A</v>
      </c>
      <c r="H2436" s="6" t="e">
        <f>VLOOKUP('Customer Info'!C2428,'Customer Info'!C2428:C2927,1)</f>
        <v>#N/A</v>
      </c>
      <c r="I2436" s="6" t="e">
        <f>VLOOKUP('Customer Info'!E2428,'Customer Info'!E2428:E2927,1,0)</f>
        <v>#N/A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1144</v>
      </c>
      <c r="R2436" s="2" t="s">
        <v>28</v>
      </c>
      <c r="S2436" s="9">
        <f t="shared" si="189"/>
        <v>0.05</v>
      </c>
    </row>
    <row r="2437" spans="1:19" x14ac:dyDescent="0.3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e">
        <f>VLOOKUP('Customer Info'!B2429,'Customer Info'!B2429:B2928,1,0)</f>
        <v>#N/A</v>
      </c>
      <c r="H2437" s="6" t="e">
        <f>VLOOKUP('Customer Info'!C2429,'Customer Info'!C2429:C2928,1)</f>
        <v>#N/A</v>
      </c>
      <c r="I2437" s="6" t="e">
        <f>VLOOKUP('Customer Info'!E2429,'Customer Info'!E2429:E2928,1,0)</f>
        <v>#N/A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10</v>
      </c>
      <c r="R2437" s="2" t="s">
        <v>26</v>
      </c>
      <c r="S2437" s="9">
        <f t="shared" si="189"/>
        <v>0.02</v>
      </c>
    </row>
    <row r="2438" spans="1:19" x14ac:dyDescent="0.3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e">
        <f>VLOOKUP('Customer Info'!B2430,'Customer Info'!B2430:B2929,1,0)</f>
        <v>#N/A</v>
      </c>
      <c r="H2438" s="6" t="e">
        <f>VLOOKUP('Customer Info'!C2430,'Customer Info'!C2430:C2929,1)</f>
        <v>#N/A</v>
      </c>
      <c r="I2438" s="6" t="e">
        <f>VLOOKUP('Customer Info'!E2430,'Customer Info'!E2430:E2929,1,0)</f>
        <v>#N/A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60</v>
      </c>
      <c r="R2438" s="2" t="s">
        <v>50</v>
      </c>
      <c r="S2438" s="9">
        <f t="shared" si="189"/>
        <v>0.02</v>
      </c>
    </row>
    <row r="2439" spans="1:19" x14ac:dyDescent="0.3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e">
        <f>VLOOKUP('Customer Info'!B2431,'Customer Info'!B2431:B2930,1,0)</f>
        <v>#N/A</v>
      </c>
      <c r="H2439" s="6" t="e">
        <f>VLOOKUP('Customer Info'!C2431,'Customer Info'!C2431:C2930,1)</f>
        <v>#N/A</v>
      </c>
      <c r="I2439" s="6" t="e">
        <f>VLOOKUP('Customer Info'!E2431,'Customer Info'!E2431:E2930,1,0)</f>
        <v>#N/A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170</v>
      </c>
      <c r="R2439" s="2" t="s">
        <v>28</v>
      </c>
      <c r="S2439" s="9">
        <f t="shared" si="189"/>
        <v>0.02</v>
      </c>
    </row>
    <row r="2440" spans="1:19" x14ac:dyDescent="0.3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e">
        <f>VLOOKUP('Customer Info'!B2432,'Customer Info'!B2432:B2931,1,0)</f>
        <v>#N/A</v>
      </c>
      <c r="H2440" s="6" t="e">
        <f>VLOOKUP('Customer Info'!C2432,'Customer Info'!C2432:C2931,1)</f>
        <v>#N/A</v>
      </c>
      <c r="I2440" s="6" t="e">
        <f>VLOOKUP('Customer Info'!E2432,'Customer Info'!E2432:E2931,1,0)</f>
        <v>#N/A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10</v>
      </c>
      <c r="R2440" s="2" t="s">
        <v>50</v>
      </c>
      <c r="S2440" s="9">
        <f t="shared" si="189"/>
        <v>0.02</v>
      </c>
    </row>
    <row r="2441" spans="1:19" x14ac:dyDescent="0.3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e">
        <f>VLOOKUP('Customer Info'!B2433,'Customer Info'!B2433:B2932,1,0)</f>
        <v>#N/A</v>
      </c>
      <c r="H2441" s="6" t="e">
        <f>VLOOKUP('Customer Info'!C2433,'Customer Info'!C2433:C2932,1)</f>
        <v>#N/A</v>
      </c>
      <c r="I2441" s="6" t="e">
        <f>VLOOKUP('Customer Info'!E2433,'Customer Info'!E2433:E2932,1,0)</f>
        <v>#N/A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360</v>
      </c>
      <c r="R2441" s="2" t="s">
        <v>28</v>
      </c>
      <c r="S2441" s="9">
        <f t="shared" si="189"/>
        <v>0.05</v>
      </c>
    </row>
    <row r="2442" spans="1:19" x14ac:dyDescent="0.3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e">
        <f>VLOOKUP('Customer Info'!B2434,'Customer Info'!B2434:B2933,1,0)</f>
        <v>#N/A</v>
      </c>
      <c r="H2442" s="6" t="e">
        <f>VLOOKUP('Customer Info'!C2434,'Customer Info'!C2434:C2933,1)</f>
        <v>#N/A</v>
      </c>
      <c r="I2442" s="6" t="e">
        <f>VLOOKUP('Customer Info'!E2434,'Customer Info'!E2434:E2933,1,0)</f>
        <v>#N/A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10</v>
      </c>
      <c r="R2442" s="2" t="s">
        <v>50</v>
      </c>
      <c r="S2442" s="9">
        <f t="shared" si="189"/>
        <v>0.02</v>
      </c>
    </row>
    <row r="2443" spans="1:19" x14ac:dyDescent="0.3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e">
        <f>VLOOKUP('Customer Info'!B2435,'Customer Info'!B2435:B2934,1,0)</f>
        <v>#N/A</v>
      </c>
      <c r="H2443" s="6" t="e">
        <f>VLOOKUP('Customer Info'!C2435,'Customer Info'!C2435:C2934,1)</f>
        <v>#N/A</v>
      </c>
      <c r="I2443" s="6" t="e">
        <f>VLOOKUP('Customer Info'!E2435,'Customer Info'!E2435:E2934,1,0)</f>
        <v>#N/A</v>
      </c>
      <c r="J2443" s="2">
        <v>1071</v>
      </c>
      <c r="K2443" s="2">
        <v>1010</v>
      </c>
      <c r="L2443" s="2">
        <v>2</v>
      </c>
      <c r="M2443" s="7">
        <f t="shared" ref="M2443:M2506" si="190">(K2443*L2443)</f>
        <v>2020</v>
      </c>
      <c r="N2443" s="7">
        <f t="shared" ref="N2443:N2506" si="191">(J2443*L2443)</f>
        <v>2142</v>
      </c>
      <c r="O2443" s="2">
        <v>41</v>
      </c>
      <c r="P2443" s="8">
        <f t="shared" ref="P2443:P2506" si="192">(N2443+O2443)</f>
        <v>2183</v>
      </c>
      <c r="Q2443" s="8">
        <f t="shared" ref="Q2443:Q2506" si="193">(N2443-M2443)</f>
        <v>122</v>
      </c>
      <c r="R2443" s="2" t="s">
        <v>28</v>
      </c>
      <c r="S2443" s="9">
        <f t="shared" ref="S2443:S2506" si="194">_xlfn.IFS(P2443&gt;250000,0.15,P2443&gt;100000,0.12,P2443&gt;50000,0.09,P2443&gt;25000,0.07,P2443&gt;5000,0.05,
 TRUE,0.02)</f>
        <v>0.02</v>
      </c>
    </row>
    <row r="2444" spans="1:19" x14ac:dyDescent="0.3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e">
        <f>VLOOKUP('Customer Info'!B2436,'Customer Info'!B2436:B2935,1,0)</f>
        <v>#N/A</v>
      </c>
      <c r="H2444" s="6" t="e">
        <f>VLOOKUP('Customer Info'!C2436,'Customer Info'!C2436:C2935,1)</f>
        <v>#N/A</v>
      </c>
      <c r="I2444" s="6" t="e">
        <f>VLOOKUP('Customer Info'!E2436,'Customer Info'!E2436:E2935,1,0)</f>
        <v>#N/A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3856</v>
      </c>
      <c r="R2444" s="2" t="s">
        <v>26</v>
      </c>
      <c r="S2444" s="9">
        <f t="shared" si="194"/>
        <v>7.0000000000000007E-2</v>
      </c>
    </row>
    <row r="2445" spans="1:19" x14ac:dyDescent="0.3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e">
        <f>VLOOKUP('Customer Info'!B2437,'Customer Info'!B2437:B2936,1,0)</f>
        <v>#N/A</v>
      </c>
      <c r="H2445" s="6" t="e">
        <f>VLOOKUP('Customer Info'!C2437,'Customer Info'!C2437:C2936,1)</f>
        <v>#N/A</v>
      </c>
      <c r="I2445" s="6" t="e">
        <f>VLOOKUP('Customer Info'!E2437,'Customer Info'!E2437:E2936,1,0)</f>
        <v>#N/A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16</v>
      </c>
      <c r="R2445" s="2" t="s">
        <v>50</v>
      </c>
      <c r="S2445" s="9">
        <f t="shared" si="194"/>
        <v>0.02</v>
      </c>
    </row>
    <row r="2446" spans="1:19" x14ac:dyDescent="0.3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e">
        <f>VLOOKUP('Customer Info'!B2438,'Customer Info'!B2438:B2937,1,0)</f>
        <v>#N/A</v>
      </c>
      <c r="H2446" s="6" t="e">
        <f>VLOOKUP('Customer Info'!C2438,'Customer Info'!C2438:C2937,1)</f>
        <v>#N/A</v>
      </c>
      <c r="I2446" s="6" t="e">
        <f>VLOOKUP('Customer Info'!E2438,'Customer Info'!E2438:E2937,1,0)</f>
        <v>#N/A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10</v>
      </c>
      <c r="R2446" s="2" t="s">
        <v>50</v>
      </c>
      <c r="S2446" s="9">
        <f t="shared" si="194"/>
        <v>0.02</v>
      </c>
    </row>
    <row r="2447" spans="1:19" x14ac:dyDescent="0.3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e">
        <f>VLOOKUP('Customer Info'!B2439,'Customer Info'!B2439:B2938,1,0)</f>
        <v>#N/A</v>
      </c>
      <c r="H2447" s="6" t="e">
        <f>VLOOKUP('Customer Info'!C2439,'Customer Info'!C2439:C2938,1)</f>
        <v>#N/A</v>
      </c>
      <c r="I2447" s="6" t="e">
        <f>VLOOKUP('Customer Info'!E2439,'Customer Info'!E2439:E2938,1,0)</f>
        <v>#N/A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630</v>
      </c>
      <c r="R2447" s="2" t="s">
        <v>28</v>
      </c>
      <c r="S2447" s="9">
        <f t="shared" si="194"/>
        <v>0.05</v>
      </c>
    </row>
    <row r="2448" spans="1:19" x14ac:dyDescent="0.3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e">
        <f>VLOOKUP('Customer Info'!B2440,'Customer Info'!B2440:B2939,1,0)</f>
        <v>#N/A</v>
      </c>
      <c r="H2448" s="6" t="e">
        <f>VLOOKUP('Customer Info'!C2440,'Customer Info'!C2440:C2939,1)</f>
        <v>#N/A</v>
      </c>
      <c r="I2448" s="6" t="e">
        <f>VLOOKUP('Customer Info'!E2440,'Customer Info'!E2440:E2939,1,0)</f>
        <v>#N/A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130</v>
      </c>
      <c r="R2448" s="2" t="s">
        <v>28</v>
      </c>
      <c r="S2448" s="9">
        <f t="shared" si="194"/>
        <v>0.02</v>
      </c>
    </row>
    <row r="2449" spans="1:19" x14ac:dyDescent="0.3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e">
        <f>VLOOKUP('Customer Info'!B2441,'Customer Info'!B2441:B2940,1,0)</f>
        <v>#N/A</v>
      </c>
      <c r="H2449" s="6" t="e">
        <f>VLOOKUP('Customer Info'!C2441,'Customer Info'!C2441:C2940,1)</f>
        <v>#N/A</v>
      </c>
      <c r="I2449" s="6" t="e">
        <f>VLOOKUP('Customer Info'!E2441,'Customer Info'!E2441:E2940,1,0)</f>
        <v>#N/A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336</v>
      </c>
      <c r="R2449" s="2" t="s">
        <v>28</v>
      </c>
      <c r="S2449" s="9">
        <f t="shared" si="194"/>
        <v>0.02</v>
      </c>
    </row>
    <row r="2450" spans="1:19" x14ac:dyDescent="0.3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e">
        <f>VLOOKUP('Customer Info'!B2442,'Customer Info'!B2442:B2941,1,0)</f>
        <v>#N/A</v>
      </c>
      <c r="H2450" s="6" t="e">
        <f>VLOOKUP('Customer Info'!C2442,'Customer Info'!C2442:C2941,1)</f>
        <v>#N/A</v>
      </c>
      <c r="I2450" s="6" t="e">
        <f>VLOOKUP('Customer Info'!E2442,'Customer Info'!E2442:E2941,1,0)</f>
        <v>#N/A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50</v>
      </c>
      <c r="R2450" s="2" t="s">
        <v>50</v>
      </c>
      <c r="S2450" s="9">
        <f t="shared" si="194"/>
        <v>0.02</v>
      </c>
    </row>
    <row r="2451" spans="1:19" x14ac:dyDescent="0.3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e">
        <f>VLOOKUP('Customer Info'!B2443,'Customer Info'!B2443:B2942,1,0)</f>
        <v>#N/A</v>
      </c>
      <c r="H2451" s="6" t="e">
        <f>VLOOKUP('Customer Info'!C2443,'Customer Info'!C2443:C2942,1)</f>
        <v>#N/A</v>
      </c>
      <c r="I2451" s="6" t="e">
        <f>VLOOKUP('Customer Info'!E2443,'Customer Info'!E2443:E2942,1,0)</f>
        <v>#N/A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65</v>
      </c>
      <c r="R2451" s="2" t="s">
        <v>56</v>
      </c>
      <c r="S2451" s="9">
        <f t="shared" si="194"/>
        <v>0.02</v>
      </c>
    </row>
    <row r="2452" spans="1:19" x14ac:dyDescent="0.3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e">
        <f>VLOOKUP('Customer Info'!B2444,'Customer Info'!B2444:B2943,1,0)</f>
        <v>#N/A</v>
      </c>
      <c r="H2452" s="6" t="e">
        <f>VLOOKUP('Customer Info'!C2444,'Customer Info'!C2444:C2943,1)</f>
        <v>#N/A</v>
      </c>
      <c r="I2452" s="6" t="e">
        <f>VLOOKUP('Customer Info'!E2444,'Customer Info'!E2444:E2943,1,0)</f>
        <v>#N/A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300</v>
      </c>
      <c r="R2452" s="2" t="s">
        <v>28</v>
      </c>
      <c r="S2452" s="9">
        <f t="shared" si="194"/>
        <v>0.02</v>
      </c>
    </row>
    <row r="2453" spans="1:19" x14ac:dyDescent="0.3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e">
        <f>VLOOKUP('Customer Info'!B2445,'Customer Info'!B2445:B2944,1,0)</f>
        <v>#N/A</v>
      </c>
      <c r="H2453" s="6" t="e">
        <f>VLOOKUP('Customer Info'!C2445,'Customer Info'!C2445:C2944,1)</f>
        <v>#N/A</v>
      </c>
      <c r="I2453" s="6" t="e">
        <f>VLOOKUP('Customer Info'!E2445,'Customer Info'!E2445:E2944,1,0)</f>
        <v>#N/A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1056</v>
      </c>
      <c r="R2453" s="2" t="s">
        <v>28</v>
      </c>
      <c r="S2453" s="9">
        <f t="shared" si="194"/>
        <v>0.05</v>
      </c>
    </row>
    <row r="2454" spans="1:19" x14ac:dyDescent="0.3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e">
        <f>VLOOKUP('Customer Info'!B2446,'Customer Info'!B2446:B2945,1,0)</f>
        <v>#N/A</v>
      </c>
      <c r="H2454" s="6" t="e">
        <f>VLOOKUP('Customer Info'!C2446,'Customer Info'!C2446:C2945,1)</f>
        <v>#N/A</v>
      </c>
      <c r="I2454" s="6" t="e">
        <f>VLOOKUP('Customer Info'!E2446,'Customer Info'!E2446:E2945,1,0)</f>
        <v>#N/A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192</v>
      </c>
      <c r="R2454" s="2" t="s">
        <v>26</v>
      </c>
      <c r="S2454" s="9">
        <f t="shared" si="194"/>
        <v>0.02</v>
      </c>
    </row>
    <row r="2455" spans="1:19" x14ac:dyDescent="0.3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e">
        <f>VLOOKUP('Customer Info'!B2447,'Customer Info'!B2447:B2946,1,0)</f>
        <v>#N/A</v>
      </c>
      <c r="H2455" s="6" t="e">
        <f>VLOOKUP('Customer Info'!C2447,'Customer Info'!C2447:C2946,1)</f>
        <v>#N/A</v>
      </c>
      <c r="I2455" s="6" t="e">
        <f>VLOOKUP('Customer Info'!E2447,'Customer Info'!E2447:E2946,1,0)</f>
        <v>#N/A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1945</v>
      </c>
      <c r="R2455" s="2" t="s">
        <v>28</v>
      </c>
      <c r="S2455" s="9">
        <f t="shared" si="194"/>
        <v>0.05</v>
      </c>
    </row>
    <row r="2456" spans="1:19" x14ac:dyDescent="0.3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e">
        <f>VLOOKUP('Customer Info'!B2448,'Customer Info'!B2448:B2947,1,0)</f>
        <v>#N/A</v>
      </c>
      <c r="H2456" s="6" t="e">
        <f>VLOOKUP('Customer Info'!C2448,'Customer Info'!C2448:C2947,1)</f>
        <v>#N/A</v>
      </c>
      <c r="I2456" s="6" t="e">
        <f>VLOOKUP('Customer Info'!E2448,'Customer Info'!E2448:E2947,1,0)</f>
        <v>#N/A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8</v>
      </c>
      <c r="R2456" s="2" t="s">
        <v>28</v>
      </c>
      <c r="S2456" s="9">
        <f t="shared" si="194"/>
        <v>0.02</v>
      </c>
    </row>
    <row r="2457" spans="1:19" x14ac:dyDescent="0.3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e">
        <f>VLOOKUP('Customer Info'!B2449,'Customer Info'!B2449:B2948,1,0)</f>
        <v>#N/A</v>
      </c>
      <c r="H2457" s="6" t="e">
        <f>VLOOKUP('Customer Info'!C2449,'Customer Info'!C2449:C2948,1)</f>
        <v>#N/A</v>
      </c>
      <c r="I2457" s="6" t="e">
        <f>VLOOKUP('Customer Info'!E2449,'Customer Info'!E2449:E2948,1,0)</f>
        <v>#N/A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576</v>
      </c>
      <c r="R2457" s="2" t="s">
        <v>28</v>
      </c>
      <c r="S2457" s="9">
        <f t="shared" si="194"/>
        <v>0.05</v>
      </c>
    </row>
    <row r="2458" spans="1:19" x14ac:dyDescent="0.3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e">
        <f>VLOOKUP('Customer Info'!B2450,'Customer Info'!B2450:B2949,1,0)</f>
        <v>#N/A</v>
      </c>
      <c r="H2458" s="6" t="e">
        <f>VLOOKUP('Customer Info'!C2450,'Customer Info'!C2450:C2949,1)</f>
        <v>#N/A</v>
      </c>
      <c r="I2458" s="6" t="e">
        <f>VLOOKUP('Customer Info'!E2450,'Customer Info'!E2450:E2949,1,0)</f>
        <v>#N/A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408</v>
      </c>
      <c r="R2458" s="2" t="s">
        <v>28</v>
      </c>
      <c r="S2458" s="9">
        <f t="shared" si="194"/>
        <v>0.05</v>
      </c>
    </row>
    <row r="2459" spans="1:19" x14ac:dyDescent="0.3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e">
        <f>VLOOKUP('Customer Info'!B2451,'Customer Info'!B2451:B2950,1,0)</f>
        <v>#N/A</v>
      </c>
      <c r="H2459" s="6" t="e">
        <f>VLOOKUP('Customer Info'!C2451,'Customer Info'!C2451:C2950,1)</f>
        <v>#N/A</v>
      </c>
      <c r="I2459" s="6" t="e">
        <f>VLOOKUP('Customer Info'!E2451,'Customer Info'!E2451:E2950,1,0)</f>
        <v>#N/A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117</v>
      </c>
      <c r="R2459" s="2" t="s">
        <v>50</v>
      </c>
      <c r="S2459" s="9">
        <f t="shared" si="194"/>
        <v>0.02</v>
      </c>
    </row>
    <row r="2460" spans="1:19" x14ac:dyDescent="0.3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e">
        <f>VLOOKUP('Customer Info'!B2452,'Customer Info'!B2452:B2951,1,0)</f>
        <v>#N/A</v>
      </c>
      <c r="H2460" s="6" t="e">
        <f>VLOOKUP('Customer Info'!C2452,'Customer Info'!C2452:C2951,1)</f>
        <v>#N/A</v>
      </c>
      <c r="I2460" s="6" t="e">
        <f>VLOOKUP('Customer Info'!E2452,'Customer Info'!E2452:E2951,1,0)</f>
        <v>#N/A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14</v>
      </c>
      <c r="R2460" s="2" t="s">
        <v>28</v>
      </c>
      <c r="S2460" s="9">
        <f t="shared" si="194"/>
        <v>0.02</v>
      </c>
    </row>
    <row r="2461" spans="1:19" x14ac:dyDescent="0.3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e">
        <f>VLOOKUP('Customer Info'!B2453,'Customer Info'!B2453:B2952,1,0)</f>
        <v>#N/A</v>
      </c>
      <c r="H2461" s="6" t="e">
        <f>VLOOKUP('Customer Info'!C2453,'Customer Info'!C2453:C2952,1)</f>
        <v>#N/A</v>
      </c>
      <c r="I2461" s="6" t="e">
        <f>VLOOKUP('Customer Info'!E2453,'Customer Info'!E2453:E2952,1,0)</f>
        <v>#N/A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2085</v>
      </c>
      <c r="R2461" s="2" t="s">
        <v>28</v>
      </c>
      <c r="S2461" s="9">
        <f t="shared" si="194"/>
        <v>7.0000000000000007E-2</v>
      </c>
    </row>
    <row r="2462" spans="1:19" x14ac:dyDescent="0.3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e">
        <f>VLOOKUP('Customer Info'!B2454,'Customer Info'!B2454:B2953,1,0)</f>
        <v>#N/A</v>
      </c>
      <c r="H2462" s="6" t="e">
        <f>VLOOKUP('Customer Info'!C2454,'Customer Info'!C2454:C2953,1)</f>
        <v>#N/A</v>
      </c>
      <c r="I2462" s="6" t="e">
        <f>VLOOKUP('Customer Info'!E2454,'Customer Info'!E2454:E2953,1,0)</f>
        <v>#N/A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164</v>
      </c>
      <c r="R2462" s="2" t="s">
        <v>28</v>
      </c>
      <c r="S2462" s="9">
        <f t="shared" si="194"/>
        <v>0.02</v>
      </c>
    </row>
    <row r="2463" spans="1:19" x14ac:dyDescent="0.3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e">
        <f>VLOOKUP('Customer Info'!B2455,'Customer Info'!B2455:B2954,1,0)</f>
        <v>#N/A</v>
      </c>
      <c r="H2463" s="6" t="e">
        <f>VLOOKUP('Customer Info'!C2455,'Customer Info'!C2455:C2954,1)</f>
        <v>#N/A</v>
      </c>
      <c r="I2463" s="6" t="e">
        <f>VLOOKUP('Customer Info'!E2455,'Customer Info'!E2455:E2954,1,0)</f>
        <v>#N/A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891</v>
      </c>
      <c r="R2463" s="2" t="s">
        <v>50</v>
      </c>
      <c r="S2463" s="9">
        <f t="shared" si="194"/>
        <v>0.05</v>
      </c>
    </row>
    <row r="2464" spans="1:19" x14ac:dyDescent="0.3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e">
        <f>VLOOKUP('Customer Info'!B2456,'Customer Info'!B2456:B2955,1,0)</f>
        <v>#N/A</v>
      </c>
      <c r="H2464" s="6" t="e">
        <f>VLOOKUP('Customer Info'!C2456,'Customer Info'!C2456:C2955,1)</f>
        <v>#N/A</v>
      </c>
      <c r="I2464" s="6" t="e">
        <f>VLOOKUP('Customer Info'!E2456,'Customer Info'!E2456:E2955,1,0)</f>
        <v>#N/A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441</v>
      </c>
      <c r="R2464" s="2" t="s">
        <v>56</v>
      </c>
      <c r="S2464" s="9">
        <f t="shared" si="194"/>
        <v>0.05</v>
      </c>
    </row>
    <row r="2465" spans="1:19" x14ac:dyDescent="0.3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e">
        <f>VLOOKUP('Customer Info'!B2457,'Customer Info'!B2457:B2956,1,0)</f>
        <v>#N/A</v>
      </c>
      <c r="H2465" s="6" t="e">
        <f>VLOOKUP('Customer Info'!C2457,'Customer Info'!C2457:C2956,1)</f>
        <v>#N/A</v>
      </c>
      <c r="I2465" s="6" t="e">
        <f>VLOOKUP('Customer Info'!E2457,'Customer Info'!E2457:E2956,1,0)</f>
        <v>#N/A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27</v>
      </c>
      <c r="R2465" s="2" t="s">
        <v>26</v>
      </c>
      <c r="S2465" s="9">
        <f t="shared" si="194"/>
        <v>0.02</v>
      </c>
    </row>
    <row r="2466" spans="1:19" x14ac:dyDescent="0.3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e">
        <f>VLOOKUP('Customer Info'!B2458,'Customer Info'!B2458:B2957,1,0)</f>
        <v>#N/A</v>
      </c>
      <c r="H2466" s="6" t="e">
        <f>VLOOKUP('Customer Info'!C2458,'Customer Info'!C2458:C2957,1)</f>
        <v>#N/A</v>
      </c>
      <c r="I2466" s="6" t="e">
        <f>VLOOKUP('Customer Info'!E2458,'Customer Info'!E2458:E2957,1,0)</f>
        <v>#N/A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45</v>
      </c>
      <c r="R2466" s="2" t="s">
        <v>28</v>
      </c>
      <c r="S2466" s="9">
        <f t="shared" si="194"/>
        <v>0.02</v>
      </c>
    </row>
    <row r="2467" spans="1:19" x14ac:dyDescent="0.3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e">
        <f>VLOOKUP('Customer Info'!B2459,'Customer Info'!B2459:B2958,1,0)</f>
        <v>#N/A</v>
      </c>
      <c r="H2467" s="6" t="e">
        <f>VLOOKUP('Customer Info'!C2459,'Customer Info'!C2459:C2958,1)</f>
        <v>#N/A</v>
      </c>
      <c r="I2467" s="6" t="e">
        <f>VLOOKUP('Customer Info'!E2459,'Customer Info'!E2459:E2958,1,0)</f>
        <v>#N/A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819</v>
      </c>
      <c r="R2467" s="2" t="s">
        <v>28</v>
      </c>
      <c r="S2467" s="9">
        <f t="shared" si="194"/>
        <v>0.05</v>
      </c>
    </row>
    <row r="2468" spans="1:19" x14ac:dyDescent="0.3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e">
        <f>VLOOKUP('Customer Info'!B2460,'Customer Info'!B2460:B2959,1,0)</f>
        <v>#N/A</v>
      </c>
      <c r="H2468" s="6" t="e">
        <f>VLOOKUP('Customer Info'!C2460,'Customer Info'!C2460:C2959,1)</f>
        <v>#N/A</v>
      </c>
      <c r="I2468" s="6" t="e">
        <f>VLOOKUP('Customer Info'!E2460,'Customer Info'!E2460:E2959,1,0)</f>
        <v>#N/A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1576</v>
      </c>
      <c r="R2468" s="2" t="s">
        <v>28</v>
      </c>
      <c r="S2468" s="9">
        <f t="shared" si="194"/>
        <v>0.09</v>
      </c>
    </row>
    <row r="2469" spans="1:19" x14ac:dyDescent="0.3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e">
        <f>VLOOKUP('Customer Info'!B2461,'Customer Info'!B2461:B2960,1,0)</f>
        <v>#N/A</v>
      </c>
      <c r="H2469" s="6" t="e">
        <f>VLOOKUP('Customer Info'!C2461,'Customer Info'!C2461:C2960,1)</f>
        <v>#N/A</v>
      </c>
      <c r="I2469" s="6" t="e">
        <f>VLOOKUP('Customer Info'!E2461,'Customer Info'!E2461:E2960,1,0)</f>
        <v>#N/A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264</v>
      </c>
      <c r="R2469" s="2" t="s">
        <v>50</v>
      </c>
      <c r="S2469" s="9">
        <f t="shared" si="194"/>
        <v>0.02</v>
      </c>
    </row>
    <row r="2470" spans="1:19" x14ac:dyDescent="0.3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e">
        <f>VLOOKUP('Customer Info'!B2462,'Customer Info'!B2462:B2961,1,0)</f>
        <v>#N/A</v>
      </c>
      <c r="H2470" s="6" t="e">
        <f>VLOOKUP('Customer Info'!C2462,'Customer Info'!C2462:C2961,1)</f>
        <v>#N/A</v>
      </c>
      <c r="I2470" s="6" t="e">
        <f>VLOOKUP('Customer Info'!E2462,'Customer Info'!E2462:E2961,1,0)</f>
        <v>#N/A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391</v>
      </c>
      <c r="R2470" s="2" t="s">
        <v>26</v>
      </c>
      <c r="S2470" s="9">
        <f t="shared" si="194"/>
        <v>0.02</v>
      </c>
    </row>
    <row r="2471" spans="1:19" x14ac:dyDescent="0.3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e">
        <f>VLOOKUP('Customer Info'!B2463,'Customer Info'!B2463:B2962,1,0)</f>
        <v>#N/A</v>
      </c>
      <c r="H2471" s="6" t="e">
        <f>VLOOKUP('Customer Info'!C2463,'Customer Info'!C2463:C2962,1)</f>
        <v>#N/A</v>
      </c>
      <c r="I2471" s="6" t="e">
        <f>VLOOKUP('Customer Info'!E2463,'Customer Info'!E2463:E2962,1,0)</f>
        <v>#N/A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1755</v>
      </c>
      <c r="R2471" s="2" t="s">
        <v>50</v>
      </c>
      <c r="S2471" s="9">
        <f t="shared" si="194"/>
        <v>0.05</v>
      </c>
    </row>
    <row r="2472" spans="1:19" x14ac:dyDescent="0.3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e">
        <f>VLOOKUP('Customer Info'!B2464,'Customer Info'!B2464:B2963,1,0)</f>
        <v>#N/A</v>
      </c>
      <c r="H2472" s="6" t="e">
        <f>VLOOKUP('Customer Info'!C2464,'Customer Info'!C2464:C2963,1)</f>
        <v>#N/A</v>
      </c>
      <c r="I2472" s="6" t="e">
        <f>VLOOKUP('Customer Info'!E2464,'Customer Info'!E2464:E2963,1,0)</f>
        <v>#N/A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42</v>
      </c>
      <c r="R2472" s="2" t="s">
        <v>50</v>
      </c>
      <c r="S2472" s="9">
        <f t="shared" si="194"/>
        <v>0.02</v>
      </c>
    </row>
    <row r="2473" spans="1:19" x14ac:dyDescent="0.3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e">
        <f>VLOOKUP('Customer Info'!B2465,'Customer Info'!B2465:B2964,1,0)</f>
        <v>#N/A</v>
      </c>
      <c r="H2473" s="6" t="e">
        <f>VLOOKUP('Customer Info'!C2465,'Customer Info'!C2465:C2964,1)</f>
        <v>#N/A</v>
      </c>
      <c r="I2473" s="6" t="e">
        <f>VLOOKUP('Customer Info'!E2465,'Customer Info'!E2465:E2964,1,0)</f>
        <v>#N/A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332</v>
      </c>
      <c r="R2473" s="2" t="s">
        <v>28</v>
      </c>
      <c r="S2473" s="9">
        <f t="shared" si="194"/>
        <v>0.02</v>
      </c>
    </row>
    <row r="2474" spans="1:19" x14ac:dyDescent="0.3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e">
        <f>VLOOKUP('Customer Info'!B2466,'Customer Info'!B2466:B2965,1,0)</f>
        <v>#N/A</v>
      </c>
      <c r="H2474" s="6" t="e">
        <f>VLOOKUP('Customer Info'!C2466,'Customer Info'!C2466:C2965,1)</f>
        <v>#N/A</v>
      </c>
      <c r="I2474" s="6" t="e">
        <f>VLOOKUP('Customer Info'!E2466,'Customer Info'!E2466:E2965,1,0)</f>
        <v>#N/A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260</v>
      </c>
      <c r="R2474" s="2" t="s">
        <v>28</v>
      </c>
      <c r="S2474" s="9">
        <f t="shared" si="194"/>
        <v>0.05</v>
      </c>
    </row>
    <row r="2475" spans="1:19" x14ac:dyDescent="0.3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e">
        <f>VLOOKUP('Customer Info'!B2467,'Customer Info'!B2467:B2966,1,0)</f>
        <v>#N/A</v>
      </c>
      <c r="H2475" s="6" t="e">
        <f>VLOOKUP('Customer Info'!C2467,'Customer Info'!C2467:C2966,1)</f>
        <v>#N/A</v>
      </c>
      <c r="I2475" s="6" t="e">
        <f>VLOOKUP('Customer Info'!E2467,'Customer Info'!E2467:E2966,1,0)</f>
        <v>#N/A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398</v>
      </c>
      <c r="R2475" s="2" t="s">
        <v>28</v>
      </c>
      <c r="S2475" s="9">
        <f t="shared" si="194"/>
        <v>0.05</v>
      </c>
    </row>
    <row r="2476" spans="1:19" x14ac:dyDescent="0.3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e">
        <f>VLOOKUP('Customer Info'!B2468,'Customer Info'!B2468:B2967,1,0)</f>
        <v>#N/A</v>
      </c>
      <c r="H2476" s="6" t="e">
        <f>VLOOKUP('Customer Info'!C2468,'Customer Info'!C2468:C2967,1)</f>
        <v>#N/A</v>
      </c>
      <c r="I2476" s="6" t="e">
        <f>VLOOKUP('Customer Info'!E2468,'Customer Info'!E2468:E2967,1,0)</f>
        <v>#N/A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90</v>
      </c>
      <c r="R2476" s="2" t="s">
        <v>28</v>
      </c>
      <c r="S2476" s="9">
        <f t="shared" si="194"/>
        <v>0.02</v>
      </c>
    </row>
    <row r="2477" spans="1:19" x14ac:dyDescent="0.3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e">
        <f>VLOOKUP('Customer Info'!B2469,'Customer Info'!B2469:B2968,1,0)</f>
        <v>#N/A</v>
      </c>
      <c r="H2477" s="6" t="e">
        <f>VLOOKUP('Customer Info'!C2469,'Customer Info'!C2469:C2968,1)</f>
        <v>#N/A</v>
      </c>
      <c r="I2477" s="6" t="e">
        <f>VLOOKUP('Customer Info'!E2469,'Customer Info'!E2469:E2968,1,0)</f>
        <v>#N/A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332</v>
      </c>
      <c r="R2477" s="2" t="s">
        <v>26</v>
      </c>
      <c r="S2477" s="9">
        <f t="shared" si="194"/>
        <v>0.02</v>
      </c>
    </row>
    <row r="2478" spans="1:19" x14ac:dyDescent="0.3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e">
        <f>VLOOKUP('Customer Info'!B2470,'Customer Info'!B2470:B2969,1,0)</f>
        <v>#N/A</v>
      </c>
      <c r="H2478" s="6" t="e">
        <f>VLOOKUP('Customer Info'!C2470,'Customer Info'!C2470:C2969,1)</f>
        <v>#N/A</v>
      </c>
      <c r="I2478" s="6" t="e">
        <f>VLOOKUP('Customer Info'!E2470,'Customer Info'!E2470:E2969,1,0)</f>
        <v>#N/A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356</v>
      </c>
      <c r="R2478" s="2" t="s">
        <v>50</v>
      </c>
      <c r="S2478" s="9">
        <f t="shared" si="194"/>
        <v>0.02</v>
      </c>
    </row>
    <row r="2479" spans="1:19" x14ac:dyDescent="0.3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e">
        <f>VLOOKUP('Customer Info'!B2471,'Customer Info'!B2471:B2970,1,0)</f>
        <v>#N/A</v>
      </c>
      <c r="H2479" s="6" t="e">
        <f>VLOOKUP('Customer Info'!C2471,'Customer Info'!C2471:C2970,1)</f>
        <v>#N/A</v>
      </c>
      <c r="I2479" s="6" t="e">
        <f>VLOOKUP('Customer Info'!E2471,'Customer Info'!E2471:E2970,1,0)</f>
        <v>#N/A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286</v>
      </c>
      <c r="R2479" s="2" t="s">
        <v>28</v>
      </c>
      <c r="S2479" s="9">
        <f t="shared" si="194"/>
        <v>0.05</v>
      </c>
    </row>
    <row r="2480" spans="1:19" x14ac:dyDescent="0.3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e">
        <f>VLOOKUP('Customer Info'!B2472,'Customer Info'!B2472:B2971,1,0)</f>
        <v>#N/A</v>
      </c>
      <c r="H2480" s="6" t="e">
        <f>VLOOKUP('Customer Info'!C2472,'Customer Info'!C2472:C2971,1)</f>
        <v>#N/A</v>
      </c>
      <c r="I2480" s="6" t="e">
        <f>VLOOKUP('Customer Info'!E2472,'Customer Info'!E2472:E2971,1,0)</f>
        <v>#N/A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634</v>
      </c>
      <c r="R2480" s="2" t="s">
        <v>28</v>
      </c>
      <c r="S2480" s="9">
        <f t="shared" si="194"/>
        <v>0.05</v>
      </c>
    </row>
    <row r="2481" spans="1:19" x14ac:dyDescent="0.3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e">
        <f>VLOOKUP('Customer Info'!B2473,'Customer Info'!B2473:B2972,1,0)</f>
        <v>#N/A</v>
      </c>
      <c r="H2481" s="6" t="e">
        <f>VLOOKUP('Customer Info'!C2473,'Customer Info'!C2473:C2972,1)</f>
        <v>#N/A</v>
      </c>
      <c r="I2481" s="6" t="e">
        <f>VLOOKUP('Customer Info'!E2473,'Customer Info'!E2473:E2972,1,0)</f>
        <v>#N/A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8</v>
      </c>
      <c r="R2481" s="2" t="s">
        <v>50</v>
      </c>
      <c r="S2481" s="9">
        <f t="shared" si="194"/>
        <v>0.02</v>
      </c>
    </row>
    <row r="2482" spans="1:19" x14ac:dyDescent="0.3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e">
        <f>VLOOKUP('Customer Info'!B2474,'Customer Info'!B2474:B2973,1,0)</f>
        <v>#N/A</v>
      </c>
      <c r="H2482" s="6" t="e">
        <f>VLOOKUP('Customer Info'!C2474,'Customer Info'!C2474:C2973,1)</f>
        <v>#N/A</v>
      </c>
      <c r="I2482" s="6" t="e">
        <f>VLOOKUP('Customer Info'!E2474,'Customer Info'!E2474:E2973,1,0)</f>
        <v>#N/A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118</v>
      </c>
      <c r="R2482" s="2" t="s">
        <v>28</v>
      </c>
      <c r="S2482" s="9">
        <f t="shared" si="194"/>
        <v>0.02</v>
      </c>
    </row>
    <row r="2483" spans="1:19" x14ac:dyDescent="0.3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e">
        <f>VLOOKUP('Customer Info'!B2475,'Customer Info'!B2475:B2974,1,0)</f>
        <v>#N/A</v>
      </c>
      <c r="H2483" s="6" t="e">
        <f>VLOOKUP('Customer Info'!C2475,'Customer Info'!C2475:C2974,1)</f>
        <v>#N/A</v>
      </c>
      <c r="I2483" s="6" t="e">
        <f>VLOOKUP('Customer Info'!E2475,'Customer Info'!E2475:E2974,1,0)</f>
        <v>#N/A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15</v>
      </c>
      <c r="R2483" s="2" t="s">
        <v>28</v>
      </c>
      <c r="S2483" s="9">
        <f t="shared" si="194"/>
        <v>0.02</v>
      </c>
    </row>
    <row r="2484" spans="1:19" x14ac:dyDescent="0.3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e">
        <f>VLOOKUP('Customer Info'!B2476,'Customer Info'!B2476:B2975,1,0)</f>
        <v>#N/A</v>
      </c>
      <c r="H2484" s="6" t="e">
        <f>VLOOKUP('Customer Info'!C2476,'Customer Info'!C2476:C2975,1)</f>
        <v>#N/A</v>
      </c>
      <c r="I2484" s="6" t="e">
        <f>VLOOKUP('Customer Info'!E2476,'Customer Info'!E2476:E2975,1,0)</f>
        <v>#N/A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819</v>
      </c>
      <c r="R2484" s="2" t="s">
        <v>28</v>
      </c>
      <c r="S2484" s="9">
        <f t="shared" si="194"/>
        <v>0.05</v>
      </c>
    </row>
    <row r="2485" spans="1:19" x14ac:dyDescent="0.3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e">
        <f>VLOOKUP('Customer Info'!B2477,'Customer Info'!B2477:B2976,1,0)</f>
        <v>#N/A</v>
      </c>
      <c r="H2485" s="6" t="e">
        <f>VLOOKUP('Customer Info'!C2477,'Customer Info'!C2477:C2976,1)</f>
        <v>#N/A</v>
      </c>
      <c r="I2485" s="6" t="e">
        <f>VLOOKUP('Customer Info'!E2477,'Customer Info'!E2477:E2976,1,0)</f>
        <v>#N/A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1300</v>
      </c>
      <c r="R2485" s="2" t="s">
        <v>50</v>
      </c>
      <c r="S2485" s="9">
        <f t="shared" si="194"/>
        <v>0.05</v>
      </c>
    </row>
    <row r="2486" spans="1:19" x14ac:dyDescent="0.3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e">
        <f>VLOOKUP('Customer Info'!B2478,'Customer Info'!B2478:B2977,1,0)</f>
        <v>#N/A</v>
      </c>
      <c r="H2486" s="6" t="e">
        <f>VLOOKUP('Customer Info'!C2478,'Customer Info'!C2478:C2977,1)</f>
        <v>#N/A</v>
      </c>
      <c r="I2486" s="6" t="e">
        <f>VLOOKUP('Customer Info'!E2478,'Customer Info'!E2478:E2977,1,0)</f>
        <v>#N/A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474</v>
      </c>
      <c r="R2486" s="2" t="s">
        <v>28</v>
      </c>
      <c r="S2486" s="9">
        <f t="shared" si="194"/>
        <v>0.05</v>
      </c>
    </row>
    <row r="2487" spans="1:19" x14ac:dyDescent="0.3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e">
        <f>VLOOKUP('Customer Info'!B2479,'Customer Info'!B2479:B2978,1,0)</f>
        <v>#N/A</v>
      </c>
      <c r="H2487" s="6" t="e">
        <f>VLOOKUP('Customer Info'!C2479,'Customer Info'!C2479:C2978,1)</f>
        <v>#N/A</v>
      </c>
      <c r="I2487" s="6" t="e">
        <f>VLOOKUP('Customer Info'!E2479,'Customer Info'!E2479:E2978,1,0)</f>
        <v>#N/A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64</v>
      </c>
      <c r="R2487" s="2" t="s">
        <v>28</v>
      </c>
      <c r="S2487" s="9">
        <f t="shared" si="194"/>
        <v>0.02</v>
      </c>
    </row>
    <row r="2488" spans="1:19" x14ac:dyDescent="0.3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e">
        <f>VLOOKUP('Customer Info'!B2480,'Customer Info'!B2480:B2979,1,0)</f>
        <v>#N/A</v>
      </c>
      <c r="H2488" s="6" t="e">
        <f>VLOOKUP('Customer Info'!C2480,'Customer Info'!C2480:C2979,1)</f>
        <v>#N/A</v>
      </c>
      <c r="I2488" s="6" t="e">
        <f>VLOOKUP('Customer Info'!E2480,'Customer Info'!E2480:E2979,1,0)</f>
        <v>#N/A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616</v>
      </c>
      <c r="R2488" s="2" t="s">
        <v>56</v>
      </c>
      <c r="S2488" s="9">
        <f t="shared" si="194"/>
        <v>0.05</v>
      </c>
    </row>
    <row r="2489" spans="1:19" x14ac:dyDescent="0.3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e">
        <f>VLOOKUP('Customer Info'!B2481,'Customer Info'!B2481:B2980,1,0)</f>
        <v>#N/A</v>
      </c>
      <c r="H2489" s="6" t="e">
        <f>VLOOKUP('Customer Info'!C2481,'Customer Info'!C2481:C2980,1)</f>
        <v>#N/A</v>
      </c>
      <c r="I2489" s="6" t="e">
        <f>VLOOKUP('Customer Info'!E2481,'Customer Info'!E2481:E2980,1,0)</f>
        <v>#N/A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3804</v>
      </c>
      <c r="R2489" s="2" t="s">
        <v>28</v>
      </c>
      <c r="S2489" s="9">
        <f t="shared" si="194"/>
        <v>7.0000000000000007E-2</v>
      </c>
    </row>
    <row r="2490" spans="1:19" x14ac:dyDescent="0.3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e">
        <f>VLOOKUP('Customer Info'!B2482,'Customer Info'!B2482:B2981,1,0)</f>
        <v>#N/A</v>
      </c>
      <c r="H2490" s="6" t="e">
        <f>VLOOKUP('Customer Info'!C2482,'Customer Info'!C2482:C2981,1)</f>
        <v>#N/A</v>
      </c>
      <c r="I2490" s="6" t="e">
        <f>VLOOKUP('Customer Info'!E2482,'Customer Info'!E2482:E2981,1,0)</f>
        <v>#N/A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459</v>
      </c>
      <c r="R2490" s="2" t="s">
        <v>28</v>
      </c>
      <c r="S2490" s="9">
        <f t="shared" si="194"/>
        <v>0.05</v>
      </c>
    </row>
    <row r="2491" spans="1:19" x14ac:dyDescent="0.3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e">
        <f>VLOOKUP('Customer Info'!B2483,'Customer Info'!B2483:B2982,1,0)</f>
        <v>#N/A</v>
      </c>
      <c r="H2491" s="6" t="e">
        <f>VLOOKUP('Customer Info'!C2483,'Customer Info'!C2483:C2982,1)</f>
        <v>#N/A</v>
      </c>
      <c r="I2491" s="6" t="e">
        <f>VLOOKUP('Customer Info'!E2483,'Customer Info'!E2483:E2982,1,0)</f>
        <v>#N/A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20</v>
      </c>
      <c r="R2491" s="2" t="s">
        <v>28</v>
      </c>
      <c r="S2491" s="9">
        <f t="shared" si="194"/>
        <v>0.02</v>
      </c>
    </row>
    <row r="2492" spans="1:19" x14ac:dyDescent="0.3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e">
        <f>VLOOKUP('Customer Info'!B2484,'Customer Info'!B2484:B2983,1,0)</f>
        <v>#N/A</v>
      </c>
      <c r="H2492" s="6" t="e">
        <f>VLOOKUP('Customer Info'!C2484,'Customer Info'!C2484:C2983,1)</f>
        <v>#N/A</v>
      </c>
      <c r="I2492" s="6" t="e">
        <f>VLOOKUP('Customer Info'!E2484,'Customer Info'!E2484:E2983,1,0)</f>
        <v>#N/A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992</v>
      </c>
      <c r="R2492" s="2" t="s">
        <v>50</v>
      </c>
      <c r="S2492" s="9">
        <f t="shared" si="194"/>
        <v>0.05</v>
      </c>
    </row>
    <row r="2493" spans="1:19" x14ac:dyDescent="0.3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e">
        <f>VLOOKUP('Customer Info'!B2485,'Customer Info'!B2485:B2984,1,0)</f>
        <v>#N/A</v>
      </c>
      <c r="H2493" s="6" t="e">
        <f>VLOOKUP('Customer Info'!C2485,'Customer Info'!C2485:C2984,1)</f>
        <v>#N/A</v>
      </c>
      <c r="I2493" s="6" t="e">
        <f>VLOOKUP('Customer Info'!E2485,'Customer Info'!E2485:E2984,1,0)</f>
        <v>#N/A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315</v>
      </c>
      <c r="R2493" s="2" t="s">
        <v>50</v>
      </c>
      <c r="S2493" s="9">
        <f t="shared" si="194"/>
        <v>0.02</v>
      </c>
    </row>
    <row r="2494" spans="1:19" x14ac:dyDescent="0.3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e">
        <f>VLOOKUP('Customer Info'!B2486,'Customer Info'!B2486:B2985,1,0)</f>
        <v>#N/A</v>
      </c>
      <c r="H2494" s="6" t="e">
        <f>VLOOKUP('Customer Info'!C2486,'Customer Info'!C2486:C2985,1)</f>
        <v>#N/A</v>
      </c>
      <c r="I2494" s="6" t="e">
        <f>VLOOKUP('Customer Info'!E2486,'Customer Info'!E2486:E2985,1,0)</f>
        <v>#N/A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212</v>
      </c>
      <c r="R2494" s="2" t="s">
        <v>50</v>
      </c>
      <c r="S2494" s="9">
        <f t="shared" si="194"/>
        <v>0.02</v>
      </c>
    </row>
    <row r="2495" spans="1:19" x14ac:dyDescent="0.3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e">
        <f>VLOOKUP('Customer Info'!B2487,'Customer Info'!B2487:B2986,1,0)</f>
        <v>#N/A</v>
      </c>
      <c r="H2495" s="6" t="e">
        <f>VLOOKUP('Customer Info'!C2487,'Customer Info'!C2487:C2986,1)</f>
        <v>#N/A</v>
      </c>
      <c r="I2495" s="6" t="e">
        <f>VLOOKUP('Customer Info'!E2487,'Customer Info'!E2487:E2986,1,0)</f>
        <v>#N/A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5</v>
      </c>
      <c r="R2495" s="2" t="s">
        <v>28</v>
      </c>
      <c r="S2495" s="9">
        <f t="shared" si="194"/>
        <v>0.02</v>
      </c>
    </row>
    <row r="2496" spans="1:19" x14ac:dyDescent="0.3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e">
        <f>VLOOKUP('Customer Info'!B2488,'Customer Info'!B2488:B2987,1,0)</f>
        <v>#N/A</v>
      </c>
      <c r="H2496" s="6" t="e">
        <f>VLOOKUP('Customer Info'!C2488,'Customer Info'!C2488:C2987,1)</f>
        <v>#N/A</v>
      </c>
      <c r="I2496" s="6" t="e">
        <f>VLOOKUP('Customer Info'!E2488,'Customer Info'!E2488:E2987,1,0)</f>
        <v>#N/A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182</v>
      </c>
      <c r="R2496" s="2" t="s">
        <v>28</v>
      </c>
      <c r="S2496" s="9">
        <f t="shared" si="194"/>
        <v>0.02</v>
      </c>
    </row>
    <row r="2497" spans="1:19" x14ac:dyDescent="0.3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e">
        <f>VLOOKUP('Customer Info'!B2489,'Customer Info'!B2489:B2988,1,0)</f>
        <v>#N/A</v>
      </c>
      <c r="H2497" s="6" t="e">
        <f>VLOOKUP('Customer Info'!C2489,'Customer Info'!C2489:C2988,1)</f>
        <v>#N/A</v>
      </c>
      <c r="I2497" s="6" t="e">
        <f>VLOOKUP('Customer Info'!E2489,'Customer Info'!E2489:E2988,1,0)</f>
        <v>#N/A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536</v>
      </c>
      <c r="R2497" s="2" t="s">
        <v>28</v>
      </c>
      <c r="S2497" s="9">
        <f t="shared" si="194"/>
        <v>0.05</v>
      </c>
    </row>
    <row r="2498" spans="1:19" x14ac:dyDescent="0.3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e">
        <f>VLOOKUP('Customer Info'!B2490,'Customer Info'!B2490:B2989,1,0)</f>
        <v>#N/A</v>
      </c>
      <c r="H2498" s="6" t="e">
        <f>VLOOKUP('Customer Info'!C2490,'Customer Info'!C2490:C2989,1)</f>
        <v>#N/A</v>
      </c>
      <c r="I2498" s="6" t="e">
        <f>VLOOKUP('Customer Info'!E2490,'Customer Info'!E2490:E2989,1,0)</f>
        <v>#N/A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452</v>
      </c>
      <c r="R2498" s="2" t="s">
        <v>28</v>
      </c>
      <c r="S2498" s="9">
        <f t="shared" si="194"/>
        <v>0.05</v>
      </c>
    </row>
    <row r="2499" spans="1:19" x14ac:dyDescent="0.3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e">
        <f>VLOOKUP('Customer Info'!B2491,'Customer Info'!B2491:B2990,1,0)</f>
        <v>#N/A</v>
      </c>
      <c r="H2499" s="6" t="e">
        <f>VLOOKUP('Customer Info'!C2491,'Customer Info'!C2491:C2990,1)</f>
        <v>#N/A</v>
      </c>
      <c r="I2499" s="6" t="e">
        <f>VLOOKUP('Customer Info'!E2491,'Customer Info'!E2491:E2990,1,0)</f>
        <v>#N/A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580</v>
      </c>
      <c r="R2499" s="2" t="s">
        <v>28</v>
      </c>
      <c r="S2499" s="9">
        <f t="shared" si="194"/>
        <v>0.05</v>
      </c>
    </row>
    <row r="2500" spans="1:19" x14ac:dyDescent="0.3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e">
        <f>VLOOKUP('Customer Info'!B2492,'Customer Info'!B2492:B2991,1,0)</f>
        <v>#N/A</v>
      </c>
      <c r="H2500" s="6" t="e">
        <f>VLOOKUP('Customer Info'!C2492,'Customer Info'!C2492:C2991,1)</f>
        <v>#N/A</v>
      </c>
      <c r="I2500" s="6" t="e">
        <f>VLOOKUP('Customer Info'!E2492,'Customer Info'!E2492:E2991,1,0)</f>
        <v>#N/A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237</v>
      </c>
      <c r="R2500" s="2" t="s">
        <v>50</v>
      </c>
      <c r="S2500" s="9">
        <f t="shared" si="194"/>
        <v>0.02</v>
      </c>
    </row>
    <row r="2501" spans="1:19" x14ac:dyDescent="0.3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e">
        <f>VLOOKUP('Customer Info'!B2493,'Customer Info'!B2493:B2992,1,0)</f>
        <v>#N/A</v>
      </c>
      <c r="H2501" s="6" t="e">
        <f>VLOOKUP('Customer Info'!C2493,'Customer Info'!C2493:C2992,1)</f>
        <v>#N/A</v>
      </c>
      <c r="I2501" s="6" t="e">
        <f>VLOOKUP('Customer Info'!E2493,'Customer Info'!E2493:E2992,1,0)</f>
        <v>#N/A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200</v>
      </c>
      <c r="R2501" s="2" t="s">
        <v>50</v>
      </c>
      <c r="S2501" s="9">
        <f t="shared" si="194"/>
        <v>0.02</v>
      </c>
    </row>
    <row r="2502" spans="1:19" x14ac:dyDescent="0.3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e">
        <f>VLOOKUP('Customer Info'!B2494,'Customer Info'!B2494:B2993,1,0)</f>
        <v>#N/A</v>
      </c>
      <c r="H2502" s="6" t="e">
        <f>VLOOKUP('Customer Info'!C2494,'Customer Info'!C2494:C2993,1)</f>
        <v>#N/A</v>
      </c>
      <c r="I2502" s="6" t="e">
        <f>VLOOKUP('Customer Info'!E2494,'Customer Info'!E2494:E2993,1,0)</f>
        <v>#N/A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46</v>
      </c>
      <c r="R2502" s="2" t="s">
        <v>50</v>
      </c>
      <c r="S2502" s="9">
        <f t="shared" si="194"/>
        <v>0.02</v>
      </c>
    </row>
    <row r="2503" spans="1:19" x14ac:dyDescent="0.3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e">
        <f>VLOOKUP('Customer Info'!B2495,'Customer Info'!B2495:B2994,1,0)</f>
        <v>#N/A</v>
      </c>
      <c r="H2503" s="6" t="e">
        <f>VLOOKUP('Customer Info'!C2495,'Customer Info'!C2495:C2994,1)</f>
        <v>#N/A</v>
      </c>
      <c r="I2503" s="6" t="e">
        <f>VLOOKUP('Customer Info'!E2495,'Customer Info'!E2495:E2994,1,0)</f>
        <v>#N/A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18</v>
      </c>
      <c r="R2503" s="2" t="s">
        <v>28</v>
      </c>
      <c r="S2503" s="9">
        <f t="shared" si="194"/>
        <v>0.02</v>
      </c>
    </row>
    <row r="2504" spans="1:19" x14ac:dyDescent="0.3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e">
        <f>VLOOKUP('Customer Info'!B2496,'Customer Info'!B2496:B2995,1,0)</f>
        <v>#N/A</v>
      </c>
      <c r="H2504" s="6" t="e">
        <f>VLOOKUP('Customer Info'!C2496,'Customer Info'!C2496:C2995,1)</f>
        <v>#N/A</v>
      </c>
      <c r="I2504" s="6" t="e">
        <f>VLOOKUP('Customer Info'!E2496,'Customer Info'!E2496:E2995,1,0)</f>
        <v>#N/A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282</v>
      </c>
      <c r="R2504" s="2" t="s">
        <v>50</v>
      </c>
      <c r="S2504" s="9">
        <f t="shared" si="194"/>
        <v>0.02</v>
      </c>
    </row>
    <row r="2505" spans="1:19" x14ac:dyDescent="0.3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e">
        <f>VLOOKUP('Customer Info'!B2497,'Customer Info'!B2497:B2996,1,0)</f>
        <v>#N/A</v>
      </c>
      <c r="H2505" s="6" t="e">
        <f>VLOOKUP('Customer Info'!C2497,'Customer Info'!C2497:C2996,1)</f>
        <v>#N/A</v>
      </c>
      <c r="I2505" s="6" t="e">
        <f>VLOOKUP('Customer Info'!E2497,'Customer Info'!E2497:E2996,1,0)</f>
        <v>#N/A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1040</v>
      </c>
      <c r="R2505" s="2" t="s">
        <v>28</v>
      </c>
      <c r="S2505" s="9">
        <f t="shared" si="194"/>
        <v>0.05</v>
      </c>
    </row>
    <row r="2506" spans="1:19" x14ac:dyDescent="0.3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e">
        <f>VLOOKUP('Customer Info'!B2498,'Customer Info'!B2498:B2997,1,0)</f>
        <v>#N/A</v>
      </c>
      <c r="H2506" s="6" t="e">
        <f>VLOOKUP('Customer Info'!C2498,'Customer Info'!C2498:C2997,1)</f>
        <v>#N/A</v>
      </c>
      <c r="I2506" s="6" t="e">
        <f>VLOOKUP('Customer Info'!E2498,'Customer Info'!E2498:E2997,1,0)</f>
        <v>#N/A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126</v>
      </c>
      <c r="R2506" s="2" t="s">
        <v>28</v>
      </c>
      <c r="S2506" s="9">
        <f t="shared" si="194"/>
        <v>0.02</v>
      </c>
    </row>
    <row r="2507" spans="1:19" x14ac:dyDescent="0.3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e">
        <f>VLOOKUP('Customer Info'!B2499,'Customer Info'!B2499:B2998,1,0)</f>
        <v>#N/A</v>
      </c>
      <c r="H2507" s="6" t="e">
        <f>VLOOKUP('Customer Info'!C2499,'Customer Info'!C2499:C2998,1)</f>
        <v>#N/A</v>
      </c>
      <c r="I2507" s="6" t="e">
        <f>VLOOKUP('Customer Info'!E2499,'Customer Info'!E2499:E2998,1,0)</f>
        <v>#N/A</v>
      </c>
      <c r="J2507" s="2">
        <v>1512</v>
      </c>
      <c r="K2507" s="2">
        <v>1497</v>
      </c>
      <c r="L2507" s="2">
        <v>3</v>
      </c>
      <c r="M2507" s="7">
        <f t="shared" ref="M2507:M2570" si="195">(K2507*L2507)</f>
        <v>4491</v>
      </c>
      <c r="N2507" s="7">
        <f t="shared" ref="N2507:N2570" si="196">(J2507*L2507)</f>
        <v>4536</v>
      </c>
      <c r="O2507" s="2">
        <v>82</v>
      </c>
      <c r="P2507" s="8">
        <f t="shared" ref="P2507:P2570" si="197">(N2507+O2507)</f>
        <v>4618</v>
      </c>
      <c r="Q2507" s="8">
        <f t="shared" ref="Q2507:Q2570" si="198">(N2507-M2507)</f>
        <v>45</v>
      </c>
      <c r="R2507" s="2" t="s">
        <v>28</v>
      </c>
      <c r="S2507" s="9">
        <f t="shared" ref="S2507:S2570" si="199">_xlfn.IFS(P2507&gt;250000,0.15,P2507&gt;100000,0.12,P2507&gt;50000,0.09,P2507&gt;25000,0.07,P2507&gt;5000,0.05,
 TRUE,0.02)</f>
        <v>0.02</v>
      </c>
    </row>
    <row r="2508" spans="1:19" x14ac:dyDescent="0.3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e">
        <f>VLOOKUP('Customer Info'!B2500,'Customer Info'!B2500:B2999,1,0)</f>
        <v>#N/A</v>
      </c>
      <c r="H2508" s="6" t="e">
        <f>VLOOKUP('Customer Info'!C2500,'Customer Info'!C2500:C2999,1)</f>
        <v>#N/A</v>
      </c>
      <c r="I2508" s="6" t="e">
        <f>VLOOKUP('Customer Info'!E2500,'Customer Info'!E2500:E2999,1,0)</f>
        <v>#N/A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2760</v>
      </c>
      <c r="R2508" s="2" t="s">
        <v>28</v>
      </c>
      <c r="S2508" s="9">
        <f t="shared" si="199"/>
        <v>7.0000000000000007E-2</v>
      </c>
    </row>
    <row r="2509" spans="1:19" x14ac:dyDescent="0.3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e">
        <f>VLOOKUP('Customer Info'!B2501,'Customer Info'!B2501:B3000,1,0)</f>
        <v>#N/A</v>
      </c>
      <c r="H2509" s="6" t="e">
        <f>VLOOKUP('Customer Info'!C2501,'Customer Info'!C2501:C3000,1)</f>
        <v>#N/A</v>
      </c>
      <c r="I2509" s="6" t="e">
        <f>VLOOKUP('Customer Info'!E2501,'Customer Info'!E2501:E3000,1,0)</f>
        <v>#N/A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856</v>
      </c>
      <c r="R2509" s="2" t="s">
        <v>28</v>
      </c>
      <c r="S2509" s="9">
        <f t="shared" si="199"/>
        <v>0.05</v>
      </c>
    </row>
    <row r="2510" spans="1:19" x14ac:dyDescent="0.3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e">
        <f>VLOOKUP('Customer Info'!B2502,'Customer Info'!B2502:B3001,1,0)</f>
        <v>#N/A</v>
      </c>
      <c r="H2510" s="6" t="e">
        <f>VLOOKUP('Customer Info'!C2502,'Customer Info'!C2502:C3001,1)</f>
        <v>#N/A</v>
      </c>
      <c r="I2510" s="6" t="e">
        <f>VLOOKUP('Customer Info'!E2502,'Customer Info'!E2502:E3001,1,0)</f>
        <v>#N/A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378</v>
      </c>
      <c r="R2510" s="2" t="s">
        <v>26</v>
      </c>
      <c r="S2510" s="9">
        <f t="shared" si="199"/>
        <v>0.05</v>
      </c>
    </row>
    <row r="2511" spans="1:19" x14ac:dyDescent="0.3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e">
        <f>VLOOKUP('Customer Info'!B2503,'Customer Info'!B2503:B3002,1,0)</f>
        <v>#N/A</v>
      </c>
      <c r="H2511" s="6" t="e">
        <f>VLOOKUP('Customer Info'!C2503,'Customer Info'!C2503:C3002,1)</f>
        <v>#N/A</v>
      </c>
      <c r="I2511" s="6" t="e">
        <f>VLOOKUP('Customer Info'!E2503,'Customer Info'!E2503:E3002,1,0)</f>
        <v>#N/A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192</v>
      </c>
      <c r="R2511" s="2" t="s">
        <v>50</v>
      </c>
      <c r="S2511" s="9">
        <f t="shared" si="199"/>
        <v>0.02</v>
      </c>
    </row>
    <row r="2512" spans="1:19" x14ac:dyDescent="0.3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e">
        <f>VLOOKUP('Customer Info'!B2504,'Customer Info'!B2504:B3003,1,0)</f>
        <v>#N/A</v>
      </c>
      <c r="H2512" s="6" t="e">
        <f>VLOOKUP('Customer Info'!C2504,'Customer Info'!C2504:C3003,1)</f>
        <v>#N/A</v>
      </c>
      <c r="I2512" s="6" t="e">
        <f>VLOOKUP('Customer Info'!E2504,'Customer Info'!E2504:E3003,1,0)</f>
        <v>#N/A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1838</v>
      </c>
      <c r="R2512" s="2" t="s">
        <v>28</v>
      </c>
      <c r="S2512" s="9">
        <f t="shared" si="199"/>
        <v>0.05</v>
      </c>
    </row>
    <row r="2513" spans="1:19" x14ac:dyDescent="0.3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e">
        <f>VLOOKUP('Customer Info'!B2505,'Customer Info'!B2505:B3004,1,0)</f>
        <v>#N/A</v>
      </c>
      <c r="H2513" s="6" t="e">
        <f>VLOOKUP('Customer Info'!C2505,'Customer Info'!C2505:C3004,1)</f>
        <v>#N/A</v>
      </c>
      <c r="I2513" s="6" t="e">
        <f>VLOOKUP('Customer Info'!E2505,'Customer Info'!E2505:E3004,1,0)</f>
        <v>#N/A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195</v>
      </c>
      <c r="R2513" s="2" t="s">
        <v>28</v>
      </c>
      <c r="S2513" s="9">
        <f t="shared" si="199"/>
        <v>0.02</v>
      </c>
    </row>
    <row r="2514" spans="1:19" x14ac:dyDescent="0.3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e">
        <f>VLOOKUP('Customer Info'!B2506,'Customer Info'!B2506:B3005,1,0)</f>
        <v>#N/A</v>
      </c>
      <c r="H2514" s="6" t="e">
        <f>VLOOKUP('Customer Info'!C2506,'Customer Info'!C2506:C3005,1)</f>
        <v>#N/A</v>
      </c>
      <c r="I2514" s="6" t="e">
        <f>VLOOKUP('Customer Info'!E2506,'Customer Info'!E2506:E3005,1,0)</f>
        <v>#N/A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658</v>
      </c>
      <c r="R2514" s="2" t="s">
        <v>28</v>
      </c>
      <c r="S2514" s="9">
        <f t="shared" si="199"/>
        <v>0.05</v>
      </c>
    </row>
    <row r="2515" spans="1:19" x14ac:dyDescent="0.3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e">
        <f>VLOOKUP('Customer Info'!B2507,'Customer Info'!B2507:B3006,1,0)</f>
        <v>#N/A</v>
      </c>
      <c r="H2515" s="6" t="e">
        <f>VLOOKUP('Customer Info'!C2507,'Customer Info'!C2507:C3006,1)</f>
        <v>#N/A</v>
      </c>
      <c r="I2515" s="6" t="e">
        <f>VLOOKUP('Customer Info'!E2507,'Customer Info'!E2507:E3006,1,0)</f>
        <v>#N/A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1665</v>
      </c>
      <c r="R2515" s="2" t="s">
        <v>28</v>
      </c>
      <c r="S2515" s="9">
        <f t="shared" si="199"/>
        <v>7.0000000000000007E-2</v>
      </c>
    </row>
    <row r="2516" spans="1:19" x14ac:dyDescent="0.3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e">
        <f>VLOOKUP('Customer Info'!B2508,'Customer Info'!B2508:B3007,1,0)</f>
        <v>#N/A</v>
      </c>
      <c r="H2516" s="6" t="e">
        <f>VLOOKUP('Customer Info'!C2508,'Customer Info'!C2508:C3007,1)</f>
        <v>#N/A</v>
      </c>
      <c r="I2516" s="6" t="e">
        <f>VLOOKUP('Customer Info'!E2508,'Customer Info'!E2508:E3007,1,0)</f>
        <v>#N/A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330</v>
      </c>
      <c r="R2516" s="2" t="s">
        <v>50</v>
      </c>
      <c r="S2516" s="9">
        <f t="shared" si="199"/>
        <v>0.05</v>
      </c>
    </row>
    <row r="2517" spans="1:19" x14ac:dyDescent="0.3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e">
        <f>VLOOKUP('Customer Info'!B2509,'Customer Info'!B2509:B3008,1,0)</f>
        <v>#N/A</v>
      </c>
      <c r="H2517" s="6" t="e">
        <f>VLOOKUP('Customer Info'!C2509,'Customer Info'!C2509:C3008,1)</f>
        <v>#N/A</v>
      </c>
      <c r="I2517" s="6" t="e">
        <f>VLOOKUP('Customer Info'!E2509,'Customer Info'!E2509:E3008,1,0)</f>
        <v>#N/A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30</v>
      </c>
      <c r="R2517" s="2" t="s">
        <v>28</v>
      </c>
      <c r="S2517" s="9">
        <f t="shared" si="199"/>
        <v>0.02</v>
      </c>
    </row>
    <row r="2518" spans="1:19" x14ac:dyDescent="0.3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e">
        <f>VLOOKUP('Customer Info'!B2510,'Customer Info'!B2510:B3009,1,0)</f>
        <v>#N/A</v>
      </c>
      <c r="H2518" s="6" t="e">
        <f>VLOOKUP('Customer Info'!C2510,'Customer Info'!C2510:C3009,1)</f>
        <v>#N/A</v>
      </c>
      <c r="I2518" s="6" t="e">
        <f>VLOOKUP('Customer Info'!E2510,'Customer Info'!E2510:E3009,1,0)</f>
        <v>#N/A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18</v>
      </c>
      <c r="R2518" s="2" t="s">
        <v>28</v>
      </c>
      <c r="S2518" s="9">
        <f t="shared" si="199"/>
        <v>0.02</v>
      </c>
    </row>
    <row r="2519" spans="1:19" x14ac:dyDescent="0.3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e">
        <f>VLOOKUP('Customer Info'!B2511,'Customer Info'!B2511:B3010,1,0)</f>
        <v>#N/A</v>
      </c>
      <c r="H2519" s="6" t="e">
        <f>VLOOKUP('Customer Info'!C2511,'Customer Info'!C2511:C3010,1)</f>
        <v>#N/A</v>
      </c>
      <c r="I2519" s="6" t="e">
        <f>VLOOKUP('Customer Info'!E2511,'Customer Info'!E2511:E3010,1,0)</f>
        <v>#N/A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52</v>
      </c>
      <c r="R2519" s="2" t="s">
        <v>26</v>
      </c>
      <c r="S2519" s="9">
        <f t="shared" si="199"/>
        <v>0.02</v>
      </c>
    </row>
    <row r="2520" spans="1:19" x14ac:dyDescent="0.3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e">
        <f>VLOOKUP('Customer Info'!B2512,'Customer Info'!B2512:B3011,1,0)</f>
        <v>#N/A</v>
      </c>
      <c r="H2520" s="6" t="e">
        <f>VLOOKUP('Customer Info'!C2512,'Customer Info'!C2512:C3011,1)</f>
        <v>#N/A</v>
      </c>
      <c r="I2520" s="6" t="e">
        <f>VLOOKUP('Customer Info'!E2512,'Customer Info'!E2512:E3011,1,0)</f>
        <v>#N/A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237</v>
      </c>
      <c r="R2520" s="2" t="s">
        <v>28</v>
      </c>
      <c r="S2520" s="9">
        <f t="shared" si="199"/>
        <v>0.02</v>
      </c>
    </row>
    <row r="2521" spans="1:19" x14ac:dyDescent="0.3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e">
        <f>VLOOKUP('Customer Info'!B2513,'Customer Info'!B2513:B3012,1,0)</f>
        <v>#N/A</v>
      </c>
      <c r="H2521" s="6" t="e">
        <f>VLOOKUP('Customer Info'!C2513,'Customer Info'!C2513:C3012,1)</f>
        <v>#N/A</v>
      </c>
      <c r="I2521" s="6" t="e">
        <f>VLOOKUP('Customer Info'!E2513,'Customer Info'!E2513:E3012,1,0)</f>
        <v>#N/A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22</v>
      </c>
      <c r="R2521" s="2" t="s">
        <v>28</v>
      </c>
      <c r="S2521" s="9">
        <f t="shared" si="199"/>
        <v>0.02</v>
      </c>
    </row>
    <row r="2522" spans="1:19" x14ac:dyDescent="0.3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e">
        <f>VLOOKUP('Customer Info'!B2514,'Customer Info'!B2514:B3013,1,0)</f>
        <v>#N/A</v>
      </c>
      <c r="H2522" s="6" t="e">
        <f>VLOOKUP('Customer Info'!C2514,'Customer Info'!C2514:C3013,1)</f>
        <v>#N/A</v>
      </c>
      <c r="I2522" s="6" t="e">
        <f>VLOOKUP('Customer Info'!E2514,'Customer Info'!E2514:E3013,1,0)</f>
        <v>#N/A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116</v>
      </c>
      <c r="R2522" s="2" t="s">
        <v>28</v>
      </c>
      <c r="S2522" s="9">
        <f t="shared" si="199"/>
        <v>0.02</v>
      </c>
    </row>
    <row r="2523" spans="1:19" x14ac:dyDescent="0.3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e">
        <f>VLOOKUP('Customer Info'!B2515,'Customer Info'!B2515:B3014,1,0)</f>
        <v>#N/A</v>
      </c>
      <c r="H2523" s="6" t="e">
        <f>VLOOKUP('Customer Info'!C2515,'Customer Info'!C2515:C3014,1)</f>
        <v>#N/A</v>
      </c>
      <c r="I2523" s="6" t="e">
        <f>VLOOKUP('Customer Info'!E2515,'Customer Info'!E2515:E3014,1,0)</f>
        <v>#N/A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105</v>
      </c>
      <c r="R2523" s="2" t="s">
        <v>28</v>
      </c>
      <c r="S2523" s="9">
        <f t="shared" si="199"/>
        <v>0.02</v>
      </c>
    </row>
    <row r="2524" spans="1:19" x14ac:dyDescent="0.3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e">
        <f>VLOOKUP('Customer Info'!B2516,'Customer Info'!B2516:B3015,1,0)</f>
        <v>#N/A</v>
      </c>
      <c r="H2524" s="6" t="e">
        <f>VLOOKUP('Customer Info'!C2516,'Customer Info'!C2516:C3015,1)</f>
        <v>#N/A</v>
      </c>
      <c r="I2524" s="6" t="e">
        <f>VLOOKUP('Customer Info'!E2516,'Customer Info'!E2516:E3015,1,0)</f>
        <v>#N/A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12</v>
      </c>
      <c r="R2524" s="2" t="s">
        <v>28</v>
      </c>
      <c r="S2524" s="9">
        <f t="shared" si="199"/>
        <v>0.02</v>
      </c>
    </row>
    <row r="2525" spans="1:19" x14ac:dyDescent="0.3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e">
        <f>VLOOKUP('Customer Info'!B2517,'Customer Info'!B2517:B3016,1,0)</f>
        <v>#N/A</v>
      </c>
      <c r="H2525" s="6" t="e">
        <f>VLOOKUP('Customer Info'!C2517,'Customer Info'!C2517:C3016,1)</f>
        <v>#N/A</v>
      </c>
      <c r="I2525" s="6" t="e">
        <f>VLOOKUP('Customer Info'!E2517,'Customer Info'!E2517:E3016,1,0)</f>
        <v>#N/A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333</v>
      </c>
      <c r="R2525" s="2" t="s">
        <v>28</v>
      </c>
      <c r="S2525" s="9">
        <f t="shared" si="199"/>
        <v>0.05</v>
      </c>
    </row>
    <row r="2526" spans="1:19" x14ac:dyDescent="0.3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e">
        <f>VLOOKUP('Customer Info'!B2518,'Customer Info'!B2518:B3017,1,0)</f>
        <v>#N/A</v>
      </c>
      <c r="H2526" s="6" t="e">
        <f>VLOOKUP('Customer Info'!C2518,'Customer Info'!C2518:C3017,1)</f>
        <v>#N/A</v>
      </c>
      <c r="I2526" s="6" t="e">
        <f>VLOOKUP('Customer Info'!E2518,'Customer Info'!E2518:E3017,1,0)</f>
        <v>#N/A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30</v>
      </c>
      <c r="R2526" s="2" t="s">
        <v>28</v>
      </c>
      <c r="S2526" s="9">
        <f t="shared" si="199"/>
        <v>0.02</v>
      </c>
    </row>
    <row r="2527" spans="1:19" x14ac:dyDescent="0.3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e">
        <f>VLOOKUP('Customer Info'!B2519,'Customer Info'!B2519:B3018,1,0)</f>
        <v>#N/A</v>
      </c>
      <c r="H2527" s="6" t="e">
        <f>VLOOKUP('Customer Info'!C2519,'Customer Info'!C2519:C3018,1)</f>
        <v>#N/A</v>
      </c>
      <c r="I2527" s="6" t="e">
        <f>VLOOKUP('Customer Info'!E2519,'Customer Info'!E2519:E3018,1,0)</f>
        <v>#N/A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3642</v>
      </c>
      <c r="R2527" s="2" t="s">
        <v>28</v>
      </c>
      <c r="S2527" s="9">
        <f t="shared" si="199"/>
        <v>7.0000000000000007E-2</v>
      </c>
    </row>
    <row r="2528" spans="1:19" x14ac:dyDescent="0.3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e">
        <f>VLOOKUP('Customer Info'!B2520,'Customer Info'!B2520:B3019,1,0)</f>
        <v>#N/A</v>
      </c>
      <c r="H2528" s="6" t="e">
        <f>VLOOKUP('Customer Info'!C2520,'Customer Info'!C2520:C3019,1)</f>
        <v>#N/A</v>
      </c>
      <c r="I2528" s="6" t="e">
        <f>VLOOKUP('Customer Info'!E2520,'Customer Info'!E2520:E3019,1,0)</f>
        <v>#N/A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2080</v>
      </c>
      <c r="R2528" s="2" t="s">
        <v>28</v>
      </c>
      <c r="S2528" s="9">
        <f t="shared" si="199"/>
        <v>7.0000000000000007E-2</v>
      </c>
    </row>
    <row r="2529" spans="1:19" x14ac:dyDescent="0.3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e">
        <f>VLOOKUP('Customer Info'!B2521,'Customer Info'!B2521:B3020,1,0)</f>
        <v>#N/A</v>
      </c>
      <c r="H2529" s="6" t="e">
        <f>VLOOKUP('Customer Info'!C2521,'Customer Info'!C2521:C3020,1)</f>
        <v>#N/A</v>
      </c>
      <c r="I2529" s="6" t="e">
        <f>VLOOKUP('Customer Info'!E2521,'Customer Info'!E2521:E3020,1,0)</f>
        <v>#N/A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2892</v>
      </c>
      <c r="R2529" s="2" t="s">
        <v>50</v>
      </c>
      <c r="S2529" s="9">
        <f t="shared" si="199"/>
        <v>7.0000000000000007E-2</v>
      </c>
    </row>
    <row r="2530" spans="1:19" x14ac:dyDescent="0.3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e">
        <f>VLOOKUP('Customer Info'!B2522,'Customer Info'!B2522:B3021,1,0)</f>
        <v>#N/A</v>
      </c>
      <c r="H2530" s="6" t="e">
        <f>VLOOKUP('Customer Info'!C2522,'Customer Info'!C2522:C3021,1)</f>
        <v>#N/A</v>
      </c>
      <c r="I2530" s="6" t="e">
        <f>VLOOKUP('Customer Info'!E2522,'Customer Info'!E2522:E3021,1,0)</f>
        <v>#N/A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15</v>
      </c>
      <c r="R2530" s="2" t="s">
        <v>28</v>
      </c>
      <c r="S2530" s="9">
        <f t="shared" si="199"/>
        <v>0.02</v>
      </c>
    </row>
    <row r="2531" spans="1:19" x14ac:dyDescent="0.3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e">
        <f>VLOOKUP('Customer Info'!B2523,'Customer Info'!B2523:B3022,1,0)</f>
        <v>#N/A</v>
      </c>
      <c r="H2531" s="6" t="e">
        <f>VLOOKUP('Customer Info'!C2523,'Customer Info'!C2523:C3022,1)</f>
        <v>#N/A</v>
      </c>
      <c r="I2531" s="6" t="e">
        <f>VLOOKUP('Customer Info'!E2523,'Customer Info'!E2523:E3022,1,0)</f>
        <v>#N/A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325</v>
      </c>
      <c r="R2531" s="2" t="s">
        <v>56</v>
      </c>
      <c r="S2531" s="9">
        <f t="shared" si="199"/>
        <v>0.02</v>
      </c>
    </row>
    <row r="2532" spans="1:19" x14ac:dyDescent="0.3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e">
        <f>VLOOKUP('Customer Info'!B2524,'Customer Info'!B2524:B3023,1,0)</f>
        <v>#N/A</v>
      </c>
      <c r="H2532" s="6" t="e">
        <f>VLOOKUP('Customer Info'!C2524,'Customer Info'!C2524:C3023,1)</f>
        <v>#N/A</v>
      </c>
      <c r="I2532" s="6" t="e">
        <f>VLOOKUP('Customer Info'!E2524,'Customer Info'!E2524:E3023,1,0)</f>
        <v>#N/A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3792</v>
      </c>
      <c r="R2532" s="2" t="s">
        <v>28</v>
      </c>
      <c r="S2532" s="9">
        <f t="shared" si="199"/>
        <v>0.09</v>
      </c>
    </row>
    <row r="2533" spans="1:19" x14ac:dyDescent="0.3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e">
        <f>VLOOKUP('Customer Info'!B2525,'Customer Info'!B2525:B3024,1,0)</f>
        <v>#N/A</v>
      </c>
      <c r="H2533" s="6" t="e">
        <f>VLOOKUP('Customer Info'!C2525,'Customer Info'!C2525:C3024,1)</f>
        <v>#N/A</v>
      </c>
      <c r="I2533" s="6" t="e">
        <f>VLOOKUP('Customer Info'!E2525,'Customer Info'!E2525:E3024,1,0)</f>
        <v>#N/A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236</v>
      </c>
      <c r="R2533" s="2" t="s">
        <v>28</v>
      </c>
      <c r="S2533" s="9">
        <f t="shared" si="199"/>
        <v>0.02</v>
      </c>
    </row>
    <row r="2534" spans="1:19" x14ac:dyDescent="0.3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e">
        <f>VLOOKUP('Customer Info'!B2526,'Customer Info'!B2526:B3025,1,0)</f>
        <v>#N/A</v>
      </c>
      <c r="H2534" s="6" t="e">
        <f>VLOOKUP('Customer Info'!C2526,'Customer Info'!C2526:C3025,1)</f>
        <v>#N/A</v>
      </c>
      <c r="I2534" s="6" t="e">
        <f>VLOOKUP('Customer Info'!E2526,'Customer Info'!E2526:E3025,1,0)</f>
        <v>#N/A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104</v>
      </c>
      <c r="R2534" s="2" t="s">
        <v>50</v>
      </c>
      <c r="S2534" s="9">
        <f t="shared" si="199"/>
        <v>0.02</v>
      </c>
    </row>
    <row r="2535" spans="1:19" x14ac:dyDescent="0.3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e">
        <f>VLOOKUP('Customer Info'!B2527,'Customer Info'!B2527:B3026,1,0)</f>
        <v>#N/A</v>
      </c>
      <c r="H2535" s="6" t="e">
        <f>VLOOKUP('Customer Info'!C2527,'Customer Info'!C2527:C3026,1)</f>
        <v>#N/A</v>
      </c>
      <c r="I2535" s="6" t="e">
        <f>VLOOKUP('Customer Info'!E2527,'Customer Info'!E2527:E3026,1,0)</f>
        <v>#N/A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134</v>
      </c>
      <c r="R2535" s="2" t="s">
        <v>28</v>
      </c>
      <c r="S2535" s="9">
        <f t="shared" si="199"/>
        <v>0.02</v>
      </c>
    </row>
    <row r="2536" spans="1:19" x14ac:dyDescent="0.3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e">
        <f>VLOOKUP('Customer Info'!B2528,'Customer Info'!B2528:B3027,1,0)</f>
        <v>#N/A</v>
      </c>
      <c r="H2536" s="6" t="e">
        <f>VLOOKUP('Customer Info'!C2528,'Customer Info'!C2528:C3027,1)</f>
        <v>#N/A</v>
      </c>
      <c r="I2536" s="6" t="e">
        <f>VLOOKUP('Customer Info'!E2528,'Customer Info'!E2528:E3027,1,0)</f>
        <v>#N/A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45</v>
      </c>
      <c r="R2536" s="2" t="s">
        <v>28</v>
      </c>
      <c r="S2536" s="9">
        <f t="shared" si="199"/>
        <v>0.02</v>
      </c>
    </row>
    <row r="2537" spans="1:19" x14ac:dyDescent="0.3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e">
        <f>VLOOKUP('Customer Info'!B2529,'Customer Info'!B2529:B3028,1,0)</f>
        <v>#N/A</v>
      </c>
      <c r="H2537" s="6" t="e">
        <f>VLOOKUP('Customer Info'!C2529,'Customer Info'!C2529:C3028,1)</f>
        <v>#N/A</v>
      </c>
      <c r="I2537" s="6" t="e">
        <f>VLOOKUP('Customer Info'!E2529,'Customer Info'!E2529:E3028,1,0)</f>
        <v>#N/A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28</v>
      </c>
      <c r="R2537" s="2" t="s">
        <v>28</v>
      </c>
      <c r="S2537" s="9">
        <f t="shared" si="199"/>
        <v>0.02</v>
      </c>
    </row>
    <row r="2538" spans="1:19" x14ac:dyDescent="0.3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e">
        <f>VLOOKUP('Customer Info'!B2530,'Customer Info'!B2530:B3029,1,0)</f>
        <v>#N/A</v>
      </c>
      <c r="H2538" s="6" t="e">
        <f>VLOOKUP('Customer Info'!C2530,'Customer Info'!C2530:C3029,1)</f>
        <v>#N/A</v>
      </c>
      <c r="I2538" s="6" t="e">
        <f>VLOOKUP('Customer Info'!E2530,'Customer Info'!E2530:E3029,1,0)</f>
        <v>#N/A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216</v>
      </c>
      <c r="R2538" s="2" t="s">
        <v>28</v>
      </c>
      <c r="S2538" s="9">
        <f t="shared" si="199"/>
        <v>0.02</v>
      </c>
    </row>
    <row r="2539" spans="1:19" x14ac:dyDescent="0.3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e">
        <f>VLOOKUP('Customer Info'!B2531,'Customer Info'!B2531:B3030,1,0)</f>
        <v>#N/A</v>
      </c>
      <c r="H2539" s="6" t="e">
        <f>VLOOKUP('Customer Info'!C2531,'Customer Info'!C2531:C3030,1)</f>
        <v>#N/A</v>
      </c>
      <c r="I2539" s="6" t="e">
        <f>VLOOKUP('Customer Info'!E2531,'Customer Info'!E2531:E3030,1,0)</f>
        <v>#N/A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363</v>
      </c>
      <c r="R2539" s="2" t="s">
        <v>50</v>
      </c>
      <c r="S2539" s="9">
        <f t="shared" si="199"/>
        <v>0.02</v>
      </c>
    </row>
    <row r="2540" spans="1:19" x14ac:dyDescent="0.3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e">
        <f>VLOOKUP('Customer Info'!B2532,'Customer Info'!B2532:B3031,1,0)</f>
        <v>#N/A</v>
      </c>
      <c r="H2540" s="6" t="e">
        <f>VLOOKUP('Customer Info'!C2532,'Customer Info'!C2532:C3031,1)</f>
        <v>#N/A</v>
      </c>
      <c r="I2540" s="6" t="e">
        <f>VLOOKUP('Customer Info'!E2532,'Customer Info'!E2532:E3031,1,0)</f>
        <v>#N/A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568</v>
      </c>
      <c r="R2540" s="2" t="s">
        <v>28</v>
      </c>
      <c r="S2540" s="9">
        <f t="shared" si="199"/>
        <v>0.05</v>
      </c>
    </row>
    <row r="2541" spans="1:19" x14ac:dyDescent="0.3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e">
        <f>VLOOKUP('Customer Info'!B2533,'Customer Info'!B2533:B3032,1,0)</f>
        <v>#N/A</v>
      </c>
      <c r="H2541" s="6" t="e">
        <f>VLOOKUP('Customer Info'!C2533,'Customer Info'!C2533:C3032,1)</f>
        <v>#N/A</v>
      </c>
      <c r="I2541" s="6" t="e">
        <f>VLOOKUP('Customer Info'!E2533,'Customer Info'!E2533:E3032,1,0)</f>
        <v>#N/A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192</v>
      </c>
      <c r="R2541" s="2" t="s">
        <v>28</v>
      </c>
      <c r="S2541" s="9">
        <f t="shared" si="199"/>
        <v>0.05</v>
      </c>
    </row>
    <row r="2542" spans="1:19" x14ac:dyDescent="0.3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e">
        <f>VLOOKUP('Customer Info'!B2534,'Customer Info'!B2534:B3033,1,0)</f>
        <v>#N/A</v>
      </c>
      <c r="H2542" s="6" t="e">
        <f>VLOOKUP('Customer Info'!C2534,'Customer Info'!C2534:C3033,1)</f>
        <v>#N/A</v>
      </c>
      <c r="I2542" s="6" t="e">
        <f>VLOOKUP('Customer Info'!E2534,'Customer Info'!E2534:E3033,1,0)</f>
        <v>#N/A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22</v>
      </c>
      <c r="R2542" s="2" t="s">
        <v>28</v>
      </c>
      <c r="S2542" s="9">
        <f t="shared" si="199"/>
        <v>0.02</v>
      </c>
    </row>
    <row r="2543" spans="1:19" x14ac:dyDescent="0.3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e">
        <f>VLOOKUP('Customer Info'!B2535,'Customer Info'!B2535:B3034,1,0)</f>
        <v>#N/A</v>
      </c>
      <c r="H2543" s="6" t="e">
        <f>VLOOKUP('Customer Info'!C2535,'Customer Info'!C2535:C3034,1)</f>
        <v>#N/A</v>
      </c>
      <c r="I2543" s="6" t="e">
        <f>VLOOKUP('Customer Info'!E2535,'Customer Info'!E2535:E3034,1,0)</f>
        <v>#N/A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1557</v>
      </c>
      <c r="R2543" s="2" t="s">
        <v>28</v>
      </c>
      <c r="S2543" s="9">
        <f t="shared" si="199"/>
        <v>0.05</v>
      </c>
    </row>
    <row r="2544" spans="1:19" x14ac:dyDescent="0.3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e">
        <f>VLOOKUP('Customer Info'!B2536,'Customer Info'!B2536:B3035,1,0)</f>
        <v>#N/A</v>
      </c>
      <c r="H2544" s="6" t="e">
        <f>VLOOKUP('Customer Info'!C2536,'Customer Info'!C2536:C3035,1)</f>
        <v>#N/A</v>
      </c>
      <c r="I2544" s="6" t="e">
        <f>VLOOKUP('Customer Info'!E2536,'Customer Info'!E2536:E3035,1,0)</f>
        <v>#N/A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543</v>
      </c>
      <c r="R2544" s="2" t="s">
        <v>28</v>
      </c>
      <c r="S2544" s="9">
        <f t="shared" si="199"/>
        <v>0.05</v>
      </c>
    </row>
    <row r="2545" spans="1:19" x14ac:dyDescent="0.3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e">
        <f>VLOOKUP('Customer Info'!B2537,'Customer Info'!B2537:B3036,1,0)</f>
        <v>#N/A</v>
      </c>
      <c r="H2545" s="6" t="e">
        <f>VLOOKUP('Customer Info'!C2537,'Customer Info'!C2537:C3036,1)</f>
        <v>#N/A</v>
      </c>
      <c r="I2545" s="6" t="e">
        <f>VLOOKUP('Customer Info'!E2537,'Customer Info'!E2537:E3036,1,0)</f>
        <v>#N/A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1701</v>
      </c>
      <c r="R2545" s="2" t="s">
        <v>28</v>
      </c>
      <c r="S2545" s="9">
        <f t="shared" si="199"/>
        <v>7.0000000000000007E-2</v>
      </c>
    </row>
    <row r="2546" spans="1:19" x14ac:dyDescent="0.3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e">
        <f>VLOOKUP('Customer Info'!B2538,'Customer Info'!B2538:B3037,1,0)</f>
        <v>#N/A</v>
      </c>
      <c r="H2546" s="6" t="e">
        <f>VLOOKUP('Customer Info'!C2538,'Customer Info'!C2538:C3037,1)</f>
        <v>#N/A</v>
      </c>
      <c r="I2546" s="6" t="e">
        <f>VLOOKUP('Customer Info'!E2538,'Customer Info'!E2538:E3037,1,0)</f>
        <v>#N/A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7</v>
      </c>
      <c r="R2546" s="2" t="s">
        <v>26</v>
      </c>
      <c r="S2546" s="9">
        <f t="shared" si="199"/>
        <v>0.02</v>
      </c>
    </row>
    <row r="2547" spans="1:19" x14ac:dyDescent="0.3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e">
        <f>VLOOKUP('Customer Info'!B2539,'Customer Info'!B2539:B3038,1,0)</f>
        <v>#N/A</v>
      </c>
      <c r="H2547" s="6" t="e">
        <f>VLOOKUP('Customer Info'!C2539,'Customer Info'!C2539:C3038,1)</f>
        <v>#N/A</v>
      </c>
      <c r="I2547" s="6" t="e">
        <f>VLOOKUP('Customer Info'!E2539,'Customer Info'!E2539:E3038,1,0)</f>
        <v>#N/A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1916</v>
      </c>
      <c r="R2547" s="2" t="s">
        <v>26</v>
      </c>
      <c r="S2547" s="9">
        <f t="shared" si="199"/>
        <v>7.0000000000000007E-2</v>
      </c>
    </row>
    <row r="2548" spans="1:19" x14ac:dyDescent="0.3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e">
        <f>VLOOKUP('Customer Info'!B2540,'Customer Info'!B2540:B3039,1,0)</f>
        <v>#N/A</v>
      </c>
      <c r="H2548" s="6" t="e">
        <f>VLOOKUP('Customer Info'!C2540,'Customer Info'!C2540:C3039,1)</f>
        <v>#N/A</v>
      </c>
      <c r="I2548" s="6" t="e">
        <f>VLOOKUP('Customer Info'!E2540,'Customer Info'!E2540:E3039,1,0)</f>
        <v>#N/A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90</v>
      </c>
      <c r="R2548" s="2" t="s">
        <v>28</v>
      </c>
      <c r="S2548" s="9">
        <f t="shared" si="199"/>
        <v>0.02</v>
      </c>
    </row>
    <row r="2549" spans="1:19" x14ac:dyDescent="0.3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e">
        <f>VLOOKUP('Customer Info'!B2541,'Customer Info'!B2541:B3040,1,0)</f>
        <v>#N/A</v>
      </c>
      <c r="H2549" s="6" t="e">
        <f>VLOOKUP('Customer Info'!C2541,'Customer Info'!C2541:C3040,1)</f>
        <v>#N/A</v>
      </c>
      <c r="I2549" s="6" t="e">
        <f>VLOOKUP('Customer Info'!E2541,'Customer Info'!E2541:E3040,1,0)</f>
        <v>#N/A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204</v>
      </c>
      <c r="R2549" s="2" t="s">
        <v>28</v>
      </c>
      <c r="S2549" s="9">
        <f t="shared" si="199"/>
        <v>0.05</v>
      </c>
    </row>
    <row r="2550" spans="1:19" x14ac:dyDescent="0.3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e">
        <f>VLOOKUP('Customer Info'!B2542,'Customer Info'!B2542:B3041,1,0)</f>
        <v>#N/A</v>
      </c>
      <c r="H2550" s="6" t="e">
        <f>VLOOKUP('Customer Info'!C2542,'Customer Info'!C2542:C3041,1)</f>
        <v>#N/A</v>
      </c>
      <c r="I2550" s="6" t="e">
        <f>VLOOKUP('Customer Info'!E2542,'Customer Info'!E2542:E3041,1,0)</f>
        <v>#N/A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720</v>
      </c>
      <c r="R2550" s="2" t="s">
        <v>28</v>
      </c>
      <c r="S2550" s="9">
        <f t="shared" si="199"/>
        <v>0.05</v>
      </c>
    </row>
    <row r="2551" spans="1:19" x14ac:dyDescent="0.3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e">
        <f>VLOOKUP('Customer Info'!B2543,'Customer Info'!B2543:B3042,1,0)</f>
        <v>#N/A</v>
      </c>
      <c r="H2551" s="6" t="e">
        <f>VLOOKUP('Customer Info'!C2543,'Customer Info'!C2543:C3042,1)</f>
        <v>#N/A</v>
      </c>
      <c r="I2551" s="6" t="e">
        <f>VLOOKUP('Customer Info'!E2543,'Customer Info'!E2543:E3042,1,0)</f>
        <v>#N/A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1188</v>
      </c>
      <c r="R2551" s="2" t="s">
        <v>50</v>
      </c>
      <c r="S2551" s="9">
        <f t="shared" si="199"/>
        <v>0.05</v>
      </c>
    </row>
    <row r="2552" spans="1:19" x14ac:dyDescent="0.3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e">
        <f>VLOOKUP('Customer Info'!B2544,'Customer Info'!B2544:B3043,1,0)</f>
        <v>#N/A</v>
      </c>
      <c r="H2552" s="6" t="e">
        <f>VLOOKUP('Customer Info'!C2544,'Customer Info'!C2544:C3043,1)</f>
        <v>#N/A</v>
      </c>
      <c r="I2552" s="6" t="e">
        <f>VLOOKUP('Customer Info'!E2544,'Customer Info'!E2544:E3043,1,0)</f>
        <v>#N/A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628</v>
      </c>
      <c r="R2552" s="2" t="s">
        <v>28</v>
      </c>
      <c r="S2552" s="9">
        <f t="shared" si="199"/>
        <v>0.05</v>
      </c>
    </row>
    <row r="2553" spans="1:19" x14ac:dyDescent="0.3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e">
        <f>VLOOKUP('Customer Info'!B2545,'Customer Info'!B2545:B3044,1,0)</f>
        <v>#N/A</v>
      </c>
      <c r="H2553" s="6" t="e">
        <f>VLOOKUP('Customer Info'!C2545,'Customer Info'!C2545:C3044,1)</f>
        <v>#N/A</v>
      </c>
      <c r="I2553" s="6" t="e">
        <f>VLOOKUP('Customer Info'!E2545,'Customer Info'!E2545:E3044,1,0)</f>
        <v>#N/A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348</v>
      </c>
      <c r="R2553" s="2" t="s">
        <v>28</v>
      </c>
      <c r="S2553" s="9">
        <f t="shared" si="199"/>
        <v>0.05</v>
      </c>
    </row>
    <row r="2554" spans="1:19" x14ac:dyDescent="0.3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e">
        <f>VLOOKUP('Customer Info'!B2546,'Customer Info'!B2546:B3045,1,0)</f>
        <v>#N/A</v>
      </c>
      <c r="H2554" s="6" t="e">
        <f>VLOOKUP('Customer Info'!C2546,'Customer Info'!C2546:C3045,1)</f>
        <v>#N/A</v>
      </c>
      <c r="I2554" s="6" t="e">
        <f>VLOOKUP('Customer Info'!E2546,'Customer Info'!E2546:E3045,1,0)</f>
        <v>#N/A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27</v>
      </c>
      <c r="R2554" s="2" t="s">
        <v>28</v>
      </c>
      <c r="S2554" s="9">
        <f t="shared" si="199"/>
        <v>0.02</v>
      </c>
    </row>
    <row r="2555" spans="1:19" x14ac:dyDescent="0.3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e">
        <f>VLOOKUP('Customer Info'!B2547,'Customer Info'!B2547:B3046,1,0)</f>
        <v>#N/A</v>
      </c>
      <c r="H2555" s="6" t="e">
        <f>VLOOKUP('Customer Info'!C2547,'Customer Info'!C2547:C3046,1)</f>
        <v>#N/A</v>
      </c>
      <c r="I2555" s="6" t="e">
        <f>VLOOKUP('Customer Info'!E2547,'Customer Info'!E2547:E3046,1,0)</f>
        <v>#N/A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180</v>
      </c>
      <c r="R2555" s="2" t="s">
        <v>50</v>
      </c>
      <c r="S2555" s="9">
        <f t="shared" si="199"/>
        <v>0.02</v>
      </c>
    </row>
    <row r="2556" spans="1:19" x14ac:dyDescent="0.3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e">
        <f>VLOOKUP('Customer Info'!B2548,'Customer Info'!B2548:B3047,1,0)</f>
        <v>#N/A</v>
      </c>
      <c r="H2556" s="6" t="e">
        <f>VLOOKUP('Customer Info'!C2548,'Customer Info'!C2548:C3047,1)</f>
        <v>#N/A</v>
      </c>
      <c r="I2556" s="6" t="e">
        <f>VLOOKUP('Customer Info'!E2548,'Customer Info'!E2548:E3047,1,0)</f>
        <v>#N/A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192</v>
      </c>
      <c r="R2556" s="2" t="s">
        <v>28</v>
      </c>
      <c r="S2556" s="9">
        <f t="shared" si="199"/>
        <v>0.02</v>
      </c>
    </row>
    <row r="2557" spans="1:19" x14ac:dyDescent="0.3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e">
        <f>VLOOKUP('Customer Info'!B2549,'Customer Info'!B2549:B3048,1,0)</f>
        <v>#N/A</v>
      </c>
      <c r="H2557" s="6" t="e">
        <f>VLOOKUP('Customer Info'!C2549,'Customer Info'!C2549:C3048,1)</f>
        <v>#N/A</v>
      </c>
      <c r="I2557" s="6" t="e">
        <f>VLOOKUP('Customer Info'!E2549,'Customer Info'!E2549:E3048,1,0)</f>
        <v>#N/A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32</v>
      </c>
      <c r="R2557" s="2" t="s">
        <v>50</v>
      </c>
      <c r="S2557" s="9">
        <f t="shared" si="199"/>
        <v>0.02</v>
      </c>
    </row>
    <row r="2558" spans="1:19" x14ac:dyDescent="0.3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e">
        <f>VLOOKUP('Customer Info'!B2550,'Customer Info'!B2550:B3049,1,0)</f>
        <v>#N/A</v>
      </c>
      <c r="H2558" s="6" t="e">
        <f>VLOOKUP('Customer Info'!C2550,'Customer Info'!C2550:C3049,1)</f>
        <v>#N/A</v>
      </c>
      <c r="I2558" s="6" t="e">
        <f>VLOOKUP('Customer Info'!E2550,'Customer Info'!E2550:E3049,1,0)</f>
        <v>#N/A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2535</v>
      </c>
      <c r="R2558" s="2" t="s">
        <v>28</v>
      </c>
      <c r="S2558" s="9">
        <f t="shared" si="199"/>
        <v>7.0000000000000007E-2</v>
      </c>
    </row>
    <row r="2559" spans="1:19" x14ac:dyDescent="0.3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e">
        <f>VLOOKUP('Customer Info'!B2551,'Customer Info'!B2551:B3050,1,0)</f>
        <v>#N/A</v>
      </c>
      <c r="H2559" s="6" t="e">
        <f>VLOOKUP('Customer Info'!C2551,'Customer Info'!C2551:C3050,1)</f>
        <v>#N/A</v>
      </c>
      <c r="I2559" s="6" t="e">
        <f>VLOOKUP('Customer Info'!E2551,'Customer Info'!E2551:E3050,1,0)</f>
        <v>#N/A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34</v>
      </c>
      <c r="R2559" s="2" t="s">
        <v>26</v>
      </c>
      <c r="S2559" s="9">
        <f t="shared" si="199"/>
        <v>0.02</v>
      </c>
    </row>
    <row r="2560" spans="1:19" x14ac:dyDescent="0.3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e">
        <f>VLOOKUP('Customer Info'!B2552,'Customer Info'!B2552:B3051,1,0)</f>
        <v>#N/A</v>
      </c>
      <c r="H2560" s="6" t="e">
        <f>VLOOKUP('Customer Info'!C2552,'Customer Info'!C2552:C3051,1)</f>
        <v>#N/A</v>
      </c>
      <c r="I2560" s="6" t="e">
        <f>VLOOKUP('Customer Info'!E2552,'Customer Info'!E2552:E3051,1,0)</f>
        <v>#N/A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182</v>
      </c>
      <c r="R2560" s="2" t="s">
        <v>28</v>
      </c>
      <c r="S2560" s="9">
        <f t="shared" si="199"/>
        <v>0.02</v>
      </c>
    </row>
    <row r="2561" spans="1:19" x14ac:dyDescent="0.3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e">
        <f>VLOOKUP('Customer Info'!B2553,'Customer Info'!B2553:B3052,1,0)</f>
        <v>#N/A</v>
      </c>
      <c r="H2561" s="6" t="e">
        <f>VLOOKUP('Customer Info'!C2553,'Customer Info'!C2553:C3052,1)</f>
        <v>#N/A</v>
      </c>
      <c r="I2561" s="6" t="e">
        <f>VLOOKUP('Customer Info'!E2553,'Customer Info'!E2553:E3052,1,0)</f>
        <v>#N/A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3392</v>
      </c>
      <c r="R2561" s="2" t="s">
        <v>28</v>
      </c>
      <c r="S2561" s="9">
        <f t="shared" si="199"/>
        <v>7.0000000000000007E-2</v>
      </c>
    </row>
    <row r="2562" spans="1:19" x14ac:dyDescent="0.3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e">
        <f>VLOOKUP('Customer Info'!B2554,'Customer Info'!B2554:B3053,1,0)</f>
        <v>#N/A</v>
      </c>
      <c r="H2562" s="6" t="e">
        <f>VLOOKUP('Customer Info'!C2554,'Customer Info'!C2554:C3053,1)</f>
        <v>#N/A</v>
      </c>
      <c r="I2562" s="6" t="e">
        <f>VLOOKUP('Customer Info'!E2554,'Customer Info'!E2554:E3053,1,0)</f>
        <v>#N/A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15</v>
      </c>
      <c r="R2562" s="2" t="s">
        <v>50</v>
      </c>
      <c r="S2562" s="9">
        <f t="shared" si="199"/>
        <v>0.02</v>
      </c>
    </row>
    <row r="2563" spans="1:19" x14ac:dyDescent="0.3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e">
        <f>VLOOKUP('Customer Info'!B2555,'Customer Info'!B2555:B3054,1,0)</f>
        <v>#N/A</v>
      </c>
      <c r="H2563" s="6" t="e">
        <f>VLOOKUP('Customer Info'!C2555,'Customer Info'!C2555:C3054,1)</f>
        <v>#N/A</v>
      </c>
      <c r="I2563" s="6" t="e">
        <f>VLOOKUP('Customer Info'!E2555,'Customer Info'!E2555:E3054,1,0)</f>
        <v>#N/A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97</v>
      </c>
      <c r="R2563" s="2" t="s">
        <v>56</v>
      </c>
      <c r="S2563" s="9">
        <f t="shared" si="199"/>
        <v>0.02</v>
      </c>
    </row>
    <row r="2564" spans="1:19" x14ac:dyDescent="0.3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e">
        <f>VLOOKUP('Customer Info'!B2556,'Customer Info'!B2556:B3055,1,0)</f>
        <v>#N/A</v>
      </c>
      <c r="H2564" s="6" t="e">
        <f>VLOOKUP('Customer Info'!C2556,'Customer Info'!C2556:C3055,1)</f>
        <v>#N/A</v>
      </c>
      <c r="I2564" s="6" t="e">
        <f>VLOOKUP('Customer Info'!E2556,'Customer Info'!E2556:E3055,1,0)</f>
        <v>#N/A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126</v>
      </c>
      <c r="R2564" s="2" t="s">
        <v>28</v>
      </c>
      <c r="S2564" s="9">
        <f t="shared" si="199"/>
        <v>0.02</v>
      </c>
    </row>
    <row r="2565" spans="1:19" x14ac:dyDescent="0.3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e">
        <f>VLOOKUP('Customer Info'!B2557,'Customer Info'!B2557:B3056,1,0)</f>
        <v>#N/A</v>
      </c>
      <c r="H2565" s="6" t="e">
        <f>VLOOKUP('Customer Info'!C2557,'Customer Info'!C2557:C3056,1)</f>
        <v>#N/A</v>
      </c>
      <c r="I2565" s="6" t="e">
        <f>VLOOKUP('Customer Info'!E2557,'Customer Info'!E2557:E3056,1,0)</f>
        <v>#N/A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65</v>
      </c>
      <c r="R2565" s="2" t="s">
        <v>28</v>
      </c>
      <c r="S2565" s="9">
        <f t="shared" si="199"/>
        <v>0.02</v>
      </c>
    </row>
    <row r="2566" spans="1:19" x14ac:dyDescent="0.3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e">
        <f>VLOOKUP('Customer Info'!B2558,'Customer Info'!B2558:B3057,1,0)</f>
        <v>#N/A</v>
      </c>
      <c r="H2566" s="6" t="e">
        <f>VLOOKUP('Customer Info'!C2558,'Customer Info'!C2558:C3057,1)</f>
        <v>#N/A</v>
      </c>
      <c r="I2566" s="6" t="e">
        <f>VLOOKUP('Customer Info'!E2558,'Customer Info'!E2558:E3057,1,0)</f>
        <v>#N/A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132</v>
      </c>
      <c r="R2566" s="2" t="s">
        <v>28</v>
      </c>
      <c r="S2566" s="9">
        <f t="shared" si="199"/>
        <v>0.02</v>
      </c>
    </row>
    <row r="2567" spans="1:19" x14ac:dyDescent="0.3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e">
        <f>VLOOKUP('Customer Info'!B2559,'Customer Info'!B2559:B3058,1,0)</f>
        <v>#N/A</v>
      </c>
      <c r="H2567" s="6" t="e">
        <f>VLOOKUP('Customer Info'!C2559,'Customer Info'!C2559:C3058,1)</f>
        <v>#N/A</v>
      </c>
      <c r="I2567" s="6" t="e">
        <f>VLOOKUP('Customer Info'!E2559,'Customer Info'!E2559:E3058,1,0)</f>
        <v>#N/A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355</v>
      </c>
      <c r="R2567" s="2" t="s">
        <v>50</v>
      </c>
      <c r="S2567" s="9">
        <f t="shared" si="199"/>
        <v>0.02</v>
      </c>
    </row>
    <row r="2568" spans="1:19" x14ac:dyDescent="0.3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e">
        <f>VLOOKUP('Customer Info'!B2560,'Customer Info'!B2560:B3059,1,0)</f>
        <v>#N/A</v>
      </c>
      <c r="H2568" s="6" t="e">
        <f>VLOOKUP('Customer Info'!C2560,'Customer Info'!C2560:C3059,1)</f>
        <v>#N/A</v>
      </c>
      <c r="I2568" s="6" t="e">
        <f>VLOOKUP('Customer Info'!E2560,'Customer Info'!E2560:E3059,1,0)</f>
        <v>#N/A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382</v>
      </c>
      <c r="R2568" s="2" t="s">
        <v>50</v>
      </c>
      <c r="S2568" s="9">
        <f t="shared" si="199"/>
        <v>0.05</v>
      </c>
    </row>
    <row r="2569" spans="1:19" x14ac:dyDescent="0.3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e">
        <f>VLOOKUP('Customer Info'!B2561,'Customer Info'!B2561:B3060,1,0)</f>
        <v>#N/A</v>
      </c>
      <c r="H2569" s="6" t="e">
        <f>VLOOKUP('Customer Info'!C2561,'Customer Info'!C2561:C3060,1)</f>
        <v>#N/A</v>
      </c>
      <c r="I2569" s="6" t="e">
        <f>VLOOKUP('Customer Info'!E2561,'Customer Info'!E2561:E3060,1,0)</f>
        <v>#N/A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237</v>
      </c>
      <c r="R2569" s="2" t="s">
        <v>50</v>
      </c>
      <c r="S2569" s="9">
        <f t="shared" si="199"/>
        <v>0.02</v>
      </c>
    </row>
    <row r="2570" spans="1:19" x14ac:dyDescent="0.3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e">
        <f>VLOOKUP('Customer Info'!B2562,'Customer Info'!B2562:B3061,1,0)</f>
        <v>#N/A</v>
      </c>
      <c r="H2570" s="6" t="e">
        <f>VLOOKUP('Customer Info'!C2562,'Customer Info'!C2562:C3061,1)</f>
        <v>#N/A</v>
      </c>
      <c r="I2570" s="6" t="e">
        <f>VLOOKUP('Customer Info'!E2562,'Customer Info'!E2562:E3061,1,0)</f>
        <v>#N/A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1200</v>
      </c>
      <c r="R2570" s="2" t="s">
        <v>28</v>
      </c>
      <c r="S2570" s="9">
        <f t="shared" si="199"/>
        <v>0.05</v>
      </c>
    </row>
    <row r="2571" spans="1:19" x14ac:dyDescent="0.3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e">
        <f>VLOOKUP('Customer Info'!B2563,'Customer Info'!B2563:B3062,1,0)</f>
        <v>#N/A</v>
      </c>
      <c r="H2571" s="6" t="e">
        <f>VLOOKUP('Customer Info'!C2563,'Customer Info'!C2563:C3062,1)</f>
        <v>#N/A</v>
      </c>
      <c r="I2571" s="6" t="e">
        <f>VLOOKUP('Customer Info'!E2563,'Customer Info'!E2563:E3062,1,0)</f>
        <v>#N/A</v>
      </c>
      <c r="J2571" s="2">
        <v>1169</v>
      </c>
      <c r="K2571" s="2">
        <v>1072</v>
      </c>
      <c r="L2571" s="2">
        <v>5</v>
      </c>
      <c r="M2571" s="7">
        <f t="shared" ref="M2571:M2634" si="200">(K2571*L2571)</f>
        <v>5360</v>
      </c>
      <c r="N2571" s="7">
        <f t="shared" ref="N2571:N2634" si="201">(J2571*L2571)</f>
        <v>5845</v>
      </c>
      <c r="O2571" s="2">
        <v>83</v>
      </c>
      <c r="P2571" s="8">
        <f t="shared" ref="P2571:P2634" si="202">(N2571+O2571)</f>
        <v>5928</v>
      </c>
      <c r="Q2571" s="8">
        <f t="shared" ref="Q2571:Q2634" si="203">(N2571-M2571)</f>
        <v>485</v>
      </c>
      <c r="R2571" s="2" t="s">
        <v>28</v>
      </c>
      <c r="S2571" s="9">
        <f t="shared" ref="S2571:S2634" si="204">_xlfn.IFS(P2571&gt;250000,0.15,P2571&gt;100000,0.12,P2571&gt;50000,0.09,P2571&gt;25000,0.07,P2571&gt;5000,0.05,
 TRUE,0.02)</f>
        <v>0.05</v>
      </c>
    </row>
    <row r="2572" spans="1:19" x14ac:dyDescent="0.3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e">
        <f>VLOOKUP('Customer Info'!B2564,'Customer Info'!B2564:B3063,1,0)</f>
        <v>#N/A</v>
      </c>
      <c r="H2572" s="6" t="e">
        <f>VLOOKUP('Customer Info'!C2564,'Customer Info'!C2564:C3063,1)</f>
        <v>#N/A</v>
      </c>
      <c r="I2572" s="6" t="e">
        <f>VLOOKUP('Customer Info'!E2564,'Customer Info'!E2564:E3063,1,0)</f>
        <v>#N/A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65</v>
      </c>
      <c r="R2572" s="2" t="s">
        <v>50</v>
      </c>
      <c r="S2572" s="9">
        <f t="shared" si="204"/>
        <v>0.02</v>
      </c>
    </row>
    <row r="2573" spans="1:19" x14ac:dyDescent="0.3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e">
        <f>VLOOKUP('Customer Info'!B2565,'Customer Info'!B2565:B3064,1,0)</f>
        <v>#N/A</v>
      </c>
      <c r="H2573" s="6" t="e">
        <f>VLOOKUP('Customer Info'!C2565,'Customer Info'!C2565:C3064,1)</f>
        <v>#N/A</v>
      </c>
      <c r="I2573" s="6" t="e">
        <f>VLOOKUP('Customer Info'!E2565,'Customer Info'!E2565:E3064,1,0)</f>
        <v>#N/A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216</v>
      </c>
      <c r="R2573" s="2" t="s">
        <v>50</v>
      </c>
      <c r="S2573" s="9">
        <f t="shared" si="204"/>
        <v>0.02</v>
      </c>
    </row>
    <row r="2574" spans="1:19" x14ac:dyDescent="0.3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e">
        <f>VLOOKUP('Customer Info'!B2566,'Customer Info'!B2566:B3065,1,0)</f>
        <v>#N/A</v>
      </c>
      <c r="H2574" s="6" t="e">
        <f>VLOOKUP('Customer Info'!C2566,'Customer Info'!C2566:C3065,1)</f>
        <v>#N/A</v>
      </c>
      <c r="I2574" s="6" t="e">
        <f>VLOOKUP('Customer Info'!E2566,'Customer Info'!E2566:E3065,1,0)</f>
        <v>#N/A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762</v>
      </c>
      <c r="R2574" s="2" t="s">
        <v>28</v>
      </c>
      <c r="S2574" s="9">
        <f t="shared" si="204"/>
        <v>0.05</v>
      </c>
    </row>
    <row r="2575" spans="1:19" x14ac:dyDescent="0.3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e">
        <f>VLOOKUP('Customer Info'!B2567,'Customer Info'!B2567:B3066,1,0)</f>
        <v>#N/A</v>
      </c>
      <c r="H2575" s="6" t="e">
        <f>VLOOKUP('Customer Info'!C2567,'Customer Info'!C2567:C3066,1)</f>
        <v>#N/A</v>
      </c>
      <c r="I2575" s="6" t="e">
        <f>VLOOKUP('Customer Info'!E2567,'Customer Info'!E2567:E3066,1,0)</f>
        <v>#N/A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530</v>
      </c>
      <c r="R2575" s="2" t="s">
        <v>50</v>
      </c>
      <c r="S2575" s="9">
        <f t="shared" si="204"/>
        <v>0.05</v>
      </c>
    </row>
    <row r="2576" spans="1:19" x14ac:dyDescent="0.3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e">
        <f>VLOOKUP('Customer Info'!B2568,'Customer Info'!B2568:B3067,1,0)</f>
        <v>#N/A</v>
      </c>
      <c r="H2576" s="6" t="e">
        <f>VLOOKUP('Customer Info'!C2568,'Customer Info'!C2568:C3067,1)</f>
        <v>#N/A</v>
      </c>
      <c r="I2576" s="6" t="e">
        <f>VLOOKUP('Customer Info'!E2568,'Customer Info'!E2568:E3067,1,0)</f>
        <v>#N/A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2055</v>
      </c>
      <c r="R2576" s="2" t="s">
        <v>28</v>
      </c>
      <c r="S2576" s="9">
        <f t="shared" si="204"/>
        <v>0.05</v>
      </c>
    </row>
    <row r="2577" spans="1:19" x14ac:dyDescent="0.3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e">
        <f>VLOOKUP('Customer Info'!B2569,'Customer Info'!B2569:B3068,1,0)</f>
        <v>#N/A</v>
      </c>
      <c r="H2577" s="6" t="e">
        <f>VLOOKUP('Customer Info'!C2569,'Customer Info'!C2569:C3068,1)</f>
        <v>#N/A</v>
      </c>
      <c r="I2577" s="6" t="e">
        <f>VLOOKUP('Customer Info'!E2569,'Customer Info'!E2569:E3068,1,0)</f>
        <v>#N/A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43</v>
      </c>
      <c r="R2577" s="2" t="s">
        <v>50</v>
      </c>
      <c r="S2577" s="9">
        <f t="shared" si="204"/>
        <v>0.02</v>
      </c>
    </row>
    <row r="2578" spans="1:19" x14ac:dyDescent="0.3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e">
        <f>VLOOKUP('Customer Info'!B2570,'Customer Info'!B2570:B3069,1,0)</f>
        <v>#N/A</v>
      </c>
      <c r="H2578" s="6" t="e">
        <f>VLOOKUP('Customer Info'!C2570,'Customer Info'!C2570:C3069,1)</f>
        <v>#N/A</v>
      </c>
      <c r="I2578" s="6" t="e">
        <f>VLOOKUP('Customer Info'!E2570,'Customer Info'!E2570:E3069,1,0)</f>
        <v>#N/A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729</v>
      </c>
      <c r="R2578" s="2" t="s">
        <v>28</v>
      </c>
      <c r="S2578" s="9">
        <f t="shared" si="204"/>
        <v>0.05</v>
      </c>
    </row>
    <row r="2579" spans="1:19" x14ac:dyDescent="0.3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e">
        <f>VLOOKUP('Customer Info'!B2571,'Customer Info'!B2571:B3070,1,0)</f>
        <v>#N/A</v>
      </c>
      <c r="H2579" s="6" t="e">
        <f>VLOOKUP('Customer Info'!C2571,'Customer Info'!C2571:C3070,1)</f>
        <v>#N/A</v>
      </c>
      <c r="I2579" s="6" t="e">
        <f>VLOOKUP('Customer Info'!E2571,'Customer Info'!E2571:E3070,1,0)</f>
        <v>#N/A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104</v>
      </c>
      <c r="R2579" s="2" t="s">
        <v>50</v>
      </c>
      <c r="S2579" s="9">
        <f t="shared" si="204"/>
        <v>0.02</v>
      </c>
    </row>
    <row r="2580" spans="1:19" x14ac:dyDescent="0.3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e">
        <f>VLOOKUP('Customer Info'!B2572,'Customer Info'!B2572:B3071,1,0)</f>
        <v>#N/A</v>
      </c>
      <c r="H2580" s="6" t="e">
        <f>VLOOKUP('Customer Info'!C2572,'Customer Info'!C2572:C3071,1)</f>
        <v>#N/A</v>
      </c>
      <c r="I2580" s="6" t="e">
        <f>VLOOKUP('Customer Info'!E2572,'Customer Info'!E2572:E3071,1,0)</f>
        <v>#N/A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192</v>
      </c>
      <c r="R2580" s="2" t="s">
        <v>50</v>
      </c>
      <c r="S2580" s="9">
        <f t="shared" si="204"/>
        <v>0.02</v>
      </c>
    </row>
    <row r="2581" spans="1:19" x14ac:dyDescent="0.3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e">
        <f>VLOOKUP('Customer Info'!B2573,'Customer Info'!B2573:B3072,1,0)</f>
        <v>#N/A</v>
      </c>
      <c r="H2581" s="6" t="e">
        <f>VLOOKUP('Customer Info'!C2573,'Customer Info'!C2573:C3072,1)</f>
        <v>#N/A</v>
      </c>
      <c r="I2581" s="6" t="e">
        <f>VLOOKUP('Customer Info'!E2573,'Customer Info'!E2573:E3072,1,0)</f>
        <v>#N/A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72</v>
      </c>
      <c r="R2581" s="2" t="s">
        <v>28</v>
      </c>
      <c r="S2581" s="9">
        <f t="shared" si="204"/>
        <v>0.02</v>
      </c>
    </row>
    <row r="2582" spans="1:19" x14ac:dyDescent="0.3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e">
        <f>VLOOKUP('Customer Info'!B2574,'Customer Info'!B2574:B3073,1,0)</f>
        <v>#N/A</v>
      </c>
      <c r="H2582" s="6" t="e">
        <f>VLOOKUP('Customer Info'!C2574,'Customer Info'!C2574:C3073,1)</f>
        <v>#N/A</v>
      </c>
      <c r="I2582" s="6" t="e">
        <f>VLOOKUP('Customer Info'!E2574,'Customer Info'!E2574:E3073,1,0)</f>
        <v>#N/A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5</v>
      </c>
      <c r="R2582" s="2" t="s">
        <v>28</v>
      </c>
      <c r="S2582" s="9">
        <f t="shared" si="204"/>
        <v>0.02</v>
      </c>
    </row>
    <row r="2583" spans="1:19" x14ac:dyDescent="0.3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e">
        <f>VLOOKUP('Customer Info'!B2575,'Customer Info'!B2575:B3074,1,0)</f>
        <v>#N/A</v>
      </c>
      <c r="H2583" s="6" t="e">
        <f>VLOOKUP('Customer Info'!C2575,'Customer Info'!C2575:C3074,1)</f>
        <v>#N/A</v>
      </c>
      <c r="I2583" s="6" t="e">
        <f>VLOOKUP('Customer Info'!E2575,'Customer Info'!E2575:E3074,1,0)</f>
        <v>#N/A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18</v>
      </c>
      <c r="R2583" s="2" t="s">
        <v>28</v>
      </c>
      <c r="S2583" s="9">
        <f t="shared" si="204"/>
        <v>0.02</v>
      </c>
    </row>
    <row r="2584" spans="1:19" x14ac:dyDescent="0.3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e">
        <f>VLOOKUP('Customer Info'!B2576,'Customer Info'!B2576:B3075,1,0)</f>
        <v>#N/A</v>
      </c>
      <c r="H2584" s="6" t="e">
        <f>VLOOKUP('Customer Info'!C2576,'Customer Info'!C2576:C3075,1)</f>
        <v>#N/A</v>
      </c>
      <c r="I2584" s="6" t="e">
        <f>VLOOKUP('Customer Info'!E2576,'Customer Info'!E2576:E3075,1,0)</f>
        <v>#N/A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385</v>
      </c>
      <c r="R2584" s="2" t="s">
        <v>28</v>
      </c>
      <c r="S2584" s="9">
        <f t="shared" si="204"/>
        <v>0.05</v>
      </c>
    </row>
    <row r="2585" spans="1:19" x14ac:dyDescent="0.3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e">
        <f>VLOOKUP('Customer Info'!B2577,'Customer Info'!B2577:B3076,1,0)</f>
        <v>#N/A</v>
      </c>
      <c r="H2585" s="6" t="e">
        <f>VLOOKUP('Customer Info'!C2577,'Customer Info'!C2577:C3076,1)</f>
        <v>#N/A</v>
      </c>
      <c r="I2585" s="6" t="e">
        <f>VLOOKUP('Customer Info'!E2577,'Customer Info'!E2577:E3076,1,0)</f>
        <v>#N/A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1064</v>
      </c>
      <c r="R2585" s="2" t="s">
        <v>28</v>
      </c>
      <c r="S2585" s="9">
        <f t="shared" si="204"/>
        <v>0.05</v>
      </c>
    </row>
    <row r="2586" spans="1:19" x14ac:dyDescent="0.3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e">
        <f>VLOOKUP('Customer Info'!B2578,'Customer Info'!B2578:B3077,1,0)</f>
        <v>#N/A</v>
      </c>
      <c r="H2586" s="6" t="e">
        <f>VLOOKUP('Customer Info'!C2578,'Customer Info'!C2578:C3077,1)</f>
        <v>#N/A</v>
      </c>
      <c r="I2586" s="6" t="e">
        <f>VLOOKUP('Customer Info'!E2578,'Customer Info'!E2578:E3077,1,0)</f>
        <v>#N/A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9114</v>
      </c>
      <c r="R2586" s="2" t="s">
        <v>26</v>
      </c>
      <c r="S2586" s="9">
        <f t="shared" si="204"/>
        <v>0.12</v>
      </c>
    </row>
    <row r="2587" spans="1:19" x14ac:dyDescent="0.3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e">
        <f>VLOOKUP('Customer Info'!B2579,'Customer Info'!B2579:B3078,1,0)</f>
        <v>#N/A</v>
      </c>
      <c r="H2587" s="6" t="e">
        <f>VLOOKUP('Customer Info'!C2579,'Customer Info'!C2579:C3078,1)</f>
        <v>#N/A</v>
      </c>
      <c r="I2587" s="6" t="e">
        <f>VLOOKUP('Customer Info'!E2579,'Customer Info'!E2579:E3078,1,0)</f>
        <v>#N/A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417</v>
      </c>
      <c r="R2587" s="2" t="s">
        <v>50</v>
      </c>
      <c r="S2587" s="9">
        <f t="shared" si="204"/>
        <v>0.05</v>
      </c>
    </row>
    <row r="2588" spans="1:19" x14ac:dyDescent="0.3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e">
        <f>VLOOKUP('Customer Info'!B2580,'Customer Info'!B2580:B3079,1,0)</f>
        <v>#N/A</v>
      </c>
      <c r="H2588" s="6" t="e">
        <f>VLOOKUP('Customer Info'!C2580,'Customer Info'!C2580:C3079,1)</f>
        <v>#N/A</v>
      </c>
      <c r="I2588" s="6" t="e">
        <f>VLOOKUP('Customer Info'!E2580,'Customer Info'!E2580:E3079,1,0)</f>
        <v>#N/A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168</v>
      </c>
      <c r="R2588" s="2" t="s">
        <v>28</v>
      </c>
      <c r="S2588" s="9">
        <f t="shared" si="204"/>
        <v>0.02</v>
      </c>
    </row>
    <row r="2589" spans="1:19" x14ac:dyDescent="0.3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e">
        <f>VLOOKUP('Customer Info'!B2581,'Customer Info'!B2581:B3080,1,0)</f>
        <v>#N/A</v>
      </c>
      <c r="H2589" s="6" t="e">
        <f>VLOOKUP('Customer Info'!C2581,'Customer Info'!C2581:C3080,1)</f>
        <v>#N/A</v>
      </c>
      <c r="I2589" s="6" t="e">
        <f>VLOOKUP('Customer Info'!E2581,'Customer Info'!E2581:E3080,1,0)</f>
        <v>#N/A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252</v>
      </c>
      <c r="R2589" s="2" t="s">
        <v>50</v>
      </c>
      <c r="S2589" s="9">
        <f t="shared" si="204"/>
        <v>0.02</v>
      </c>
    </row>
    <row r="2590" spans="1:19" x14ac:dyDescent="0.3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e">
        <f>VLOOKUP('Customer Info'!B2582,'Customer Info'!B2582:B3081,1,0)</f>
        <v>#N/A</v>
      </c>
      <c r="H2590" s="6" t="e">
        <f>VLOOKUP('Customer Info'!C2582,'Customer Info'!C2582:C3081,1)</f>
        <v>#N/A</v>
      </c>
      <c r="I2590" s="6" t="e">
        <f>VLOOKUP('Customer Info'!E2582,'Customer Info'!E2582:E3081,1,0)</f>
        <v>#N/A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765</v>
      </c>
      <c r="R2590" s="2" t="s">
        <v>28</v>
      </c>
      <c r="S2590" s="9">
        <f t="shared" si="204"/>
        <v>0.05</v>
      </c>
    </row>
    <row r="2591" spans="1:19" x14ac:dyDescent="0.3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e">
        <f>VLOOKUP('Customer Info'!B2583,'Customer Info'!B2583:B3082,1,0)</f>
        <v>#N/A</v>
      </c>
      <c r="H2591" s="6" t="e">
        <f>VLOOKUP('Customer Info'!C2583,'Customer Info'!C2583:C3082,1)</f>
        <v>#N/A</v>
      </c>
      <c r="I2591" s="6" t="e">
        <f>VLOOKUP('Customer Info'!E2583,'Customer Info'!E2583:E3082,1,0)</f>
        <v>#N/A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70</v>
      </c>
      <c r="R2591" s="2" t="s">
        <v>28</v>
      </c>
      <c r="S2591" s="9">
        <f t="shared" si="204"/>
        <v>0.02</v>
      </c>
    </row>
    <row r="2592" spans="1:19" x14ac:dyDescent="0.3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e">
        <f>VLOOKUP('Customer Info'!B2584,'Customer Info'!B2584:B3083,1,0)</f>
        <v>#N/A</v>
      </c>
      <c r="H2592" s="6" t="e">
        <f>VLOOKUP('Customer Info'!C2584,'Customer Info'!C2584:C3083,1)</f>
        <v>#N/A</v>
      </c>
      <c r="I2592" s="6" t="e">
        <f>VLOOKUP('Customer Info'!E2584,'Customer Info'!E2584:E3083,1,0)</f>
        <v>#N/A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28</v>
      </c>
      <c r="R2592" s="2" t="s">
        <v>50</v>
      </c>
      <c r="S2592" s="9">
        <f t="shared" si="204"/>
        <v>0.02</v>
      </c>
    </row>
    <row r="2593" spans="1:19" x14ac:dyDescent="0.3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e">
        <f>VLOOKUP('Customer Info'!B2585,'Customer Info'!B2585:B3084,1,0)</f>
        <v>#N/A</v>
      </c>
      <c r="H2593" s="6" t="e">
        <f>VLOOKUP('Customer Info'!C2585,'Customer Info'!C2585:C3084,1)</f>
        <v>#N/A</v>
      </c>
      <c r="I2593" s="6" t="e">
        <f>VLOOKUP('Customer Info'!E2585,'Customer Info'!E2585:E3084,1,0)</f>
        <v>#N/A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106</v>
      </c>
      <c r="R2593" s="2" t="s">
        <v>50</v>
      </c>
      <c r="S2593" s="9">
        <f t="shared" si="204"/>
        <v>0.02</v>
      </c>
    </row>
    <row r="2594" spans="1:19" x14ac:dyDescent="0.3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e">
        <f>VLOOKUP('Customer Info'!B2586,'Customer Info'!B2586:B3085,1,0)</f>
        <v>#N/A</v>
      </c>
      <c r="H2594" s="6" t="e">
        <f>VLOOKUP('Customer Info'!C2586,'Customer Info'!C2586:C3085,1)</f>
        <v>#N/A</v>
      </c>
      <c r="I2594" s="6" t="e">
        <f>VLOOKUP('Customer Info'!E2586,'Customer Info'!E2586:E3085,1,0)</f>
        <v>#N/A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120</v>
      </c>
      <c r="R2594" s="2" t="s">
        <v>28</v>
      </c>
      <c r="S2594" s="9">
        <f t="shared" si="204"/>
        <v>0.02</v>
      </c>
    </row>
    <row r="2595" spans="1:19" x14ac:dyDescent="0.3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e">
        <f>VLOOKUP('Customer Info'!B2587,'Customer Info'!B2587:B3086,1,0)</f>
        <v>#N/A</v>
      </c>
      <c r="H2595" s="6" t="e">
        <f>VLOOKUP('Customer Info'!C2587,'Customer Info'!C2587:C3086,1)</f>
        <v>#N/A</v>
      </c>
      <c r="I2595" s="6" t="e">
        <f>VLOOKUP('Customer Info'!E2587,'Customer Info'!E2587:E3086,1,0)</f>
        <v>#N/A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81</v>
      </c>
      <c r="R2595" s="2" t="s">
        <v>28</v>
      </c>
      <c r="S2595" s="9">
        <f t="shared" si="204"/>
        <v>0.02</v>
      </c>
    </row>
    <row r="2596" spans="1:19" x14ac:dyDescent="0.3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e">
        <f>VLOOKUP('Customer Info'!B2588,'Customer Info'!B2588:B3087,1,0)</f>
        <v>#N/A</v>
      </c>
      <c r="H2596" s="6" t="e">
        <f>VLOOKUP('Customer Info'!C2588,'Customer Info'!C2588:C3087,1)</f>
        <v>#N/A</v>
      </c>
      <c r="I2596" s="6" t="e">
        <f>VLOOKUP('Customer Info'!E2588,'Customer Info'!E2588:E3087,1,0)</f>
        <v>#N/A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14</v>
      </c>
      <c r="R2596" s="2" t="s">
        <v>28</v>
      </c>
      <c r="S2596" s="9">
        <f t="shared" si="204"/>
        <v>0.02</v>
      </c>
    </row>
    <row r="2597" spans="1:19" x14ac:dyDescent="0.3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e">
        <f>VLOOKUP('Customer Info'!B2589,'Customer Info'!B2589:B3088,1,0)</f>
        <v>#N/A</v>
      </c>
      <c r="H2597" s="6" t="e">
        <f>VLOOKUP('Customer Info'!C2589,'Customer Info'!C2589:C3088,1)</f>
        <v>#N/A</v>
      </c>
      <c r="I2597" s="6" t="e">
        <f>VLOOKUP('Customer Info'!E2589,'Customer Info'!E2589:E3088,1,0)</f>
        <v>#N/A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252</v>
      </c>
      <c r="R2597" s="2" t="s">
        <v>26</v>
      </c>
      <c r="S2597" s="9">
        <f t="shared" si="204"/>
        <v>0.05</v>
      </c>
    </row>
    <row r="2598" spans="1:19" x14ac:dyDescent="0.3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e">
        <f>VLOOKUP('Customer Info'!B2590,'Customer Info'!B2590:B3089,1,0)</f>
        <v>#N/A</v>
      </c>
      <c r="H2598" s="6" t="e">
        <f>VLOOKUP('Customer Info'!C2590,'Customer Info'!C2590:C3089,1)</f>
        <v>#N/A</v>
      </c>
      <c r="I2598" s="6" t="e">
        <f>VLOOKUP('Customer Info'!E2590,'Customer Info'!E2590:E3089,1,0)</f>
        <v>#N/A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478</v>
      </c>
      <c r="R2598" s="2" t="s">
        <v>26</v>
      </c>
      <c r="S2598" s="9">
        <f t="shared" si="204"/>
        <v>0.05</v>
      </c>
    </row>
    <row r="2599" spans="1:19" x14ac:dyDescent="0.3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e">
        <f>VLOOKUP('Customer Info'!B2591,'Customer Info'!B2591:B3090,1,0)</f>
        <v>#N/A</v>
      </c>
      <c r="H2599" s="6" t="e">
        <f>VLOOKUP('Customer Info'!C2591,'Customer Info'!C2591:C3090,1)</f>
        <v>#N/A</v>
      </c>
      <c r="I2599" s="6" t="e">
        <f>VLOOKUP('Customer Info'!E2591,'Customer Info'!E2591:E3090,1,0)</f>
        <v>#N/A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1896</v>
      </c>
      <c r="R2599" s="2" t="s">
        <v>28</v>
      </c>
      <c r="S2599" s="9">
        <f t="shared" si="204"/>
        <v>7.0000000000000007E-2</v>
      </c>
    </row>
    <row r="2600" spans="1:19" x14ac:dyDescent="0.3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e">
        <f>VLOOKUP('Customer Info'!B2592,'Customer Info'!B2592:B3091,1,0)</f>
        <v>#N/A</v>
      </c>
      <c r="H2600" s="6" t="e">
        <f>VLOOKUP('Customer Info'!C2592,'Customer Info'!C2592:C3091,1)</f>
        <v>#N/A</v>
      </c>
      <c r="I2600" s="6" t="e">
        <f>VLOOKUP('Customer Info'!E2592,'Customer Info'!E2592:E3091,1,0)</f>
        <v>#N/A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24</v>
      </c>
      <c r="R2600" s="2" t="s">
        <v>50</v>
      </c>
      <c r="S2600" s="9">
        <f t="shared" si="204"/>
        <v>0.02</v>
      </c>
    </row>
    <row r="2601" spans="1:19" x14ac:dyDescent="0.3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e">
        <f>VLOOKUP('Customer Info'!B2593,'Customer Info'!B2593:B3092,1,0)</f>
        <v>#N/A</v>
      </c>
      <c r="H2601" s="6" t="e">
        <f>VLOOKUP('Customer Info'!C2593,'Customer Info'!C2593:C3092,1)</f>
        <v>#N/A</v>
      </c>
      <c r="I2601" s="6" t="e">
        <f>VLOOKUP('Customer Info'!E2593,'Customer Info'!E2593:E3092,1,0)</f>
        <v>#N/A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1414</v>
      </c>
      <c r="R2601" s="2" t="s">
        <v>50</v>
      </c>
      <c r="S2601" s="9">
        <f t="shared" si="204"/>
        <v>0.05</v>
      </c>
    </row>
    <row r="2602" spans="1:19" x14ac:dyDescent="0.3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e">
        <f>VLOOKUP('Customer Info'!B2594,'Customer Info'!B2594:B3093,1,0)</f>
        <v>#N/A</v>
      </c>
      <c r="H2602" s="6" t="e">
        <f>VLOOKUP('Customer Info'!C2594,'Customer Info'!C2594:C3093,1)</f>
        <v>#N/A</v>
      </c>
      <c r="I2602" s="6" t="e">
        <f>VLOOKUP('Customer Info'!E2594,'Customer Info'!E2594:E3093,1,0)</f>
        <v>#N/A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1194</v>
      </c>
      <c r="R2602" s="2" t="s">
        <v>50</v>
      </c>
      <c r="S2602" s="9">
        <f t="shared" si="204"/>
        <v>0.05</v>
      </c>
    </row>
    <row r="2603" spans="1:19" x14ac:dyDescent="0.3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e">
        <f>VLOOKUP('Customer Info'!B2595,'Customer Info'!B2595:B3094,1,0)</f>
        <v>#N/A</v>
      </c>
      <c r="H2603" s="6" t="e">
        <f>VLOOKUP('Customer Info'!C2595,'Customer Info'!C2595:C3094,1)</f>
        <v>#N/A</v>
      </c>
      <c r="I2603" s="6" t="e">
        <f>VLOOKUP('Customer Info'!E2595,'Customer Info'!E2595:E3094,1,0)</f>
        <v>#N/A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384</v>
      </c>
      <c r="R2603" s="2" t="s">
        <v>28</v>
      </c>
      <c r="S2603" s="9">
        <f t="shared" si="204"/>
        <v>0.05</v>
      </c>
    </row>
    <row r="2604" spans="1:19" x14ac:dyDescent="0.3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e">
        <f>VLOOKUP('Customer Info'!B2596,'Customer Info'!B2596:B3095,1,0)</f>
        <v>#N/A</v>
      </c>
      <c r="H2604" s="6" t="e">
        <f>VLOOKUP('Customer Info'!C2596,'Customer Info'!C2596:C3095,1)</f>
        <v>#N/A</v>
      </c>
      <c r="I2604" s="6" t="e">
        <f>VLOOKUP('Customer Info'!E2596,'Customer Info'!E2596:E3095,1,0)</f>
        <v>#N/A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312</v>
      </c>
      <c r="R2604" s="2" t="s">
        <v>28</v>
      </c>
      <c r="S2604" s="9">
        <f t="shared" si="204"/>
        <v>0.05</v>
      </c>
    </row>
    <row r="2605" spans="1:19" x14ac:dyDescent="0.3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e">
        <f>VLOOKUP('Customer Info'!B2597,'Customer Info'!B2597:B3096,1,0)</f>
        <v>#N/A</v>
      </c>
      <c r="H2605" s="6" t="e">
        <f>VLOOKUP('Customer Info'!C2597,'Customer Info'!C2597:C3096,1)</f>
        <v>#N/A</v>
      </c>
      <c r="I2605" s="6" t="e">
        <f>VLOOKUP('Customer Info'!E2597,'Customer Info'!E2597:E3096,1,0)</f>
        <v>#N/A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651</v>
      </c>
      <c r="R2605" s="2" t="s">
        <v>50</v>
      </c>
      <c r="S2605" s="9">
        <f t="shared" si="204"/>
        <v>0.05</v>
      </c>
    </row>
    <row r="2606" spans="1:19" x14ac:dyDescent="0.3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e">
        <f>VLOOKUP('Customer Info'!B2598,'Customer Info'!B2598:B3097,1,0)</f>
        <v>#N/A</v>
      </c>
      <c r="H2606" s="6" t="e">
        <f>VLOOKUP('Customer Info'!C2598,'Customer Info'!C2598:C3097,1)</f>
        <v>#N/A</v>
      </c>
      <c r="I2606" s="6" t="e">
        <f>VLOOKUP('Customer Info'!E2598,'Customer Info'!E2598:E3097,1,0)</f>
        <v>#N/A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16</v>
      </c>
      <c r="R2606" s="2" t="s">
        <v>28</v>
      </c>
      <c r="S2606" s="9">
        <f t="shared" si="204"/>
        <v>0.02</v>
      </c>
    </row>
    <row r="2607" spans="1:19" x14ac:dyDescent="0.3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e">
        <f>VLOOKUP('Customer Info'!B2599,'Customer Info'!B2599:B3098,1,0)</f>
        <v>#N/A</v>
      </c>
      <c r="H2607" s="6" t="e">
        <f>VLOOKUP('Customer Info'!C2599,'Customer Info'!C2599:C3098,1)</f>
        <v>#N/A</v>
      </c>
      <c r="I2607" s="6" t="e">
        <f>VLOOKUP('Customer Info'!E2599,'Customer Info'!E2599:E3098,1,0)</f>
        <v>#N/A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474</v>
      </c>
      <c r="R2607" s="2" t="s">
        <v>50</v>
      </c>
      <c r="S2607" s="9">
        <f t="shared" si="204"/>
        <v>0.05</v>
      </c>
    </row>
    <row r="2608" spans="1:19" x14ac:dyDescent="0.3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e">
        <f>VLOOKUP('Customer Info'!B2600,'Customer Info'!B2600:B3099,1,0)</f>
        <v>#N/A</v>
      </c>
      <c r="H2608" s="6" t="e">
        <f>VLOOKUP('Customer Info'!C2600,'Customer Info'!C2600:C3099,1)</f>
        <v>#N/A</v>
      </c>
      <c r="I2608" s="6" t="e">
        <f>VLOOKUP('Customer Info'!E2600,'Customer Info'!E2600:E3099,1,0)</f>
        <v>#N/A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474</v>
      </c>
      <c r="R2608" s="2" t="s">
        <v>28</v>
      </c>
      <c r="S2608" s="9">
        <f t="shared" si="204"/>
        <v>0.05</v>
      </c>
    </row>
    <row r="2609" spans="1:19" x14ac:dyDescent="0.3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e">
        <f>VLOOKUP('Customer Info'!B2601,'Customer Info'!B2601:B3100,1,0)</f>
        <v>#N/A</v>
      </c>
      <c r="H2609" s="6" t="e">
        <f>VLOOKUP('Customer Info'!C2601,'Customer Info'!C2601:C3100,1)</f>
        <v>#N/A</v>
      </c>
      <c r="I2609" s="6" t="e">
        <f>VLOOKUP('Customer Info'!E2601,'Customer Info'!E2601:E3100,1,0)</f>
        <v>#N/A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1631</v>
      </c>
      <c r="R2609" s="2" t="s">
        <v>28</v>
      </c>
      <c r="S2609" s="9">
        <f t="shared" si="204"/>
        <v>0.05</v>
      </c>
    </row>
    <row r="2610" spans="1:19" x14ac:dyDescent="0.3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e">
        <f>VLOOKUP('Customer Info'!B2602,'Customer Info'!B2602:B3101,1,0)</f>
        <v>#N/A</v>
      </c>
      <c r="H2610" s="6" t="e">
        <f>VLOOKUP('Customer Info'!C2602,'Customer Info'!C2602:C3101,1)</f>
        <v>#N/A</v>
      </c>
      <c r="I2610" s="6" t="e">
        <f>VLOOKUP('Customer Info'!E2602,'Customer Info'!E2602:E3101,1,0)</f>
        <v>#N/A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429</v>
      </c>
      <c r="R2610" s="2" t="s">
        <v>28</v>
      </c>
      <c r="S2610" s="9">
        <f t="shared" si="204"/>
        <v>0.05</v>
      </c>
    </row>
    <row r="2611" spans="1:19" x14ac:dyDescent="0.3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e">
        <f>VLOOKUP('Customer Info'!B2603,'Customer Info'!B2603:B3102,1,0)</f>
        <v>#N/A</v>
      </c>
      <c r="H2611" s="6" t="e">
        <f>VLOOKUP('Customer Info'!C2603,'Customer Info'!C2603:C3102,1)</f>
        <v>#N/A</v>
      </c>
      <c r="I2611" s="6" t="e">
        <f>VLOOKUP('Customer Info'!E2603,'Customer Info'!E2603:E3102,1,0)</f>
        <v>#N/A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272</v>
      </c>
      <c r="R2611" s="2" t="s">
        <v>28</v>
      </c>
      <c r="S2611" s="9">
        <f t="shared" si="204"/>
        <v>0.02</v>
      </c>
    </row>
    <row r="2612" spans="1:19" x14ac:dyDescent="0.3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e">
        <f>VLOOKUP('Customer Info'!B2604,'Customer Info'!B2604:B3103,1,0)</f>
        <v>#N/A</v>
      </c>
      <c r="H2612" s="6" t="e">
        <f>VLOOKUP('Customer Info'!C2604,'Customer Info'!C2604:C3103,1)</f>
        <v>#N/A</v>
      </c>
      <c r="I2612" s="6" t="e">
        <f>VLOOKUP('Customer Info'!E2604,'Customer Info'!E2604:E3103,1,0)</f>
        <v>#N/A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2004</v>
      </c>
      <c r="R2612" s="2" t="s">
        <v>28</v>
      </c>
      <c r="S2612" s="9">
        <f t="shared" si="204"/>
        <v>0.05</v>
      </c>
    </row>
    <row r="2613" spans="1:19" x14ac:dyDescent="0.3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e">
        <f>VLOOKUP('Customer Info'!B2605,'Customer Info'!B2605:B3104,1,0)</f>
        <v>#N/A</v>
      </c>
      <c r="H2613" s="6" t="e">
        <f>VLOOKUP('Customer Info'!C2605,'Customer Info'!C2605:C3104,1)</f>
        <v>#N/A</v>
      </c>
      <c r="I2613" s="6" t="e">
        <f>VLOOKUP('Customer Info'!E2605,'Customer Info'!E2605:E3104,1,0)</f>
        <v>#N/A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24</v>
      </c>
      <c r="R2613" s="2" t="s">
        <v>28</v>
      </c>
      <c r="S2613" s="9">
        <f t="shared" si="204"/>
        <v>0.02</v>
      </c>
    </row>
    <row r="2614" spans="1:19" x14ac:dyDescent="0.3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e">
        <f>VLOOKUP('Customer Info'!B2606,'Customer Info'!B2606:B3105,1,0)</f>
        <v>#N/A</v>
      </c>
      <c r="H2614" s="6" t="e">
        <f>VLOOKUP('Customer Info'!C2606,'Customer Info'!C2606:C3105,1)</f>
        <v>#N/A</v>
      </c>
      <c r="I2614" s="6" t="e">
        <f>VLOOKUP('Customer Info'!E2606,'Customer Info'!E2606:E3105,1,0)</f>
        <v>#N/A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326</v>
      </c>
      <c r="R2614" s="2" t="s">
        <v>50</v>
      </c>
      <c r="S2614" s="9">
        <f t="shared" si="204"/>
        <v>0.02</v>
      </c>
    </row>
    <row r="2615" spans="1:19" x14ac:dyDescent="0.3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e">
        <f>VLOOKUP('Customer Info'!B2607,'Customer Info'!B2607:B3106,1,0)</f>
        <v>#N/A</v>
      </c>
      <c r="H2615" s="6" t="e">
        <f>VLOOKUP('Customer Info'!C2607,'Customer Info'!C2607:C3106,1)</f>
        <v>#N/A</v>
      </c>
      <c r="I2615" s="6" t="e">
        <f>VLOOKUP('Customer Info'!E2607,'Customer Info'!E2607:E3106,1,0)</f>
        <v>#N/A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1965</v>
      </c>
      <c r="R2615" s="2" t="s">
        <v>50</v>
      </c>
      <c r="S2615" s="9">
        <f t="shared" si="204"/>
        <v>0.05</v>
      </c>
    </row>
    <row r="2616" spans="1:19" x14ac:dyDescent="0.3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e">
        <f>VLOOKUP('Customer Info'!B2608,'Customer Info'!B2608:B3107,1,0)</f>
        <v>#N/A</v>
      </c>
      <c r="H2616" s="6" t="e">
        <f>VLOOKUP('Customer Info'!C2608,'Customer Info'!C2608:C3107,1)</f>
        <v>#N/A</v>
      </c>
      <c r="I2616" s="6" t="e">
        <f>VLOOKUP('Customer Info'!E2608,'Customer Info'!E2608:E3107,1,0)</f>
        <v>#N/A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480</v>
      </c>
      <c r="R2616" s="2" t="s">
        <v>26</v>
      </c>
      <c r="S2616" s="9">
        <f t="shared" si="204"/>
        <v>0.05</v>
      </c>
    </row>
    <row r="2617" spans="1:19" x14ac:dyDescent="0.3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e">
        <f>VLOOKUP('Customer Info'!B2609,'Customer Info'!B2609:B3108,1,0)</f>
        <v>#N/A</v>
      </c>
      <c r="H2617" s="6" t="e">
        <f>VLOOKUP('Customer Info'!C2609,'Customer Info'!C2609:C3108,1)</f>
        <v>#N/A</v>
      </c>
      <c r="I2617" s="6" t="e">
        <f>VLOOKUP('Customer Info'!E2609,'Customer Info'!E2609:E3108,1,0)</f>
        <v>#N/A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276</v>
      </c>
      <c r="R2617" s="2" t="s">
        <v>28</v>
      </c>
      <c r="S2617" s="9">
        <f t="shared" si="204"/>
        <v>0.02</v>
      </c>
    </row>
    <row r="2618" spans="1:19" x14ac:dyDescent="0.3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e">
        <f>VLOOKUP('Customer Info'!B2610,'Customer Info'!B2610:B3109,1,0)</f>
        <v>#N/A</v>
      </c>
      <c r="H2618" s="6" t="e">
        <f>VLOOKUP('Customer Info'!C2610,'Customer Info'!C2610:C3109,1)</f>
        <v>#N/A</v>
      </c>
      <c r="I2618" s="6" t="e">
        <f>VLOOKUP('Customer Info'!E2610,'Customer Info'!E2610:E3109,1,0)</f>
        <v>#N/A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2704</v>
      </c>
      <c r="R2618" s="2" t="s">
        <v>28</v>
      </c>
      <c r="S2618" s="9">
        <f t="shared" si="204"/>
        <v>7.0000000000000007E-2</v>
      </c>
    </row>
    <row r="2619" spans="1:19" x14ac:dyDescent="0.3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e">
        <f>VLOOKUP('Customer Info'!B2611,'Customer Info'!B2611:B3110,1,0)</f>
        <v>#N/A</v>
      </c>
      <c r="H2619" s="6" t="e">
        <f>VLOOKUP('Customer Info'!C2611,'Customer Info'!C2611:C3110,1)</f>
        <v>#N/A</v>
      </c>
      <c r="I2619" s="6" t="e">
        <f>VLOOKUP('Customer Info'!E2611,'Customer Info'!E2611:E3110,1,0)</f>
        <v>#N/A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3905</v>
      </c>
      <c r="R2619" s="2" t="s">
        <v>28</v>
      </c>
      <c r="S2619" s="9">
        <f t="shared" si="204"/>
        <v>0.09</v>
      </c>
    </row>
    <row r="2620" spans="1:19" x14ac:dyDescent="0.3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e">
        <f>VLOOKUP('Customer Info'!B2612,'Customer Info'!B2612:B3111,1,0)</f>
        <v>#N/A</v>
      </c>
      <c r="H2620" s="6" t="e">
        <f>VLOOKUP('Customer Info'!C2612,'Customer Info'!C2612:C3111,1)</f>
        <v>#N/A</v>
      </c>
      <c r="I2620" s="6" t="e">
        <f>VLOOKUP('Customer Info'!E2612,'Customer Info'!E2612:E3111,1,0)</f>
        <v>#N/A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338</v>
      </c>
      <c r="R2620" s="2" t="s">
        <v>28</v>
      </c>
      <c r="S2620" s="9">
        <f t="shared" si="204"/>
        <v>0.05</v>
      </c>
    </row>
    <row r="2621" spans="1:19" x14ac:dyDescent="0.3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e">
        <f>VLOOKUP('Customer Info'!B2613,'Customer Info'!B2613:B3112,1,0)</f>
        <v>#N/A</v>
      </c>
      <c r="H2621" s="6" t="e">
        <f>VLOOKUP('Customer Info'!C2613,'Customer Info'!C2613:C3112,1)</f>
        <v>#N/A</v>
      </c>
      <c r="I2621" s="6" t="e">
        <f>VLOOKUP('Customer Info'!E2613,'Customer Info'!E2613:E3112,1,0)</f>
        <v>#N/A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178</v>
      </c>
      <c r="R2621" s="2" t="s">
        <v>28</v>
      </c>
      <c r="S2621" s="9">
        <f t="shared" si="204"/>
        <v>0.02</v>
      </c>
    </row>
    <row r="2622" spans="1:19" x14ac:dyDescent="0.3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e">
        <f>VLOOKUP('Customer Info'!B2614,'Customer Info'!B2614:B3113,1,0)</f>
        <v>#N/A</v>
      </c>
      <c r="H2622" s="6" t="e">
        <f>VLOOKUP('Customer Info'!C2614,'Customer Info'!C2614:C3113,1)</f>
        <v>#N/A</v>
      </c>
      <c r="I2622" s="6" t="e">
        <f>VLOOKUP('Customer Info'!E2614,'Customer Info'!E2614:E3113,1,0)</f>
        <v>#N/A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348</v>
      </c>
      <c r="R2622" s="2" t="s">
        <v>56</v>
      </c>
      <c r="S2622" s="9">
        <f t="shared" si="204"/>
        <v>0.05</v>
      </c>
    </row>
    <row r="2623" spans="1:19" x14ac:dyDescent="0.3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e">
        <f>VLOOKUP('Customer Info'!B2615,'Customer Info'!B2615:B3114,1,0)</f>
        <v>#N/A</v>
      </c>
      <c r="H2623" s="6" t="e">
        <f>VLOOKUP('Customer Info'!C2615,'Customer Info'!C2615:C3114,1)</f>
        <v>#N/A</v>
      </c>
      <c r="I2623" s="6" t="e">
        <f>VLOOKUP('Customer Info'!E2615,'Customer Info'!E2615:E3114,1,0)</f>
        <v>#N/A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15</v>
      </c>
      <c r="R2623" s="2" t="s">
        <v>28</v>
      </c>
      <c r="S2623" s="9">
        <f t="shared" si="204"/>
        <v>0.02</v>
      </c>
    </row>
    <row r="2624" spans="1:19" x14ac:dyDescent="0.3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e">
        <f>VLOOKUP('Customer Info'!B2616,'Customer Info'!B2616:B3115,1,0)</f>
        <v>#N/A</v>
      </c>
      <c r="H2624" s="6" t="e">
        <f>VLOOKUP('Customer Info'!C2616,'Customer Info'!C2616:C3115,1)</f>
        <v>#N/A</v>
      </c>
      <c r="I2624" s="6" t="e">
        <f>VLOOKUP('Customer Info'!E2616,'Customer Info'!E2616:E3115,1,0)</f>
        <v>#N/A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63</v>
      </c>
      <c r="R2624" s="2" t="s">
        <v>28</v>
      </c>
      <c r="S2624" s="9">
        <f t="shared" si="204"/>
        <v>0.02</v>
      </c>
    </row>
    <row r="2625" spans="1:19" x14ac:dyDescent="0.3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e">
        <f>VLOOKUP('Customer Info'!B2617,'Customer Info'!B2617:B3116,1,0)</f>
        <v>#N/A</v>
      </c>
      <c r="H2625" s="6" t="e">
        <f>VLOOKUP('Customer Info'!C2617,'Customer Info'!C2617:C3116,1)</f>
        <v>#N/A</v>
      </c>
      <c r="I2625" s="6" t="e">
        <f>VLOOKUP('Customer Info'!E2617,'Customer Info'!E2617:E3116,1,0)</f>
        <v>#N/A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286</v>
      </c>
      <c r="R2625" s="2" t="s">
        <v>28</v>
      </c>
      <c r="S2625" s="9">
        <f t="shared" si="204"/>
        <v>0.05</v>
      </c>
    </row>
    <row r="2626" spans="1:19" x14ac:dyDescent="0.3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e">
        <f>VLOOKUP('Customer Info'!B2618,'Customer Info'!B2618:B3117,1,0)</f>
        <v>#N/A</v>
      </c>
      <c r="H2626" s="6" t="e">
        <f>VLOOKUP('Customer Info'!C2618,'Customer Info'!C2618:C3117,1)</f>
        <v>#N/A</v>
      </c>
      <c r="I2626" s="6" t="e">
        <f>VLOOKUP('Customer Info'!E2618,'Customer Info'!E2618:E3117,1,0)</f>
        <v>#N/A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26</v>
      </c>
      <c r="R2626" s="2" t="s">
        <v>28</v>
      </c>
      <c r="S2626" s="9">
        <f t="shared" si="204"/>
        <v>0.02</v>
      </c>
    </row>
    <row r="2627" spans="1:19" x14ac:dyDescent="0.3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e">
        <f>VLOOKUP('Customer Info'!B2619,'Customer Info'!B2619:B3118,1,0)</f>
        <v>#N/A</v>
      </c>
      <c r="H2627" s="6" t="e">
        <f>VLOOKUP('Customer Info'!C2619,'Customer Info'!C2619:C3118,1)</f>
        <v>#N/A</v>
      </c>
      <c r="I2627" s="6" t="e">
        <f>VLOOKUP('Customer Info'!E2619,'Customer Info'!E2619:E3118,1,0)</f>
        <v>#N/A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3380</v>
      </c>
      <c r="R2627" s="2" t="s">
        <v>28</v>
      </c>
      <c r="S2627" s="9">
        <f t="shared" si="204"/>
        <v>7.0000000000000007E-2</v>
      </c>
    </row>
    <row r="2628" spans="1:19" x14ac:dyDescent="0.3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e">
        <f>VLOOKUP('Customer Info'!B2620,'Customer Info'!B2620:B3119,1,0)</f>
        <v>#N/A</v>
      </c>
      <c r="H2628" s="6" t="e">
        <f>VLOOKUP('Customer Info'!C2620,'Customer Info'!C2620:C3119,1)</f>
        <v>#N/A</v>
      </c>
      <c r="I2628" s="6" t="e">
        <f>VLOOKUP('Customer Info'!E2620,'Customer Info'!E2620:E3119,1,0)</f>
        <v>#N/A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6939</v>
      </c>
      <c r="R2628" s="2" t="s">
        <v>50</v>
      </c>
      <c r="S2628" s="9">
        <f t="shared" si="204"/>
        <v>0.12</v>
      </c>
    </row>
    <row r="2629" spans="1:19" x14ac:dyDescent="0.3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e">
        <f>VLOOKUP('Customer Info'!B2621,'Customer Info'!B2621:B3120,1,0)</f>
        <v>#N/A</v>
      </c>
      <c r="H2629" s="6" t="e">
        <f>VLOOKUP('Customer Info'!C2621,'Customer Info'!C2621:C3120,1)</f>
        <v>#N/A</v>
      </c>
      <c r="I2629" s="6" t="e">
        <f>VLOOKUP('Customer Info'!E2621,'Customer Info'!E2621:E3120,1,0)</f>
        <v>#N/A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216</v>
      </c>
      <c r="R2629" s="2" t="s">
        <v>50</v>
      </c>
      <c r="S2629" s="9">
        <f t="shared" si="204"/>
        <v>0.05</v>
      </c>
    </row>
    <row r="2630" spans="1:19" x14ac:dyDescent="0.3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e">
        <f>VLOOKUP('Customer Info'!B2622,'Customer Info'!B2622:B3121,1,0)</f>
        <v>#N/A</v>
      </c>
      <c r="H2630" s="6" t="e">
        <f>VLOOKUP('Customer Info'!C2622,'Customer Info'!C2622:C3121,1)</f>
        <v>#N/A</v>
      </c>
      <c r="I2630" s="6" t="e">
        <f>VLOOKUP('Customer Info'!E2622,'Customer Info'!E2622:E3121,1,0)</f>
        <v>#N/A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704</v>
      </c>
      <c r="R2630" s="2" t="s">
        <v>28</v>
      </c>
      <c r="S2630" s="9">
        <f t="shared" si="204"/>
        <v>0.05</v>
      </c>
    </row>
    <row r="2631" spans="1:19" x14ac:dyDescent="0.3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e">
        <f>VLOOKUP('Customer Info'!B2623,'Customer Info'!B2623:B3122,1,0)</f>
        <v>#N/A</v>
      </c>
      <c r="H2631" s="6" t="e">
        <f>VLOOKUP('Customer Info'!C2623,'Customer Info'!C2623:C3122,1)</f>
        <v>#N/A</v>
      </c>
      <c r="I2631" s="6" t="e">
        <f>VLOOKUP('Customer Info'!E2623,'Customer Info'!E2623:E3122,1,0)</f>
        <v>#N/A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6</v>
      </c>
      <c r="R2631" s="2" t="s">
        <v>50</v>
      </c>
      <c r="S2631" s="9">
        <f t="shared" si="204"/>
        <v>0.02</v>
      </c>
    </row>
    <row r="2632" spans="1:19" x14ac:dyDescent="0.3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e">
        <f>VLOOKUP('Customer Info'!B2624,'Customer Info'!B2624:B3123,1,0)</f>
        <v>#N/A</v>
      </c>
      <c r="H2632" s="6" t="e">
        <f>VLOOKUP('Customer Info'!C2624,'Customer Info'!C2624:C3123,1)</f>
        <v>#N/A</v>
      </c>
      <c r="I2632" s="6" t="e">
        <f>VLOOKUP('Customer Info'!E2624,'Customer Info'!E2624:E3123,1,0)</f>
        <v>#N/A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312</v>
      </c>
      <c r="R2632" s="2" t="s">
        <v>50</v>
      </c>
      <c r="S2632" s="9">
        <f t="shared" si="204"/>
        <v>0.05</v>
      </c>
    </row>
    <row r="2633" spans="1:19" x14ac:dyDescent="0.3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e">
        <f>VLOOKUP('Customer Info'!B2625,'Customer Info'!B2625:B3124,1,0)</f>
        <v>#N/A</v>
      </c>
      <c r="H2633" s="6" t="e">
        <f>VLOOKUP('Customer Info'!C2625,'Customer Info'!C2625:C3124,1)</f>
        <v>#N/A</v>
      </c>
      <c r="I2633" s="6" t="e">
        <f>VLOOKUP('Customer Info'!E2625,'Customer Info'!E2625:E3124,1,0)</f>
        <v>#N/A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356</v>
      </c>
      <c r="R2633" s="2" t="s">
        <v>28</v>
      </c>
      <c r="S2633" s="9">
        <f t="shared" si="204"/>
        <v>0.02</v>
      </c>
    </row>
    <row r="2634" spans="1:19" x14ac:dyDescent="0.3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e">
        <f>VLOOKUP('Customer Info'!B2626,'Customer Info'!B2626:B3125,1,0)</f>
        <v>#N/A</v>
      </c>
      <c r="H2634" s="6" t="e">
        <f>VLOOKUP('Customer Info'!C2626,'Customer Info'!C2626:C3125,1)</f>
        <v>#N/A</v>
      </c>
      <c r="I2634" s="6" t="e">
        <f>VLOOKUP('Customer Info'!E2626,'Customer Info'!E2626:E3125,1,0)</f>
        <v>#N/A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12</v>
      </c>
      <c r="R2634" s="2" t="s">
        <v>50</v>
      </c>
      <c r="S2634" s="9">
        <f t="shared" si="204"/>
        <v>0.02</v>
      </c>
    </row>
    <row r="2635" spans="1:19" x14ac:dyDescent="0.3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e">
        <f>VLOOKUP('Customer Info'!B2627,'Customer Info'!B2627:B3126,1,0)</f>
        <v>#N/A</v>
      </c>
      <c r="H2635" s="6" t="e">
        <f>VLOOKUP('Customer Info'!C2627,'Customer Info'!C2627:C3126,1)</f>
        <v>#N/A</v>
      </c>
      <c r="I2635" s="6" t="e">
        <f>VLOOKUP('Customer Info'!E2627,'Customer Info'!E2627:E3126,1,0)</f>
        <v>#N/A</v>
      </c>
      <c r="J2635" s="2">
        <v>1637</v>
      </c>
      <c r="K2635" s="2">
        <v>1591</v>
      </c>
      <c r="L2635" s="2">
        <v>1</v>
      </c>
      <c r="M2635" s="7">
        <f t="shared" ref="M2635:M2698" si="205">(K2635*L2635)</f>
        <v>1591</v>
      </c>
      <c r="N2635" s="7">
        <f t="shared" ref="N2635:N2698" si="206">(J2635*L2635)</f>
        <v>1637</v>
      </c>
      <c r="O2635" s="2">
        <v>85</v>
      </c>
      <c r="P2635" s="8">
        <f t="shared" ref="P2635:P2698" si="207">(N2635+O2635)</f>
        <v>1722</v>
      </c>
      <c r="Q2635" s="8">
        <f t="shared" ref="Q2635:Q2698" si="208">(N2635-M2635)</f>
        <v>46</v>
      </c>
      <c r="R2635" s="2" t="s">
        <v>50</v>
      </c>
      <c r="S2635" s="9">
        <f t="shared" ref="S2635:S2698" si="209">_xlfn.IFS(P2635&gt;250000,0.15,P2635&gt;100000,0.12,P2635&gt;50000,0.09,P2635&gt;25000,0.07,P2635&gt;5000,0.05,
 TRUE,0.02)</f>
        <v>0.02</v>
      </c>
    </row>
    <row r="2636" spans="1:19" x14ac:dyDescent="0.3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e">
        <f>VLOOKUP('Customer Info'!B2628,'Customer Info'!B2628:B3127,1,0)</f>
        <v>#N/A</v>
      </c>
      <c r="H2636" s="6" t="e">
        <f>VLOOKUP('Customer Info'!C2628,'Customer Info'!C2628:C3127,1)</f>
        <v>#N/A</v>
      </c>
      <c r="I2636" s="6" t="e">
        <f>VLOOKUP('Customer Info'!E2628,'Customer Info'!E2628:E3127,1,0)</f>
        <v>#N/A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856</v>
      </c>
      <c r="R2636" s="2" t="s">
        <v>28</v>
      </c>
      <c r="S2636" s="9">
        <f t="shared" si="209"/>
        <v>0.05</v>
      </c>
    </row>
    <row r="2637" spans="1:19" x14ac:dyDescent="0.3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e">
        <f>VLOOKUP('Customer Info'!B2629,'Customer Info'!B2629:B3128,1,0)</f>
        <v>#N/A</v>
      </c>
      <c r="H2637" s="6" t="e">
        <f>VLOOKUP('Customer Info'!C2629,'Customer Info'!C2629:C3128,1)</f>
        <v>#N/A</v>
      </c>
      <c r="I2637" s="6" t="e">
        <f>VLOOKUP('Customer Info'!E2629,'Customer Info'!E2629:E3128,1,0)</f>
        <v>#N/A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324</v>
      </c>
      <c r="R2637" s="2" t="s">
        <v>28</v>
      </c>
      <c r="S2637" s="9">
        <f t="shared" si="209"/>
        <v>0.05</v>
      </c>
    </row>
    <row r="2638" spans="1:19" x14ac:dyDescent="0.3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e">
        <f>VLOOKUP('Customer Info'!B2630,'Customer Info'!B2630:B3129,1,0)</f>
        <v>#N/A</v>
      </c>
      <c r="H2638" s="6" t="e">
        <f>VLOOKUP('Customer Info'!C2630,'Customer Info'!C2630:C3129,1)</f>
        <v>#N/A</v>
      </c>
      <c r="I2638" s="6" t="e">
        <f>VLOOKUP('Customer Info'!E2630,'Customer Info'!E2630:E3129,1,0)</f>
        <v>#N/A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68</v>
      </c>
      <c r="R2638" s="2" t="s">
        <v>28</v>
      </c>
      <c r="S2638" s="9">
        <f t="shared" si="209"/>
        <v>0.02</v>
      </c>
    </row>
    <row r="2639" spans="1:19" x14ac:dyDescent="0.3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e">
        <f>VLOOKUP('Customer Info'!B2631,'Customer Info'!B2631:B3130,1,0)</f>
        <v>#N/A</v>
      </c>
      <c r="H2639" s="6" t="e">
        <f>VLOOKUP('Customer Info'!C2631,'Customer Info'!C2631:C3130,1)</f>
        <v>#N/A</v>
      </c>
      <c r="I2639" s="6" t="e">
        <f>VLOOKUP('Customer Info'!E2631,'Customer Info'!E2631:E3130,1,0)</f>
        <v>#N/A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378</v>
      </c>
      <c r="R2639" s="2" t="s">
        <v>50</v>
      </c>
      <c r="S2639" s="9">
        <f t="shared" si="209"/>
        <v>0.05</v>
      </c>
    </row>
    <row r="2640" spans="1:19" x14ac:dyDescent="0.3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e">
        <f>VLOOKUP('Customer Info'!B2632,'Customer Info'!B2632:B3131,1,0)</f>
        <v>#N/A</v>
      </c>
      <c r="H2640" s="6" t="e">
        <f>VLOOKUP('Customer Info'!C2632,'Customer Info'!C2632:C3131,1)</f>
        <v>#N/A</v>
      </c>
      <c r="I2640" s="6" t="e">
        <f>VLOOKUP('Customer Info'!E2632,'Customer Info'!E2632:E3131,1,0)</f>
        <v>#N/A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106</v>
      </c>
      <c r="R2640" s="2" t="s">
        <v>50</v>
      </c>
      <c r="S2640" s="9">
        <f t="shared" si="209"/>
        <v>0.02</v>
      </c>
    </row>
    <row r="2641" spans="1:19" x14ac:dyDescent="0.3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e">
        <f>VLOOKUP('Customer Info'!B2633,'Customer Info'!B2633:B3132,1,0)</f>
        <v>#N/A</v>
      </c>
      <c r="H2641" s="6" t="e">
        <f>VLOOKUP('Customer Info'!C2633,'Customer Info'!C2633:C3132,1)</f>
        <v>#N/A</v>
      </c>
      <c r="I2641" s="6" t="e">
        <f>VLOOKUP('Customer Info'!E2633,'Customer Info'!E2633:E3132,1,0)</f>
        <v>#N/A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18</v>
      </c>
      <c r="R2641" s="2" t="s">
        <v>28</v>
      </c>
      <c r="S2641" s="9">
        <f t="shared" si="209"/>
        <v>0.02</v>
      </c>
    </row>
    <row r="2642" spans="1:19" x14ac:dyDescent="0.3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e">
        <f>VLOOKUP('Customer Info'!B2634,'Customer Info'!B2634:B3133,1,0)</f>
        <v>#N/A</v>
      </c>
      <c r="H2642" s="6" t="e">
        <f>VLOOKUP('Customer Info'!C2634,'Customer Info'!C2634:C3133,1)</f>
        <v>#N/A</v>
      </c>
      <c r="I2642" s="6" t="e">
        <f>VLOOKUP('Customer Info'!E2634,'Customer Info'!E2634:E3133,1,0)</f>
        <v>#N/A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256</v>
      </c>
      <c r="R2642" s="2" t="s">
        <v>28</v>
      </c>
      <c r="S2642" s="9">
        <f t="shared" si="209"/>
        <v>0.05</v>
      </c>
    </row>
    <row r="2643" spans="1:19" x14ac:dyDescent="0.3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e">
        <f>VLOOKUP('Customer Info'!B2635,'Customer Info'!B2635:B3134,1,0)</f>
        <v>#N/A</v>
      </c>
      <c r="H2643" s="6" t="e">
        <f>VLOOKUP('Customer Info'!C2635,'Customer Info'!C2635:C3134,1)</f>
        <v>#N/A</v>
      </c>
      <c r="I2643" s="6" t="e">
        <f>VLOOKUP('Customer Info'!E2635,'Customer Info'!E2635:E3134,1,0)</f>
        <v>#N/A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3792</v>
      </c>
      <c r="R2643" s="2" t="s">
        <v>28</v>
      </c>
      <c r="S2643" s="9">
        <f t="shared" si="209"/>
        <v>7.0000000000000007E-2</v>
      </c>
    </row>
    <row r="2644" spans="1:19" x14ac:dyDescent="0.3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e">
        <f>VLOOKUP('Customer Info'!B2636,'Customer Info'!B2636:B3135,1,0)</f>
        <v>#N/A</v>
      </c>
      <c r="H2644" s="6" t="e">
        <f>VLOOKUP('Customer Info'!C2636,'Customer Info'!C2636:C3135,1)</f>
        <v>#N/A</v>
      </c>
      <c r="I2644" s="6" t="e">
        <f>VLOOKUP('Customer Info'!E2636,'Customer Info'!E2636:E3135,1,0)</f>
        <v>#N/A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24</v>
      </c>
      <c r="R2644" s="2" t="s">
        <v>28</v>
      </c>
      <c r="S2644" s="9">
        <f t="shared" si="209"/>
        <v>0.02</v>
      </c>
    </row>
    <row r="2645" spans="1:19" x14ac:dyDescent="0.3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e">
        <f>VLOOKUP('Customer Info'!B2637,'Customer Info'!B2637:B3136,1,0)</f>
        <v>#N/A</v>
      </c>
      <c r="H2645" s="6" t="e">
        <f>VLOOKUP('Customer Info'!C2637,'Customer Info'!C2637:C3136,1)</f>
        <v>#N/A</v>
      </c>
      <c r="I2645" s="6" t="e">
        <f>VLOOKUP('Customer Info'!E2637,'Customer Info'!E2637:E3136,1,0)</f>
        <v>#N/A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630</v>
      </c>
      <c r="R2645" s="2" t="s">
        <v>26</v>
      </c>
      <c r="S2645" s="9">
        <f t="shared" si="209"/>
        <v>0.05</v>
      </c>
    </row>
    <row r="2646" spans="1:19" x14ac:dyDescent="0.3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e">
        <f>VLOOKUP('Customer Info'!B2638,'Customer Info'!B2638:B3137,1,0)</f>
        <v>#N/A</v>
      </c>
      <c r="H2646" s="6" t="e">
        <f>VLOOKUP('Customer Info'!C2638,'Customer Info'!C2638:C3137,1)</f>
        <v>#N/A</v>
      </c>
      <c r="I2646" s="6" t="e">
        <f>VLOOKUP('Customer Info'!E2638,'Customer Info'!E2638:E3137,1,0)</f>
        <v>#N/A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708</v>
      </c>
      <c r="R2646" s="2" t="s">
        <v>28</v>
      </c>
      <c r="S2646" s="9">
        <f t="shared" si="209"/>
        <v>0.05</v>
      </c>
    </row>
    <row r="2647" spans="1:19" x14ac:dyDescent="0.3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e">
        <f>VLOOKUP('Customer Info'!B2639,'Customer Info'!B2639:B3138,1,0)</f>
        <v>#N/A</v>
      </c>
      <c r="H2647" s="6" t="e">
        <f>VLOOKUP('Customer Info'!C2639,'Customer Info'!C2639:C3138,1)</f>
        <v>#N/A</v>
      </c>
      <c r="I2647" s="6" t="e">
        <f>VLOOKUP('Customer Info'!E2639,'Customer Info'!E2639:E3138,1,0)</f>
        <v>#N/A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18</v>
      </c>
      <c r="R2647" s="2" t="s">
        <v>50</v>
      </c>
      <c r="S2647" s="9">
        <f t="shared" si="209"/>
        <v>0.02</v>
      </c>
    </row>
    <row r="2648" spans="1:19" x14ac:dyDescent="0.3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e">
        <f>VLOOKUP('Customer Info'!B2640,'Customer Info'!B2640:B3139,1,0)</f>
        <v>#N/A</v>
      </c>
      <c r="H2648" s="6" t="e">
        <f>VLOOKUP('Customer Info'!C2640,'Customer Info'!C2640:C3139,1)</f>
        <v>#N/A</v>
      </c>
      <c r="I2648" s="6" t="e">
        <f>VLOOKUP('Customer Info'!E2640,'Customer Info'!E2640:E3139,1,0)</f>
        <v>#N/A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236</v>
      </c>
      <c r="R2648" s="2" t="s">
        <v>28</v>
      </c>
      <c r="S2648" s="9">
        <f t="shared" si="209"/>
        <v>0.02</v>
      </c>
    </row>
    <row r="2649" spans="1:19" x14ac:dyDescent="0.3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e">
        <f>VLOOKUP('Customer Info'!B2641,'Customer Info'!B2641:B3140,1,0)</f>
        <v>#N/A</v>
      </c>
      <c r="H2649" s="6" t="e">
        <f>VLOOKUP('Customer Info'!C2641,'Customer Info'!C2641:C3140,1)</f>
        <v>#N/A</v>
      </c>
      <c r="I2649" s="6" t="e">
        <f>VLOOKUP('Customer Info'!E2641,'Customer Info'!E2641:E3140,1,0)</f>
        <v>#N/A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264</v>
      </c>
      <c r="R2649" s="2" t="s">
        <v>50</v>
      </c>
      <c r="S2649" s="9">
        <f t="shared" si="209"/>
        <v>0.02</v>
      </c>
    </row>
    <row r="2650" spans="1:19" x14ac:dyDescent="0.3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e">
        <f>VLOOKUP('Customer Info'!B2642,'Customer Info'!B2642:B3141,1,0)</f>
        <v>#N/A</v>
      </c>
      <c r="H2650" s="6" t="e">
        <f>VLOOKUP('Customer Info'!C2642,'Customer Info'!C2642:C3141,1)</f>
        <v>#N/A</v>
      </c>
      <c r="I2650" s="6" t="e">
        <f>VLOOKUP('Customer Info'!E2642,'Customer Info'!E2642:E3141,1,0)</f>
        <v>#N/A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782</v>
      </c>
      <c r="R2650" s="2" t="s">
        <v>28</v>
      </c>
      <c r="S2650" s="9">
        <f t="shared" si="209"/>
        <v>0.05</v>
      </c>
    </row>
    <row r="2651" spans="1:19" x14ac:dyDescent="0.3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e">
        <f>VLOOKUP('Customer Info'!B2643,'Customer Info'!B2643:B3142,1,0)</f>
        <v>#N/A</v>
      </c>
      <c r="H2651" s="6" t="e">
        <f>VLOOKUP('Customer Info'!C2643,'Customer Info'!C2643:C3142,1)</f>
        <v>#N/A</v>
      </c>
      <c r="I2651" s="6" t="e">
        <f>VLOOKUP('Customer Info'!E2643,'Customer Info'!E2643:E3142,1,0)</f>
        <v>#N/A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628</v>
      </c>
      <c r="R2651" s="2" t="s">
        <v>50</v>
      </c>
      <c r="S2651" s="9">
        <f t="shared" si="209"/>
        <v>0.05</v>
      </c>
    </row>
    <row r="2652" spans="1:19" x14ac:dyDescent="0.3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e">
        <f>VLOOKUP('Customer Info'!B2644,'Customer Info'!B2644:B3143,1,0)</f>
        <v>#N/A</v>
      </c>
      <c r="H2652" s="6" t="e">
        <f>VLOOKUP('Customer Info'!C2644,'Customer Info'!C2644:C3143,1)</f>
        <v>#N/A</v>
      </c>
      <c r="I2652" s="6" t="e">
        <f>VLOOKUP('Customer Info'!E2644,'Customer Info'!E2644:E3143,1,0)</f>
        <v>#N/A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118</v>
      </c>
      <c r="R2652" s="2" t="s">
        <v>28</v>
      </c>
      <c r="S2652" s="9">
        <f t="shared" si="209"/>
        <v>0.02</v>
      </c>
    </row>
    <row r="2653" spans="1:19" x14ac:dyDescent="0.3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e">
        <f>VLOOKUP('Customer Info'!B2645,'Customer Info'!B2645:B3144,1,0)</f>
        <v>#N/A</v>
      </c>
      <c r="H2653" s="6" t="e">
        <f>VLOOKUP('Customer Info'!C2645,'Customer Info'!C2645:C3144,1)</f>
        <v>#N/A</v>
      </c>
      <c r="I2653" s="6" t="e">
        <f>VLOOKUP('Customer Info'!E2645,'Customer Info'!E2645:E3144,1,0)</f>
        <v>#N/A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552</v>
      </c>
      <c r="R2653" s="2" t="s">
        <v>28</v>
      </c>
      <c r="S2653" s="9">
        <f t="shared" si="209"/>
        <v>0.05</v>
      </c>
    </row>
    <row r="2654" spans="1:19" x14ac:dyDescent="0.3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e">
        <f>VLOOKUP('Customer Info'!B2646,'Customer Info'!B2646:B3145,1,0)</f>
        <v>#N/A</v>
      </c>
      <c r="H2654" s="6" t="e">
        <f>VLOOKUP('Customer Info'!C2646,'Customer Info'!C2646:C3145,1)</f>
        <v>#N/A</v>
      </c>
      <c r="I2654" s="6" t="e">
        <f>VLOOKUP('Customer Info'!E2646,'Customer Info'!E2646:E3145,1,0)</f>
        <v>#N/A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252</v>
      </c>
      <c r="R2654" s="2" t="s">
        <v>50</v>
      </c>
      <c r="S2654" s="9">
        <f t="shared" si="209"/>
        <v>0.05</v>
      </c>
    </row>
    <row r="2655" spans="1:19" x14ac:dyDescent="0.3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e">
        <f>VLOOKUP('Customer Info'!B2647,'Customer Info'!B2647:B3146,1,0)</f>
        <v>#N/A</v>
      </c>
      <c r="H2655" s="6" t="e">
        <f>VLOOKUP('Customer Info'!C2647,'Customer Info'!C2647:C3146,1)</f>
        <v>#N/A</v>
      </c>
      <c r="I2655" s="6" t="e">
        <f>VLOOKUP('Customer Info'!E2647,'Customer Info'!E2647:E3146,1,0)</f>
        <v>#N/A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1715</v>
      </c>
      <c r="R2655" s="2" t="s">
        <v>28</v>
      </c>
      <c r="S2655" s="9">
        <f t="shared" si="209"/>
        <v>0.05</v>
      </c>
    </row>
    <row r="2656" spans="1:19" x14ac:dyDescent="0.3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e">
        <f>VLOOKUP('Customer Info'!B2648,'Customer Info'!B2648:B3147,1,0)</f>
        <v>#N/A</v>
      </c>
      <c r="H2656" s="6" t="e">
        <f>VLOOKUP('Customer Info'!C2648,'Customer Info'!C2648:C3147,1)</f>
        <v>#N/A</v>
      </c>
      <c r="I2656" s="6" t="e">
        <f>VLOOKUP('Customer Info'!E2648,'Customer Info'!E2648:E3147,1,0)</f>
        <v>#N/A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182</v>
      </c>
      <c r="R2656" s="2" t="s">
        <v>28</v>
      </c>
      <c r="S2656" s="9">
        <f t="shared" si="209"/>
        <v>0.02</v>
      </c>
    </row>
    <row r="2657" spans="1:19" x14ac:dyDescent="0.3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e">
        <f>VLOOKUP('Customer Info'!B2649,'Customer Info'!B2649:B3148,1,0)</f>
        <v>#N/A</v>
      </c>
      <c r="H2657" s="6" t="e">
        <f>VLOOKUP('Customer Info'!C2649,'Customer Info'!C2649:C3148,1)</f>
        <v>#N/A</v>
      </c>
      <c r="I2657" s="6" t="e">
        <f>VLOOKUP('Customer Info'!E2649,'Customer Info'!E2649:E3148,1,0)</f>
        <v>#N/A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3360</v>
      </c>
      <c r="R2657" s="2" t="s">
        <v>28</v>
      </c>
      <c r="S2657" s="9">
        <f t="shared" si="209"/>
        <v>7.0000000000000007E-2</v>
      </c>
    </row>
    <row r="2658" spans="1:19" x14ac:dyDescent="0.3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e">
        <f>VLOOKUP('Customer Info'!B2650,'Customer Info'!B2650:B3149,1,0)</f>
        <v>#N/A</v>
      </c>
      <c r="H2658" s="6" t="e">
        <f>VLOOKUP('Customer Info'!C2650,'Customer Info'!C2650:C3149,1)</f>
        <v>#N/A</v>
      </c>
      <c r="I2658" s="6" t="e">
        <f>VLOOKUP('Customer Info'!E2650,'Customer Info'!E2650:E3149,1,0)</f>
        <v>#N/A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942</v>
      </c>
      <c r="R2658" s="2" t="s">
        <v>28</v>
      </c>
      <c r="S2658" s="9">
        <f t="shared" si="209"/>
        <v>0.05</v>
      </c>
    </row>
    <row r="2659" spans="1:19" x14ac:dyDescent="0.3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e">
        <f>VLOOKUP('Customer Info'!B2651,'Customer Info'!B2651:B3150,1,0)</f>
        <v>#N/A</v>
      </c>
      <c r="H2659" s="6" t="e">
        <f>VLOOKUP('Customer Info'!C2651,'Customer Info'!C2651:C3150,1)</f>
        <v>#N/A</v>
      </c>
      <c r="I2659" s="6" t="e">
        <f>VLOOKUP('Customer Info'!E2651,'Customer Info'!E2651:E3150,1,0)</f>
        <v>#N/A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4158</v>
      </c>
      <c r="R2659" s="2" t="s">
        <v>28</v>
      </c>
      <c r="S2659" s="9">
        <f t="shared" si="209"/>
        <v>0.09</v>
      </c>
    </row>
    <row r="2660" spans="1:19" x14ac:dyDescent="0.3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e">
        <f>VLOOKUP('Customer Info'!B2652,'Customer Info'!B2652:B3151,1,0)</f>
        <v>#N/A</v>
      </c>
      <c r="H2660" s="6" t="e">
        <f>VLOOKUP('Customer Info'!C2652,'Customer Info'!C2652:C3151,1)</f>
        <v>#N/A</v>
      </c>
      <c r="I2660" s="6" t="e">
        <f>VLOOKUP('Customer Info'!E2652,'Customer Info'!E2652:E3151,1,0)</f>
        <v>#N/A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8</v>
      </c>
      <c r="R2660" s="2" t="s">
        <v>50</v>
      </c>
      <c r="S2660" s="9">
        <f t="shared" si="209"/>
        <v>0.02</v>
      </c>
    </row>
    <row r="2661" spans="1:19" x14ac:dyDescent="0.3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e">
        <f>VLOOKUP('Customer Info'!B2653,'Customer Info'!B2653:B3152,1,0)</f>
        <v>#N/A</v>
      </c>
      <c r="H2661" s="6" t="e">
        <f>VLOOKUP('Customer Info'!C2653,'Customer Info'!C2653:C3152,1)</f>
        <v>#N/A</v>
      </c>
      <c r="I2661" s="6" t="e">
        <f>VLOOKUP('Customer Info'!E2653,'Customer Info'!E2653:E3152,1,0)</f>
        <v>#N/A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936</v>
      </c>
      <c r="R2661" s="2" t="s">
        <v>28</v>
      </c>
      <c r="S2661" s="9">
        <f t="shared" si="209"/>
        <v>0.05</v>
      </c>
    </row>
    <row r="2662" spans="1:19" x14ac:dyDescent="0.3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e">
        <f>VLOOKUP('Customer Info'!B2654,'Customer Info'!B2654:B3153,1,0)</f>
        <v>#N/A</v>
      </c>
      <c r="H2662" s="6" t="e">
        <f>VLOOKUP('Customer Info'!C2654,'Customer Info'!C2654:C3153,1)</f>
        <v>#N/A</v>
      </c>
      <c r="I2662" s="6" t="e">
        <f>VLOOKUP('Customer Info'!E2654,'Customer Info'!E2654:E3153,1,0)</f>
        <v>#N/A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252</v>
      </c>
      <c r="R2662" s="2" t="s">
        <v>28</v>
      </c>
      <c r="S2662" s="9">
        <f t="shared" si="209"/>
        <v>0.02</v>
      </c>
    </row>
    <row r="2663" spans="1:19" x14ac:dyDescent="0.3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e">
        <f>VLOOKUP('Customer Info'!B2655,'Customer Info'!B2655:B3154,1,0)</f>
        <v>#N/A</v>
      </c>
      <c r="H2663" s="6" t="e">
        <f>VLOOKUP('Customer Info'!C2655,'Customer Info'!C2655:C3154,1)</f>
        <v>#N/A</v>
      </c>
      <c r="I2663" s="6" t="e">
        <f>VLOOKUP('Customer Info'!E2655,'Customer Info'!E2655:E3154,1,0)</f>
        <v>#N/A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4014</v>
      </c>
      <c r="R2663" s="2" t="s">
        <v>50</v>
      </c>
      <c r="S2663" s="9">
        <f t="shared" si="209"/>
        <v>7.0000000000000007E-2</v>
      </c>
    </row>
    <row r="2664" spans="1:19" x14ac:dyDescent="0.3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e">
        <f>VLOOKUP('Customer Info'!B2656,'Customer Info'!B2656:B3155,1,0)</f>
        <v>#N/A</v>
      </c>
      <c r="H2664" s="6" t="e">
        <f>VLOOKUP('Customer Info'!C2656,'Customer Info'!C2656:C3155,1)</f>
        <v>#N/A</v>
      </c>
      <c r="I2664" s="6" t="e">
        <f>VLOOKUP('Customer Info'!E2656,'Customer Info'!E2656:E3155,1,0)</f>
        <v>#N/A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18</v>
      </c>
      <c r="R2664" s="2" t="s">
        <v>28</v>
      </c>
      <c r="S2664" s="9">
        <f t="shared" si="209"/>
        <v>0.02</v>
      </c>
    </row>
    <row r="2665" spans="1:19" x14ac:dyDescent="0.3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e">
        <f>VLOOKUP('Customer Info'!B2657,'Customer Info'!B2657:B3156,1,0)</f>
        <v>#N/A</v>
      </c>
      <c r="H2665" s="6" t="e">
        <f>VLOOKUP('Customer Info'!C2657,'Customer Info'!C2657:C3156,1)</f>
        <v>#N/A</v>
      </c>
      <c r="I2665" s="6" t="e">
        <f>VLOOKUP('Customer Info'!E2657,'Customer Info'!E2657:E3156,1,0)</f>
        <v>#N/A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8</v>
      </c>
      <c r="R2665" s="2" t="s">
        <v>28</v>
      </c>
      <c r="S2665" s="9">
        <f t="shared" si="209"/>
        <v>0.02</v>
      </c>
    </row>
    <row r="2666" spans="1:19" x14ac:dyDescent="0.3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e">
        <f>VLOOKUP('Customer Info'!B2658,'Customer Info'!B2658:B3157,1,0)</f>
        <v>#N/A</v>
      </c>
      <c r="H2666" s="6" t="e">
        <f>VLOOKUP('Customer Info'!C2658,'Customer Info'!C2658:C3157,1)</f>
        <v>#N/A</v>
      </c>
      <c r="I2666" s="6" t="e">
        <f>VLOOKUP('Customer Info'!E2658,'Customer Info'!E2658:E3157,1,0)</f>
        <v>#N/A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365</v>
      </c>
      <c r="R2666" s="2" t="s">
        <v>28</v>
      </c>
      <c r="S2666" s="9">
        <f t="shared" si="209"/>
        <v>0.02</v>
      </c>
    </row>
    <row r="2667" spans="1:19" x14ac:dyDescent="0.3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e">
        <f>VLOOKUP('Customer Info'!B2659,'Customer Info'!B2659:B3158,1,0)</f>
        <v>#N/A</v>
      </c>
      <c r="H2667" s="6" t="e">
        <f>VLOOKUP('Customer Info'!C2659,'Customer Info'!C2659:C3158,1)</f>
        <v>#N/A</v>
      </c>
      <c r="I2667" s="6" t="e">
        <f>VLOOKUP('Customer Info'!E2659,'Customer Info'!E2659:E3158,1,0)</f>
        <v>#N/A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21</v>
      </c>
      <c r="R2667" s="2" t="s">
        <v>28</v>
      </c>
      <c r="S2667" s="9">
        <f t="shared" si="209"/>
        <v>0.02</v>
      </c>
    </row>
    <row r="2668" spans="1:19" x14ac:dyDescent="0.3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e">
        <f>VLOOKUP('Customer Info'!B2660,'Customer Info'!B2660:B3159,1,0)</f>
        <v>#N/A</v>
      </c>
      <c r="H2668" s="6" t="e">
        <f>VLOOKUP('Customer Info'!C2660,'Customer Info'!C2660:C3159,1)</f>
        <v>#N/A</v>
      </c>
      <c r="I2668" s="6" t="e">
        <f>VLOOKUP('Customer Info'!E2660,'Customer Info'!E2660:E3159,1,0)</f>
        <v>#N/A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172</v>
      </c>
      <c r="R2668" s="2" t="s">
        <v>28</v>
      </c>
      <c r="S2668" s="9">
        <f t="shared" si="209"/>
        <v>0.02</v>
      </c>
    </row>
    <row r="2669" spans="1:19" x14ac:dyDescent="0.3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e">
        <f>VLOOKUP('Customer Info'!B2661,'Customer Info'!B2661:B3160,1,0)</f>
        <v>#N/A</v>
      </c>
      <c r="H2669" s="6" t="e">
        <f>VLOOKUP('Customer Info'!C2661,'Customer Info'!C2661:C3160,1)</f>
        <v>#N/A</v>
      </c>
      <c r="I2669" s="6" t="e">
        <f>VLOOKUP('Customer Info'!E2661,'Customer Info'!E2661:E3160,1,0)</f>
        <v>#N/A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21</v>
      </c>
      <c r="R2669" s="2" t="s">
        <v>26</v>
      </c>
      <c r="S2669" s="9">
        <f t="shared" si="209"/>
        <v>0.02</v>
      </c>
    </row>
    <row r="2670" spans="1:19" x14ac:dyDescent="0.3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e">
        <f>VLOOKUP('Customer Info'!B2662,'Customer Info'!B2662:B3161,1,0)</f>
        <v>#N/A</v>
      </c>
      <c r="H2670" s="6" t="e">
        <f>VLOOKUP('Customer Info'!C2662,'Customer Info'!C2662:C3161,1)</f>
        <v>#N/A</v>
      </c>
      <c r="I2670" s="6" t="e">
        <f>VLOOKUP('Customer Info'!E2662,'Customer Info'!E2662:E3161,1,0)</f>
        <v>#N/A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388</v>
      </c>
      <c r="R2670" s="2" t="s">
        <v>28</v>
      </c>
      <c r="S2670" s="9">
        <f t="shared" si="209"/>
        <v>0.05</v>
      </c>
    </row>
    <row r="2671" spans="1:19" x14ac:dyDescent="0.3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e">
        <f>VLOOKUP('Customer Info'!B2663,'Customer Info'!B2663:B3162,1,0)</f>
        <v>#N/A</v>
      </c>
      <c r="H2671" s="6" t="e">
        <f>VLOOKUP('Customer Info'!C2663,'Customer Info'!C2663:C3162,1)</f>
        <v>#N/A</v>
      </c>
      <c r="I2671" s="6" t="e">
        <f>VLOOKUP('Customer Info'!E2663,'Customer Info'!E2663:E3162,1,0)</f>
        <v>#N/A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272</v>
      </c>
      <c r="R2671" s="2" t="s">
        <v>28</v>
      </c>
      <c r="S2671" s="9">
        <f t="shared" si="209"/>
        <v>0.05</v>
      </c>
    </row>
    <row r="2672" spans="1:19" x14ac:dyDescent="0.3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e">
        <f>VLOOKUP('Customer Info'!B2664,'Customer Info'!B2664:B3163,1,0)</f>
        <v>#N/A</v>
      </c>
      <c r="H2672" s="6" t="e">
        <f>VLOOKUP('Customer Info'!C2664,'Customer Info'!C2664:C3163,1)</f>
        <v>#N/A</v>
      </c>
      <c r="I2672" s="6" t="e">
        <f>VLOOKUP('Customer Info'!E2664,'Customer Info'!E2664:E3163,1,0)</f>
        <v>#N/A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270</v>
      </c>
      <c r="R2672" s="2" t="s">
        <v>56</v>
      </c>
      <c r="S2672" s="9">
        <f t="shared" si="209"/>
        <v>0.02</v>
      </c>
    </row>
    <row r="2673" spans="1:19" x14ac:dyDescent="0.3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e">
        <f>VLOOKUP('Customer Info'!B2665,'Customer Info'!B2665:B3164,1,0)</f>
        <v>#N/A</v>
      </c>
      <c r="H2673" s="6" t="e">
        <f>VLOOKUP('Customer Info'!C2665,'Customer Info'!C2665:C3164,1)</f>
        <v>#N/A</v>
      </c>
      <c r="I2673" s="6" t="e">
        <f>VLOOKUP('Customer Info'!E2665,'Customer Info'!E2665:E3164,1,0)</f>
        <v>#N/A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758</v>
      </c>
      <c r="R2673" s="2" t="s">
        <v>50</v>
      </c>
      <c r="S2673" s="9">
        <f t="shared" si="209"/>
        <v>0.05</v>
      </c>
    </row>
    <row r="2674" spans="1:19" x14ac:dyDescent="0.3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e">
        <f>VLOOKUP('Customer Info'!B2666,'Customer Info'!B2666:B3165,1,0)</f>
        <v>#N/A</v>
      </c>
      <c r="H2674" s="6" t="e">
        <f>VLOOKUP('Customer Info'!C2666,'Customer Info'!C2666:C3165,1)</f>
        <v>#N/A</v>
      </c>
      <c r="I2674" s="6" t="e">
        <f>VLOOKUP('Customer Info'!E2666,'Customer Info'!E2666:E3165,1,0)</f>
        <v>#N/A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567</v>
      </c>
      <c r="R2674" s="2" t="s">
        <v>28</v>
      </c>
      <c r="S2674" s="9">
        <f t="shared" si="209"/>
        <v>0.05</v>
      </c>
    </row>
    <row r="2675" spans="1:19" x14ac:dyDescent="0.3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e">
        <f>VLOOKUP('Customer Info'!B2667,'Customer Info'!B2667:B3166,1,0)</f>
        <v>#N/A</v>
      </c>
      <c r="H2675" s="6" t="e">
        <f>VLOOKUP('Customer Info'!C2667,'Customer Info'!C2667:C3166,1)</f>
        <v>#N/A</v>
      </c>
      <c r="I2675" s="6" t="e">
        <f>VLOOKUP('Customer Info'!E2667,'Customer Info'!E2667:E3166,1,0)</f>
        <v>#N/A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2384</v>
      </c>
      <c r="R2675" s="2" t="s">
        <v>50</v>
      </c>
      <c r="S2675" s="9">
        <f t="shared" si="209"/>
        <v>0.09</v>
      </c>
    </row>
    <row r="2676" spans="1:19" x14ac:dyDescent="0.3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e">
        <f>VLOOKUP('Customer Info'!B2668,'Customer Info'!B2668:B3167,1,0)</f>
        <v>#N/A</v>
      </c>
      <c r="H2676" s="6" t="e">
        <f>VLOOKUP('Customer Info'!C2668,'Customer Info'!C2668:C3167,1)</f>
        <v>#N/A</v>
      </c>
      <c r="I2676" s="6" t="e">
        <f>VLOOKUP('Customer Info'!E2668,'Customer Info'!E2668:E3167,1,0)</f>
        <v>#N/A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86</v>
      </c>
      <c r="R2676" s="2" t="s">
        <v>28</v>
      </c>
      <c r="S2676" s="9">
        <f t="shared" si="209"/>
        <v>0.02</v>
      </c>
    </row>
    <row r="2677" spans="1:19" x14ac:dyDescent="0.3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e">
        <f>VLOOKUP('Customer Info'!B2669,'Customer Info'!B2669:B3168,1,0)</f>
        <v>#N/A</v>
      </c>
      <c r="H2677" s="6" t="e">
        <f>VLOOKUP('Customer Info'!C2669,'Customer Info'!C2669:C3168,1)</f>
        <v>#N/A</v>
      </c>
      <c r="I2677" s="6" t="e">
        <f>VLOOKUP('Customer Info'!E2669,'Customer Info'!E2669:E3168,1,0)</f>
        <v>#N/A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169</v>
      </c>
      <c r="R2677" s="2" t="s">
        <v>26</v>
      </c>
      <c r="S2677" s="9">
        <f t="shared" si="209"/>
        <v>0.05</v>
      </c>
    </row>
    <row r="2678" spans="1:19" x14ac:dyDescent="0.3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e">
        <f>VLOOKUP('Customer Info'!B2670,'Customer Info'!B2670:B3169,1,0)</f>
        <v>#N/A</v>
      </c>
      <c r="H2678" s="6" t="e">
        <f>VLOOKUP('Customer Info'!C2670,'Customer Info'!C2670:C3169,1)</f>
        <v>#N/A</v>
      </c>
      <c r="I2678" s="6" t="e">
        <f>VLOOKUP('Customer Info'!E2670,'Customer Info'!E2670:E3169,1,0)</f>
        <v>#N/A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144</v>
      </c>
      <c r="R2678" s="2" t="s">
        <v>50</v>
      </c>
      <c r="S2678" s="9">
        <f t="shared" si="209"/>
        <v>0.02</v>
      </c>
    </row>
    <row r="2679" spans="1:19" x14ac:dyDescent="0.3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e">
        <f>VLOOKUP('Customer Info'!B2671,'Customer Info'!B2671:B3170,1,0)</f>
        <v>#N/A</v>
      </c>
      <c r="H2679" s="6" t="e">
        <f>VLOOKUP('Customer Info'!C2671,'Customer Info'!C2671:C3170,1)</f>
        <v>#N/A</v>
      </c>
      <c r="I2679" s="6" t="e">
        <f>VLOOKUP('Customer Info'!E2671,'Customer Info'!E2671:E3170,1,0)</f>
        <v>#N/A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224</v>
      </c>
      <c r="R2679" s="2" t="s">
        <v>50</v>
      </c>
      <c r="S2679" s="9">
        <f t="shared" si="209"/>
        <v>0.05</v>
      </c>
    </row>
    <row r="2680" spans="1:19" x14ac:dyDescent="0.3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e">
        <f>VLOOKUP('Customer Info'!B2672,'Customer Info'!B2672:B3171,1,0)</f>
        <v>#N/A</v>
      </c>
      <c r="H2680" s="6" t="e">
        <f>VLOOKUP('Customer Info'!C2672,'Customer Info'!C2672:C3171,1)</f>
        <v>#N/A</v>
      </c>
      <c r="I2680" s="6" t="e">
        <f>VLOOKUP('Customer Info'!E2672,'Customer Info'!E2672:E3171,1,0)</f>
        <v>#N/A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84</v>
      </c>
      <c r="R2680" s="2" t="s">
        <v>28</v>
      </c>
      <c r="S2680" s="9">
        <f t="shared" si="209"/>
        <v>0.02</v>
      </c>
    </row>
    <row r="2681" spans="1:19" x14ac:dyDescent="0.3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e">
        <f>VLOOKUP('Customer Info'!B2673,'Customer Info'!B2673:B3172,1,0)</f>
        <v>#N/A</v>
      </c>
      <c r="H2681" s="6" t="e">
        <f>VLOOKUP('Customer Info'!C2673,'Customer Info'!C2673:C3172,1)</f>
        <v>#N/A</v>
      </c>
      <c r="I2681" s="6" t="e">
        <f>VLOOKUP('Customer Info'!E2673,'Customer Info'!E2673:E3172,1,0)</f>
        <v>#N/A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455</v>
      </c>
      <c r="R2681" s="2" t="s">
        <v>28</v>
      </c>
      <c r="S2681" s="9">
        <f t="shared" si="209"/>
        <v>0.05</v>
      </c>
    </row>
    <row r="2682" spans="1:19" x14ac:dyDescent="0.3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e">
        <f>VLOOKUP('Customer Info'!B2674,'Customer Info'!B2674:B3173,1,0)</f>
        <v>#N/A</v>
      </c>
      <c r="H2682" s="6" t="e">
        <f>VLOOKUP('Customer Info'!C2674,'Customer Info'!C2674:C3173,1)</f>
        <v>#N/A</v>
      </c>
      <c r="I2682" s="6" t="e">
        <f>VLOOKUP('Customer Info'!E2674,'Customer Info'!E2674:E3173,1,0)</f>
        <v>#N/A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1816</v>
      </c>
      <c r="R2682" s="2" t="s">
        <v>28</v>
      </c>
      <c r="S2682" s="9">
        <f t="shared" si="209"/>
        <v>7.0000000000000007E-2</v>
      </c>
    </row>
    <row r="2683" spans="1:19" x14ac:dyDescent="0.3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e">
        <f>VLOOKUP('Customer Info'!B2675,'Customer Info'!B2675:B3174,1,0)</f>
        <v>#N/A</v>
      </c>
      <c r="H2683" s="6" t="e">
        <f>VLOOKUP('Customer Info'!C2675,'Customer Info'!C2675:C3174,1)</f>
        <v>#N/A</v>
      </c>
      <c r="I2683" s="6" t="e">
        <f>VLOOKUP('Customer Info'!E2675,'Customer Info'!E2675:E3174,1,0)</f>
        <v>#N/A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1152</v>
      </c>
      <c r="R2683" s="2" t="s">
        <v>28</v>
      </c>
      <c r="S2683" s="9">
        <f t="shared" si="209"/>
        <v>0.05</v>
      </c>
    </row>
    <row r="2684" spans="1:19" x14ac:dyDescent="0.3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e">
        <f>VLOOKUP('Customer Info'!B2676,'Customer Info'!B2676:B3175,1,0)</f>
        <v>#N/A</v>
      </c>
      <c r="H2684" s="6" t="e">
        <f>VLOOKUP('Customer Info'!C2676,'Customer Info'!C2676:C3175,1)</f>
        <v>#N/A</v>
      </c>
      <c r="I2684" s="6" t="e">
        <f>VLOOKUP('Customer Info'!E2676,'Customer Info'!E2676:E3175,1,0)</f>
        <v>#N/A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18</v>
      </c>
      <c r="R2684" s="2" t="s">
        <v>28</v>
      </c>
      <c r="S2684" s="9">
        <f t="shared" si="209"/>
        <v>0.02</v>
      </c>
    </row>
    <row r="2685" spans="1:19" x14ac:dyDescent="0.3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e">
        <f>VLOOKUP('Customer Info'!B2677,'Customer Info'!B2677:B3176,1,0)</f>
        <v>#N/A</v>
      </c>
      <c r="H2685" s="6" t="e">
        <f>VLOOKUP('Customer Info'!C2677,'Customer Info'!C2677:C3176,1)</f>
        <v>#N/A</v>
      </c>
      <c r="I2685" s="6" t="e">
        <f>VLOOKUP('Customer Info'!E2677,'Customer Info'!E2677:E3176,1,0)</f>
        <v>#N/A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1800</v>
      </c>
      <c r="R2685" s="2" t="s">
        <v>28</v>
      </c>
      <c r="S2685" s="9">
        <f t="shared" si="209"/>
        <v>0.05</v>
      </c>
    </row>
    <row r="2686" spans="1:19" x14ac:dyDescent="0.3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e">
        <f>VLOOKUP('Customer Info'!B2678,'Customer Info'!B2678:B3177,1,0)</f>
        <v>#N/A</v>
      </c>
      <c r="H2686" s="6" t="e">
        <f>VLOOKUP('Customer Info'!C2678,'Customer Info'!C2678:C3177,1)</f>
        <v>#N/A</v>
      </c>
      <c r="I2686" s="6" t="e">
        <f>VLOOKUP('Customer Info'!E2678,'Customer Info'!E2678:E3177,1,0)</f>
        <v>#N/A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366</v>
      </c>
      <c r="R2686" s="2" t="s">
        <v>56</v>
      </c>
      <c r="S2686" s="9">
        <f t="shared" si="209"/>
        <v>0.05</v>
      </c>
    </row>
    <row r="2687" spans="1:19" x14ac:dyDescent="0.3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e">
        <f>VLOOKUP('Customer Info'!B2679,'Customer Info'!B2679:B3178,1,0)</f>
        <v>#N/A</v>
      </c>
      <c r="H2687" s="6" t="e">
        <f>VLOOKUP('Customer Info'!C2679,'Customer Info'!C2679:C3178,1)</f>
        <v>#N/A</v>
      </c>
      <c r="I2687" s="6" t="e">
        <f>VLOOKUP('Customer Info'!E2679,'Customer Info'!E2679:E3178,1,0)</f>
        <v>#N/A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776</v>
      </c>
      <c r="R2687" s="2" t="s">
        <v>50</v>
      </c>
      <c r="S2687" s="9">
        <f t="shared" si="209"/>
        <v>0.05</v>
      </c>
    </row>
    <row r="2688" spans="1:19" x14ac:dyDescent="0.3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e">
        <f>VLOOKUP('Customer Info'!B2680,'Customer Info'!B2680:B3179,1,0)</f>
        <v>#N/A</v>
      </c>
      <c r="H2688" s="6" t="e">
        <f>VLOOKUP('Customer Info'!C2680,'Customer Info'!C2680:C3179,1)</f>
        <v>#N/A</v>
      </c>
      <c r="I2688" s="6" t="e">
        <f>VLOOKUP('Customer Info'!E2680,'Customer Info'!E2680:E3179,1,0)</f>
        <v>#N/A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180</v>
      </c>
      <c r="R2688" s="2" t="s">
        <v>56</v>
      </c>
      <c r="S2688" s="9">
        <f t="shared" si="209"/>
        <v>0.02</v>
      </c>
    </row>
    <row r="2689" spans="1:19" x14ac:dyDescent="0.3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e">
        <f>VLOOKUP('Customer Info'!B2681,'Customer Info'!B2681:B3180,1,0)</f>
        <v>#N/A</v>
      </c>
      <c r="H2689" s="6" t="e">
        <f>VLOOKUP('Customer Info'!C2681,'Customer Info'!C2681:C3180,1)</f>
        <v>#N/A</v>
      </c>
      <c r="I2689" s="6" t="e">
        <f>VLOOKUP('Customer Info'!E2681,'Customer Info'!E2681:E3180,1,0)</f>
        <v>#N/A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132</v>
      </c>
      <c r="R2689" s="2" t="s">
        <v>50</v>
      </c>
      <c r="S2689" s="9">
        <f t="shared" si="209"/>
        <v>0.05</v>
      </c>
    </row>
    <row r="2690" spans="1:19" x14ac:dyDescent="0.3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e">
        <f>VLOOKUP('Customer Info'!B2682,'Customer Info'!B2682:B3181,1,0)</f>
        <v>#N/A</v>
      </c>
      <c r="H2690" s="6" t="e">
        <f>VLOOKUP('Customer Info'!C2682,'Customer Info'!C2682:C3181,1)</f>
        <v>#N/A</v>
      </c>
      <c r="I2690" s="6" t="e">
        <f>VLOOKUP('Customer Info'!E2682,'Customer Info'!E2682:E3181,1,0)</f>
        <v>#N/A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92</v>
      </c>
      <c r="R2690" s="2" t="s">
        <v>26</v>
      </c>
      <c r="S2690" s="9">
        <f t="shared" si="209"/>
        <v>0.02</v>
      </c>
    </row>
    <row r="2691" spans="1:19" x14ac:dyDescent="0.3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e">
        <f>VLOOKUP('Customer Info'!B2683,'Customer Info'!B2683:B3182,1,0)</f>
        <v>#N/A</v>
      </c>
      <c r="H2691" s="6" t="e">
        <f>VLOOKUP('Customer Info'!C2683,'Customer Info'!C2683:C3182,1)</f>
        <v>#N/A</v>
      </c>
      <c r="I2691" s="6" t="e">
        <f>VLOOKUP('Customer Info'!E2683,'Customer Info'!E2683:E3182,1,0)</f>
        <v>#N/A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18</v>
      </c>
      <c r="R2691" s="2" t="s">
        <v>28</v>
      </c>
      <c r="S2691" s="9">
        <f t="shared" si="209"/>
        <v>0.02</v>
      </c>
    </row>
    <row r="2692" spans="1:19" x14ac:dyDescent="0.3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e">
        <f>VLOOKUP('Customer Info'!B2684,'Customer Info'!B2684:B3183,1,0)</f>
        <v>#N/A</v>
      </c>
      <c r="H2692" s="6" t="e">
        <f>VLOOKUP('Customer Info'!C2684,'Customer Info'!C2684:C3183,1)</f>
        <v>#N/A</v>
      </c>
      <c r="I2692" s="6" t="e">
        <f>VLOOKUP('Customer Info'!E2684,'Customer Info'!E2684:E3183,1,0)</f>
        <v>#N/A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1512</v>
      </c>
      <c r="R2692" s="2" t="s">
        <v>28</v>
      </c>
      <c r="S2692" s="9">
        <f t="shared" si="209"/>
        <v>0.05</v>
      </c>
    </row>
    <row r="2693" spans="1:19" x14ac:dyDescent="0.3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e">
        <f>VLOOKUP('Customer Info'!B2685,'Customer Info'!B2685:B3184,1,0)</f>
        <v>#N/A</v>
      </c>
      <c r="H2693" s="6" t="e">
        <f>VLOOKUP('Customer Info'!C2685,'Customer Info'!C2685:C3184,1)</f>
        <v>#N/A</v>
      </c>
      <c r="I2693" s="6" t="e">
        <f>VLOOKUP('Customer Info'!E2685,'Customer Info'!E2685:E3184,1,0)</f>
        <v>#N/A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724</v>
      </c>
      <c r="R2693" s="2" t="s">
        <v>50</v>
      </c>
      <c r="S2693" s="9">
        <f t="shared" si="209"/>
        <v>0.05</v>
      </c>
    </row>
    <row r="2694" spans="1:19" x14ac:dyDescent="0.3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e">
        <f>VLOOKUP('Customer Info'!B2686,'Customer Info'!B2686:B3185,1,0)</f>
        <v>#N/A</v>
      </c>
      <c r="H2694" s="6" t="e">
        <f>VLOOKUP('Customer Info'!C2686,'Customer Info'!C2686:C3185,1)</f>
        <v>#N/A</v>
      </c>
      <c r="I2694" s="6" t="e">
        <f>VLOOKUP('Customer Info'!E2686,'Customer Info'!E2686:E3185,1,0)</f>
        <v>#N/A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103</v>
      </c>
      <c r="R2694" s="2" t="s">
        <v>50</v>
      </c>
      <c r="S2694" s="9">
        <f t="shared" si="209"/>
        <v>0.02</v>
      </c>
    </row>
    <row r="2695" spans="1:19" x14ac:dyDescent="0.3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e">
        <f>VLOOKUP('Customer Info'!B2687,'Customer Info'!B2687:B3186,1,0)</f>
        <v>#N/A</v>
      </c>
      <c r="H2695" s="6" t="e">
        <f>VLOOKUP('Customer Info'!C2687,'Customer Info'!C2687:C3186,1)</f>
        <v>#N/A</v>
      </c>
      <c r="I2695" s="6" t="e">
        <f>VLOOKUP('Customer Info'!E2687,'Customer Info'!E2687:E3186,1,0)</f>
        <v>#N/A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42</v>
      </c>
      <c r="R2695" s="2" t="s">
        <v>50</v>
      </c>
      <c r="S2695" s="9">
        <f t="shared" si="209"/>
        <v>0.02</v>
      </c>
    </row>
    <row r="2696" spans="1:19" x14ac:dyDescent="0.3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e">
        <f>VLOOKUP('Customer Info'!B2688,'Customer Info'!B2688:B3187,1,0)</f>
        <v>#N/A</v>
      </c>
      <c r="H2696" s="6" t="e">
        <f>VLOOKUP('Customer Info'!C2688,'Customer Info'!C2688:C3187,1)</f>
        <v>#N/A</v>
      </c>
      <c r="I2696" s="6" t="e">
        <f>VLOOKUP('Customer Info'!E2688,'Customer Info'!E2688:E3187,1,0)</f>
        <v>#N/A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94</v>
      </c>
      <c r="R2696" s="2" t="s">
        <v>28</v>
      </c>
      <c r="S2696" s="9">
        <f t="shared" si="209"/>
        <v>0.02</v>
      </c>
    </row>
    <row r="2697" spans="1:19" x14ac:dyDescent="0.3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e">
        <f>VLOOKUP('Customer Info'!B2689,'Customer Info'!B2689:B3188,1,0)</f>
        <v>#N/A</v>
      </c>
      <c r="H2697" s="6" t="e">
        <f>VLOOKUP('Customer Info'!C2689,'Customer Info'!C2689:C3188,1)</f>
        <v>#N/A</v>
      </c>
      <c r="I2697" s="6" t="e">
        <f>VLOOKUP('Customer Info'!E2689,'Customer Info'!E2689:E3188,1,0)</f>
        <v>#N/A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70</v>
      </c>
      <c r="R2697" s="2" t="s">
        <v>28</v>
      </c>
      <c r="S2697" s="9">
        <f t="shared" si="209"/>
        <v>0.02</v>
      </c>
    </row>
    <row r="2698" spans="1:19" x14ac:dyDescent="0.3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e">
        <f>VLOOKUP('Customer Info'!B2690,'Customer Info'!B2690:B3189,1,0)</f>
        <v>#N/A</v>
      </c>
      <c r="H2698" s="6" t="e">
        <f>VLOOKUP('Customer Info'!C2690,'Customer Info'!C2690:C3189,1)</f>
        <v>#N/A</v>
      </c>
      <c r="I2698" s="6" t="e">
        <f>VLOOKUP('Customer Info'!E2690,'Customer Info'!E2690:E3189,1,0)</f>
        <v>#N/A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18</v>
      </c>
      <c r="R2698" s="2" t="s">
        <v>28</v>
      </c>
      <c r="S2698" s="9">
        <f t="shared" si="209"/>
        <v>0.02</v>
      </c>
    </row>
    <row r="2699" spans="1:19" x14ac:dyDescent="0.3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e">
        <f>VLOOKUP('Customer Info'!B2691,'Customer Info'!B2691:B3190,1,0)</f>
        <v>#N/A</v>
      </c>
      <c r="H2699" s="6" t="e">
        <f>VLOOKUP('Customer Info'!C2691,'Customer Info'!C2691:C3190,1)</f>
        <v>#N/A</v>
      </c>
      <c r="I2699" s="6" t="e">
        <f>VLOOKUP('Customer Info'!E2691,'Customer Info'!E2691:E3190,1,0)</f>
        <v>#N/A</v>
      </c>
      <c r="J2699" s="2">
        <v>208</v>
      </c>
      <c r="K2699" s="2">
        <v>187</v>
      </c>
      <c r="L2699" s="2">
        <v>3</v>
      </c>
      <c r="M2699" s="7">
        <f t="shared" ref="M2699:M2762" si="210">(K2699*L2699)</f>
        <v>561</v>
      </c>
      <c r="N2699" s="7">
        <f t="shared" ref="N2699:N2762" si="211">(J2699*L2699)</f>
        <v>624</v>
      </c>
      <c r="O2699" s="2">
        <v>80</v>
      </c>
      <c r="P2699" s="8">
        <f t="shared" ref="P2699:P2762" si="212">(N2699+O2699)</f>
        <v>704</v>
      </c>
      <c r="Q2699" s="8">
        <f t="shared" ref="Q2699:Q2762" si="213">(N2699-M2699)</f>
        <v>63</v>
      </c>
      <c r="R2699" s="2" t="s">
        <v>50</v>
      </c>
      <c r="S2699" s="9">
        <f t="shared" ref="S2699:S2762" si="214">_xlfn.IFS(P2699&gt;250000,0.15,P2699&gt;100000,0.12,P2699&gt;50000,0.09,P2699&gt;25000,0.07,P2699&gt;5000,0.05,
 TRUE,0.02)</f>
        <v>0.02</v>
      </c>
    </row>
    <row r="2700" spans="1:19" x14ac:dyDescent="0.3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e">
        <f>VLOOKUP('Customer Info'!B2692,'Customer Info'!B2692:B3191,1,0)</f>
        <v>#N/A</v>
      </c>
      <c r="H2700" s="6" t="e">
        <f>VLOOKUP('Customer Info'!C2692,'Customer Info'!C2692:C3191,1)</f>
        <v>#N/A</v>
      </c>
      <c r="I2700" s="6" t="e">
        <f>VLOOKUP('Customer Info'!E2692,'Customer Info'!E2692:E3191,1,0)</f>
        <v>#N/A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102</v>
      </c>
      <c r="R2700" s="2" t="s">
        <v>28</v>
      </c>
      <c r="S2700" s="9">
        <f t="shared" si="214"/>
        <v>0.02</v>
      </c>
    </row>
    <row r="2701" spans="1:19" x14ac:dyDescent="0.3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e">
        <f>VLOOKUP('Customer Info'!B2693,'Customer Info'!B2693:B3192,1,0)</f>
        <v>#N/A</v>
      </c>
      <c r="H2701" s="6" t="e">
        <f>VLOOKUP('Customer Info'!C2693,'Customer Info'!C2693:C3192,1)</f>
        <v>#N/A</v>
      </c>
      <c r="I2701" s="6" t="e">
        <f>VLOOKUP('Customer Info'!E2693,'Customer Info'!E2693:E3192,1,0)</f>
        <v>#N/A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2028</v>
      </c>
      <c r="R2701" s="2" t="s">
        <v>28</v>
      </c>
      <c r="S2701" s="9">
        <f t="shared" si="214"/>
        <v>0.05</v>
      </c>
    </row>
    <row r="2702" spans="1:19" x14ac:dyDescent="0.3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e">
        <f>VLOOKUP('Customer Info'!B2694,'Customer Info'!B2694:B3193,1,0)</f>
        <v>#N/A</v>
      </c>
      <c r="H2702" s="6" t="e">
        <f>VLOOKUP('Customer Info'!C2694,'Customer Info'!C2694:C3193,1)</f>
        <v>#N/A</v>
      </c>
      <c r="I2702" s="6" t="e">
        <f>VLOOKUP('Customer Info'!E2694,'Customer Info'!E2694:E3193,1,0)</f>
        <v>#N/A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78</v>
      </c>
      <c r="R2702" s="2" t="s">
        <v>50</v>
      </c>
      <c r="S2702" s="9">
        <f t="shared" si="214"/>
        <v>0.02</v>
      </c>
    </row>
    <row r="2703" spans="1:19" x14ac:dyDescent="0.3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e">
        <f>VLOOKUP('Customer Info'!B2695,'Customer Info'!B2695:B3194,1,0)</f>
        <v>#N/A</v>
      </c>
      <c r="H2703" s="6" t="e">
        <f>VLOOKUP('Customer Info'!C2695,'Customer Info'!C2695:C3194,1)</f>
        <v>#N/A</v>
      </c>
      <c r="I2703" s="6" t="e">
        <f>VLOOKUP('Customer Info'!E2695,'Customer Info'!E2695:E3194,1,0)</f>
        <v>#N/A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2025</v>
      </c>
      <c r="R2703" s="2" t="s">
        <v>28</v>
      </c>
      <c r="S2703" s="9">
        <f t="shared" si="214"/>
        <v>0.05</v>
      </c>
    </row>
    <row r="2704" spans="1:19" x14ac:dyDescent="0.3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e">
        <f>VLOOKUP('Customer Info'!B2696,'Customer Info'!B2696:B3195,1,0)</f>
        <v>#N/A</v>
      </c>
      <c r="H2704" s="6" t="e">
        <f>VLOOKUP('Customer Info'!C2696,'Customer Info'!C2696:C3195,1)</f>
        <v>#N/A</v>
      </c>
      <c r="I2704" s="6" t="e">
        <f>VLOOKUP('Customer Info'!E2696,'Customer Info'!E2696:E3195,1,0)</f>
        <v>#N/A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5373</v>
      </c>
      <c r="R2704" s="2" t="s">
        <v>50</v>
      </c>
      <c r="S2704" s="9">
        <f t="shared" si="214"/>
        <v>0.09</v>
      </c>
    </row>
    <row r="2705" spans="1:19" x14ac:dyDescent="0.3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e">
        <f>VLOOKUP('Customer Info'!B2697,'Customer Info'!B2697:B3196,1,0)</f>
        <v>#N/A</v>
      </c>
      <c r="H2705" s="6" t="e">
        <f>VLOOKUP('Customer Info'!C2697,'Customer Info'!C2697:C3196,1)</f>
        <v>#N/A</v>
      </c>
      <c r="I2705" s="6" t="e">
        <f>VLOOKUP('Customer Info'!E2697,'Customer Info'!E2697:E3196,1,0)</f>
        <v>#N/A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112</v>
      </c>
      <c r="R2705" s="2" t="s">
        <v>28</v>
      </c>
      <c r="S2705" s="9">
        <f t="shared" si="214"/>
        <v>0.02</v>
      </c>
    </row>
    <row r="2706" spans="1:19" x14ac:dyDescent="0.3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e">
        <f>VLOOKUP('Customer Info'!B2698,'Customer Info'!B2698:B3197,1,0)</f>
        <v>#N/A</v>
      </c>
      <c r="H2706" s="6" t="e">
        <f>VLOOKUP('Customer Info'!C2698,'Customer Info'!C2698:C3197,1)</f>
        <v>#N/A</v>
      </c>
      <c r="I2706" s="6" t="e">
        <f>VLOOKUP('Customer Info'!E2698,'Customer Info'!E2698:E3197,1,0)</f>
        <v>#N/A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1113</v>
      </c>
      <c r="R2706" s="2" t="s">
        <v>28</v>
      </c>
      <c r="S2706" s="9">
        <f t="shared" si="214"/>
        <v>0.05</v>
      </c>
    </row>
    <row r="2707" spans="1:19" x14ac:dyDescent="0.3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e">
        <f>VLOOKUP('Customer Info'!B2699,'Customer Info'!B2699:B3198,1,0)</f>
        <v>#N/A</v>
      </c>
      <c r="H2707" s="6" t="e">
        <f>VLOOKUP('Customer Info'!C2699,'Customer Info'!C2699:C3198,1)</f>
        <v>#N/A</v>
      </c>
      <c r="I2707" s="6" t="e">
        <f>VLOOKUP('Customer Info'!E2699,'Customer Info'!E2699:E3198,1,0)</f>
        <v>#N/A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80</v>
      </c>
      <c r="R2707" s="2" t="s">
        <v>28</v>
      </c>
      <c r="S2707" s="9">
        <f t="shared" si="214"/>
        <v>0.02</v>
      </c>
    </row>
    <row r="2708" spans="1:19" x14ac:dyDescent="0.3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e">
        <f>VLOOKUP('Customer Info'!B2700,'Customer Info'!B2700:B3199,1,0)</f>
        <v>#N/A</v>
      </c>
      <c r="H2708" s="6" t="e">
        <f>VLOOKUP('Customer Info'!C2700,'Customer Info'!C2700:C3199,1)</f>
        <v>#N/A</v>
      </c>
      <c r="I2708" s="6" t="e">
        <f>VLOOKUP('Customer Info'!E2700,'Customer Info'!E2700:E3199,1,0)</f>
        <v>#N/A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7</v>
      </c>
      <c r="R2708" s="2" t="s">
        <v>28</v>
      </c>
      <c r="S2708" s="9">
        <f t="shared" si="214"/>
        <v>0.02</v>
      </c>
    </row>
    <row r="2709" spans="1:19" x14ac:dyDescent="0.3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e">
        <f>VLOOKUP('Customer Info'!B2701,'Customer Info'!B2701:B3200,1,0)</f>
        <v>#N/A</v>
      </c>
      <c r="H2709" s="6" t="e">
        <f>VLOOKUP('Customer Info'!C2701,'Customer Info'!C2701:C3200,1)</f>
        <v>#N/A</v>
      </c>
      <c r="I2709" s="6" t="e">
        <f>VLOOKUP('Customer Info'!E2701,'Customer Info'!E2701:E3200,1,0)</f>
        <v>#N/A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66</v>
      </c>
      <c r="R2709" s="2" t="s">
        <v>28</v>
      </c>
      <c r="S2709" s="9">
        <f t="shared" si="214"/>
        <v>0.02</v>
      </c>
    </row>
    <row r="2710" spans="1:19" x14ac:dyDescent="0.3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e">
        <f>VLOOKUP('Customer Info'!B2702,'Customer Info'!B2702:B3201,1,0)</f>
        <v>#N/A</v>
      </c>
      <c r="H2710" s="6" t="e">
        <f>VLOOKUP('Customer Info'!C2702,'Customer Info'!C2702:C3201,1)</f>
        <v>#N/A</v>
      </c>
      <c r="I2710" s="6" t="e">
        <f>VLOOKUP('Customer Info'!E2702,'Customer Info'!E2702:E3201,1,0)</f>
        <v>#N/A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729</v>
      </c>
      <c r="R2710" s="2" t="s">
        <v>28</v>
      </c>
      <c r="S2710" s="9">
        <f t="shared" si="214"/>
        <v>0.05</v>
      </c>
    </row>
    <row r="2711" spans="1:19" x14ac:dyDescent="0.3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e">
        <f>VLOOKUP('Customer Info'!B2703,'Customer Info'!B2703:B3202,1,0)</f>
        <v>#N/A</v>
      </c>
      <c r="H2711" s="6" t="e">
        <f>VLOOKUP('Customer Info'!C2703,'Customer Info'!C2703:C3202,1)</f>
        <v>#N/A</v>
      </c>
      <c r="I2711" s="6" t="e">
        <f>VLOOKUP('Customer Info'!E2703,'Customer Info'!E2703:E3202,1,0)</f>
        <v>#N/A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18</v>
      </c>
      <c r="R2711" s="2" t="s">
        <v>28</v>
      </c>
      <c r="S2711" s="9">
        <f t="shared" si="214"/>
        <v>0.02</v>
      </c>
    </row>
    <row r="2712" spans="1:19" x14ac:dyDescent="0.3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e">
        <f>VLOOKUP('Customer Info'!B2704,'Customer Info'!B2704:B3203,1,0)</f>
        <v>#N/A</v>
      </c>
      <c r="H2712" s="6" t="e">
        <f>VLOOKUP('Customer Info'!C2704,'Customer Info'!C2704:C3203,1)</f>
        <v>#N/A</v>
      </c>
      <c r="I2712" s="6" t="e">
        <f>VLOOKUP('Customer Info'!E2704,'Customer Info'!E2704:E3203,1,0)</f>
        <v>#N/A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1188</v>
      </c>
      <c r="R2712" s="2" t="s">
        <v>28</v>
      </c>
      <c r="S2712" s="9">
        <f t="shared" si="214"/>
        <v>0.05</v>
      </c>
    </row>
    <row r="2713" spans="1:19" x14ac:dyDescent="0.3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e">
        <f>VLOOKUP('Customer Info'!B2705,'Customer Info'!B2705:B3204,1,0)</f>
        <v>#N/A</v>
      </c>
      <c r="H2713" s="6" t="e">
        <f>VLOOKUP('Customer Info'!C2705,'Customer Info'!C2705:C3204,1)</f>
        <v>#N/A</v>
      </c>
      <c r="I2713" s="6" t="e">
        <f>VLOOKUP('Customer Info'!E2705,'Customer Info'!E2705:E3204,1,0)</f>
        <v>#N/A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343</v>
      </c>
      <c r="R2713" s="2" t="s">
        <v>28</v>
      </c>
      <c r="S2713" s="9">
        <f t="shared" si="214"/>
        <v>0.02</v>
      </c>
    </row>
    <row r="2714" spans="1:19" x14ac:dyDescent="0.3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e">
        <f>VLOOKUP('Customer Info'!B2706,'Customer Info'!B2706:B3205,1,0)</f>
        <v>#N/A</v>
      </c>
      <c r="H2714" s="6" t="e">
        <f>VLOOKUP('Customer Info'!C2706,'Customer Info'!C2706:C3205,1)</f>
        <v>#N/A</v>
      </c>
      <c r="I2714" s="6" t="e">
        <f>VLOOKUP('Customer Info'!E2706,'Customer Info'!E2706:E3205,1,0)</f>
        <v>#N/A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14</v>
      </c>
      <c r="R2714" s="2" t="s">
        <v>28</v>
      </c>
      <c r="S2714" s="9">
        <f t="shared" si="214"/>
        <v>0.02</v>
      </c>
    </row>
    <row r="2715" spans="1:19" x14ac:dyDescent="0.3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e">
        <f>VLOOKUP('Customer Info'!B2707,'Customer Info'!B2707:B3206,1,0)</f>
        <v>#N/A</v>
      </c>
      <c r="H2715" s="6" t="e">
        <f>VLOOKUP('Customer Info'!C2707,'Customer Info'!C2707:C3206,1)</f>
        <v>#N/A</v>
      </c>
      <c r="I2715" s="6" t="e">
        <f>VLOOKUP('Customer Info'!E2707,'Customer Info'!E2707:E3206,1,0)</f>
        <v>#N/A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2574</v>
      </c>
      <c r="R2715" s="2" t="s">
        <v>28</v>
      </c>
      <c r="S2715" s="9">
        <f t="shared" si="214"/>
        <v>7.0000000000000007E-2</v>
      </c>
    </row>
    <row r="2716" spans="1:19" x14ac:dyDescent="0.3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e">
        <f>VLOOKUP('Customer Info'!B2708,'Customer Info'!B2708:B3207,1,0)</f>
        <v>#N/A</v>
      </c>
      <c r="H2716" s="6" t="e">
        <f>VLOOKUP('Customer Info'!C2708,'Customer Info'!C2708:C3207,1)</f>
        <v>#N/A</v>
      </c>
      <c r="I2716" s="6" t="e">
        <f>VLOOKUP('Customer Info'!E2708,'Customer Info'!E2708:E3207,1,0)</f>
        <v>#N/A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77</v>
      </c>
      <c r="R2716" s="2" t="s">
        <v>28</v>
      </c>
      <c r="S2716" s="9">
        <f t="shared" si="214"/>
        <v>0.02</v>
      </c>
    </row>
    <row r="2717" spans="1:19" x14ac:dyDescent="0.3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e">
        <f>VLOOKUP('Customer Info'!B2709,'Customer Info'!B2709:B3208,1,0)</f>
        <v>#N/A</v>
      </c>
      <c r="H2717" s="6" t="e">
        <f>VLOOKUP('Customer Info'!C2709,'Customer Info'!C2709:C3208,1)</f>
        <v>#N/A</v>
      </c>
      <c r="I2717" s="6" t="e">
        <f>VLOOKUP('Customer Info'!E2709,'Customer Info'!E2709:E3208,1,0)</f>
        <v>#N/A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75</v>
      </c>
      <c r="R2717" s="2" t="s">
        <v>50</v>
      </c>
      <c r="S2717" s="9">
        <f t="shared" si="214"/>
        <v>0.02</v>
      </c>
    </row>
    <row r="2718" spans="1:19" x14ac:dyDescent="0.3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e">
        <f>VLOOKUP('Customer Info'!B2710,'Customer Info'!B2710:B3209,1,0)</f>
        <v>#N/A</v>
      </c>
      <c r="H2718" s="6" t="e">
        <f>VLOOKUP('Customer Info'!C2710,'Customer Info'!C2710:C3209,1)</f>
        <v>#N/A</v>
      </c>
      <c r="I2718" s="6" t="e">
        <f>VLOOKUP('Customer Info'!E2710,'Customer Info'!E2710:E3209,1,0)</f>
        <v>#N/A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2140</v>
      </c>
      <c r="R2718" s="2" t="s">
        <v>28</v>
      </c>
      <c r="S2718" s="9">
        <f t="shared" si="214"/>
        <v>7.0000000000000007E-2</v>
      </c>
    </row>
    <row r="2719" spans="1:19" x14ac:dyDescent="0.3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e">
        <f>VLOOKUP('Customer Info'!B2711,'Customer Info'!B2711:B3210,1,0)</f>
        <v>#N/A</v>
      </c>
      <c r="H2719" s="6" t="e">
        <f>VLOOKUP('Customer Info'!C2711,'Customer Info'!C2711:C3210,1)</f>
        <v>#N/A</v>
      </c>
      <c r="I2719" s="6" t="e">
        <f>VLOOKUP('Customer Info'!E2711,'Customer Info'!E2711:E3210,1,0)</f>
        <v>#N/A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196</v>
      </c>
      <c r="R2719" s="2" t="s">
        <v>50</v>
      </c>
      <c r="S2719" s="9">
        <f t="shared" si="214"/>
        <v>0.02</v>
      </c>
    </row>
    <row r="2720" spans="1:19" x14ac:dyDescent="0.3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e">
        <f>VLOOKUP('Customer Info'!B2712,'Customer Info'!B2712:B3211,1,0)</f>
        <v>#N/A</v>
      </c>
      <c r="H2720" s="6" t="e">
        <f>VLOOKUP('Customer Info'!C2712,'Customer Info'!C2712:C3211,1)</f>
        <v>#N/A</v>
      </c>
      <c r="I2720" s="6" t="e">
        <f>VLOOKUP('Customer Info'!E2712,'Customer Info'!E2712:E3211,1,0)</f>
        <v>#N/A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264</v>
      </c>
      <c r="R2720" s="2" t="s">
        <v>50</v>
      </c>
      <c r="S2720" s="9">
        <f t="shared" si="214"/>
        <v>0.02</v>
      </c>
    </row>
    <row r="2721" spans="1:19" x14ac:dyDescent="0.3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e">
        <f>VLOOKUP('Customer Info'!B2713,'Customer Info'!B2713:B3212,1,0)</f>
        <v>#N/A</v>
      </c>
      <c r="H2721" s="6" t="e">
        <f>VLOOKUP('Customer Info'!C2713,'Customer Info'!C2713:C3212,1)</f>
        <v>#N/A</v>
      </c>
      <c r="I2721" s="6" t="e">
        <f>VLOOKUP('Customer Info'!E2713,'Customer Info'!E2713:E3212,1,0)</f>
        <v>#N/A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267</v>
      </c>
      <c r="R2721" s="2" t="s">
        <v>28</v>
      </c>
      <c r="S2721" s="9">
        <f t="shared" si="214"/>
        <v>0.02</v>
      </c>
    </row>
    <row r="2722" spans="1:19" x14ac:dyDescent="0.3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e">
        <f>VLOOKUP('Customer Info'!B2714,'Customer Info'!B2714:B3213,1,0)</f>
        <v>#N/A</v>
      </c>
      <c r="H2722" s="6" t="e">
        <f>VLOOKUP('Customer Info'!C2714,'Customer Info'!C2714:C3213,1)</f>
        <v>#N/A</v>
      </c>
      <c r="I2722" s="6" t="e">
        <f>VLOOKUP('Customer Info'!E2714,'Customer Info'!E2714:E3213,1,0)</f>
        <v>#N/A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78</v>
      </c>
      <c r="R2722" s="2" t="s">
        <v>26</v>
      </c>
      <c r="S2722" s="9">
        <f t="shared" si="214"/>
        <v>0.02</v>
      </c>
    </row>
    <row r="2723" spans="1:19" x14ac:dyDescent="0.3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e">
        <f>VLOOKUP('Customer Info'!B2715,'Customer Info'!B2715:B3214,1,0)</f>
        <v>#N/A</v>
      </c>
      <c r="H2723" s="6" t="e">
        <f>VLOOKUP('Customer Info'!C2715,'Customer Info'!C2715:C3214,1)</f>
        <v>#N/A</v>
      </c>
      <c r="I2723" s="6" t="e">
        <f>VLOOKUP('Customer Info'!E2715,'Customer Info'!E2715:E3214,1,0)</f>
        <v>#N/A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19</v>
      </c>
      <c r="R2723" s="2" t="s">
        <v>28</v>
      </c>
      <c r="S2723" s="9">
        <f t="shared" si="214"/>
        <v>0.02</v>
      </c>
    </row>
    <row r="2724" spans="1:19" x14ac:dyDescent="0.3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e">
        <f>VLOOKUP('Customer Info'!B2716,'Customer Info'!B2716:B3215,1,0)</f>
        <v>#N/A</v>
      </c>
      <c r="H2724" s="6" t="e">
        <f>VLOOKUP('Customer Info'!C2716,'Customer Info'!C2716:C3215,1)</f>
        <v>#N/A</v>
      </c>
      <c r="I2724" s="6" t="e">
        <f>VLOOKUP('Customer Info'!E2716,'Customer Info'!E2716:E3215,1,0)</f>
        <v>#N/A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138</v>
      </c>
      <c r="R2724" s="2" t="s">
        <v>50</v>
      </c>
      <c r="S2724" s="9">
        <f t="shared" si="214"/>
        <v>0.02</v>
      </c>
    </row>
    <row r="2725" spans="1:19" x14ac:dyDescent="0.3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e">
        <f>VLOOKUP('Customer Info'!B2717,'Customer Info'!B2717:B3216,1,0)</f>
        <v>#N/A</v>
      </c>
      <c r="H2725" s="6" t="e">
        <f>VLOOKUP('Customer Info'!C2717,'Customer Info'!C2717:C3216,1)</f>
        <v>#N/A</v>
      </c>
      <c r="I2725" s="6" t="e">
        <f>VLOOKUP('Customer Info'!E2717,'Customer Info'!E2717:E3216,1,0)</f>
        <v>#N/A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132</v>
      </c>
      <c r="R2725" s="2" t="s">
        <v>28</v>
      </c>
      <c r="S2725" s="9">
        <f t="shared" si="214"/>
        <v>0.02</v>
      </c>
    </row>
    <row r="2726" spans="1:19" x14ac:dyDescent="0.3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e">
        <f>VLOOKUP('Customer Info'!B2718,'Customer Info'!B2718:B3217,1,0)</f>
        <v>#N/A</v>
      </c>
      <c r="H2726" s="6" t="e">
        <f>VLOOKUP('Customer Info'!C2718,'Customer Info'!C2718:C3217,1)</f>
        <v>#N/A</v>
      </c>
      <c r="I2726" s="6" t="e">
        <f>VLOOKUP('Customer Info'!E2718,'Customer Info'!E2718:E3217,1,0)</f>
        <v>#N/A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18</v>
      </c>
      <c r="R2726" s="2" t="s">
        <v>28</v>
      </c>
      <c r="S2726" s="9">
        <f t="shared" si="214"/>
        <v>0.02</v>
      </c>
    </row>
    <row r="2727" spans="1:19" x14ac:dyDescent="0.3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e">
        <f>VLOOKUP('Customer Info'!B2719,'Customer Info'!B2719:B3218,1,0)</f>
        <v>#N/A</v>
      </c>
      <c r="H2727" s="6" t="e">
        <f>VLOOKUP('Customer Info'!C2719,'Customer Info'!C2719:C3218,1)</f>
        <v>#N/A</v>
      </c>
      <c r="I2727" s="6" t="e">
        <f>VLOOKUP('Customer Info'!E2719,'Customer Info'!E2719:E3218,1,0)</f>
        <v>#N/A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15</v>
      </c>
      <c r="R2727" s="2" t="s">
        <v>28</v>
      </c>
      <c r="S2727" s="9">
        <f t="shared" si="214"/>
        <v>0.02</v>
      </c>
    </row>
    <row r="2728" spans="1:19" x14ac:dyDescent="0.3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e">
        <f>VLOOKUP('Customer Info'!B2720,'Customer Info'!B2720:B3219,1,0)</f>
        <v>#N/A</v>
      </c>
      <c r="H2728" s="6" t="e">
        <f>VLOOKUP('Customer Info'!C2720,'Customer Info'!C2720:C3219,1)</f>
        <v>#N/A</v>
      </c>
      <c r="I2728" s="6" t="e">
        <f>VLOOKUP('Customer Info'!E2720,'Customer Info'!E2720:E3219,1,0)</f>
        <v>#N/A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243</v>
      </c>
      <c r="R2728" s="2" t="s">
        <v>50</v>
      </c>
      <c r="S2728" s="9">
        <f t="shared" si="214"/>
        <v>0.05</v>
      </c>
    </row>
    <row r="2729" spans="1:19" x14ac:dyDescent="0.3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e">
        <f>VLOOKUP('Customer Info'!B2721,'Customer Info'!B2721:B3220,1,0)</f>
        <v>#N/A</v>
      </c>
      <c r="H2729" s="6" t="e">
        <f>VLOOKUP('Customer Info'!C2721,'Customer Info'!C2721:C3220,1)</f>
        <v>#N/A</v>
      </c>
      <c r="I2729" s="6" t="e">
        <f>VLOOKUP('Customer Info'!E2721,'Customer Info'!E2721:E3220,1,0)</f>
        <v>#N/A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102</v>
      </c>
      <c r="R2729" s="2" t="s">
        <v>28</v>
      </c>
      <c r="S2729" s="9">
        <f t="shared" si="214"/>
        <v>0.02</v>
      </c>
    </row>
    <row r="2730" spans="1:19" x14ac:dyDescent="0.3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e">
        <f>VLOOKUP('Customer Info'!B2722,'Customer Info'!B2722:B3221,1,0)</f>
        <v>#N/A</v>
      </c>
      <c r="H2730" s="6" t="e">
        <f>VLOOKUP('Customer Info'!C2722,'Customer Info'!C2722:C3221,1)</f>
        <v>#N/A</v>
      </c>
      <c r="I2730" s="6" t="e">
        <f>VLOOKUP('Customer Info'!E2722,'Customer Info'!E2722:E3221,1,0)</f>
        <v>#N/A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18</v>
      </c>
      <c r="R2730" s="2" t="s">
        <v>28</v>
      </c>
      <c r="S2730" s="9">
        <f t="shared" si="214"/>
        <v>0.02</v>
      </c>
    </row>
    <row r="2731" spans="1:19" x14ac:dyDescent="0.3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e">
        <f>VLOOKUP('Customer Info'!B2723,'Customer Info'!B2723:B3222,1,0)</f>
        <v>#N/A</v>
      </c>
      <c r="H2731" s="6" t="e">
        <f>VLOOKUP('Customer Info'!C2723,'Customer Info'!C2723:C3222,1)</f>
        <v>#N/A</v>
      </c>
      <c r="I2731" s="6" t="e">
        <f>VLOOKUP('Customer Info'!E2723,'Customer Info'!E2723:E3222,1,0)</f>
        <v>#N/A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195</v>
      </c>
      <c r="R2731" s="2" t="s">
        <v>28</v>
      </c>
      <c r="S2731" s="9">
        <f t="shared" si="214"/>
        <v>0.05</v>
      </c>
    </row>
    <row r="2732" spans="1:19" x14ac:dyDescent="0.3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e">
        <f>VLOOKUP('Customer Info'!B2724,'Customer Info'!B2724:B3223,1,0)</f>
        <v>#N/A</v>
      </c>
      <c r="H2732" s="6" t="e">
        <f>VLOOKUP('Customer Info'!C2724,'Customer Info'!C2724:C3223,1)</f>
        <v>#N/A</v>
      </c>
      <c r="I2732" s="6" t="e">
        <f>VLOOKUP('Customer Info'!E2724,'Customer Info'!E2724:E3223,1,0)</f>
        <v>#N/A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335</v>
      </c>
      <c r="R2732" s="2" t="s">
        <v>50</v>
      </c>
      <c r="S2732" s="9">
        <f t="shared" si="214"/>
        <v>0.02</v>
      </c>
    </row>
    <row r="2733" spans="1:19" x14ac:dyDescent="0.3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e">
        <f>VLOOKUP('Customer Info'!B2725,'Customer Info'!B2725:B3224,1,0)</f>
        <v>#N/A</v>
      </c>
      <c r="H2733" s="6" t="e">
        <f>VLOOKUP('Customer Info'!C2725,'Customer Info'!C2725:C3224,1)</f>
        <v>#N/A</v>
      </c>
      <c r="I2733" s="6" t="e">
        <f>VLOOKUP('Customer Info'!E2725,'Customer Info'!E2725:E3224,1,0)</f>
        <v>#N/A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18</v>
      </c>
      <c r="R2733" s="2" t="s">
        <v>28</v>
      </c>
      <c r="S2733" s="9">
        <f t="shared" si="214"/>
        <v>0.02</v>
      </c>
    </row>
    <row r="2734" spans="1:19" x14ac:dyDescent="0.3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e">
        <f>VLOOKUP('Customer Info'!B2726,'Customer Info'!B2726:B3225,1,0)</f>
        <v>#N/A</v>
      </c>
      <c r="H2734" s="6" t="e">
        <f>VLOOKUP('Customer Info'!C2726,'Customer Info'!C2726:C3225,1)</f>
        <v>#N/A</v>
      </c>
      <c r="I2734" s="6" t="e">
        <f>VLOOKUP('Customer Info'!E2726,'Customer Info'!E2726:E3225,1,0)</f>
        <v>#N/A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220</v>
      </c>
      <c r="R2734" s="2" t="s">
        <v>28</v>
      </c>
      <c r="S2734" s="9">
        <f t="shared" si="214"/>
        <v>0.02</v>
      </c>
    </row>
    <row r="2735" spans="1:19" x14ac:dyDescent="0.3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e">
        <f>VLOOKUP('Customer Info'!B2727,'Customer Info'!B2727:B3226,1,0)</f>
        <v>#N/A</v>
      </c>
      <c r="H2735" s="6" t="e">
        <f>VLOOKUP('Customer Info'!C2727,'Customer Info'!C2727:C3226,1)</f>
        <v>#N/A</v>
      </c>
      <c r="I2735" s="6" t="e">
        <f>VLOOKUP('Customer Info'!E2727,'Customer Info'!E2727:E3226,1,0)</f>
        <v>#N/A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62</v>
      </c>
      <c r="R2735" s="2" t="s">
        <v>50</v>
      </c>
      <c r="S2735" s="9">
        <f t="shared" si="214"/>
        <v>0.02</v>
      </c>
    </row>
    <row r="2736" spans="1:19" x14ac:dyDescent="0.3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e">
        <f>VLOOKUP('Customer Info'!B2728,'Customer Info'!B2728:B3227,1,0)</f>
        <v>#N/A</v>
      </c>
      <c r="H2736" s="6" t="e">
        <f>VLOOKUP('Customer Info'!C2728,'Customer Info'!C2728:C3227,1)</f>
        <v>#N/A</v>
      </c>
      <c r="I2736" s="6" t="e">
        <f>VLOOKUP('Customer Info'!E2728,'Customer Info'!E2728:E3227,1,0)</f>
        <v>#N/A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30</v>
      </c>
      <c r="R2736" s="2" t="s">
        <v>28</v>
      </c>
      <c r="S2736" s="9">
        <f t="shared" si="214"/>
        <v>0.02</v>
      </c>
    </row>
    <row r="2737" spans="1:19" x14ac:dyDescent="0.3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e">
        <f>VLOOKUP('Customer Info'!B2729,'Customer Info'!B2729:B3228,1,0)</f>
        <v>#N/A</v>
      </c>
      <c r="H2737" s="6" t="e">
        <f>VLOOKUP('Customer Info'!C2729,'Customer Info'!C2729:C3228,1)</f>
        <v>#N/A</v>
      </c>
      <c r="I2737" s="6" t="e">
        <f>VLOOKUP('Customer Info'!E2729,'Customer Info'!E2729:E3228,1,0)</f>
        <v>#N/A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135</v>
      </c>
      <c r="R2737" s="2" t="s">
        <v>28</v>
      </c>
      <c r="S2737" s="9">
        <f t="shared" si="214"/>
        <v>0.02</v>
      </c>
    </row>
    <row r="2738" spans="1:19" x14ac:dyDescent="0.3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e">
        <f>VLOOKUP('Customer Info'!B2730,'Customer Info'!B2730:B3229,1,0)</f>
        <v>#N/A</v>
      </c>
      <c r="H2738" s="6" t="e">
        <f>VLOOKUP('Customer Info'!C2730,'Customer Info'!C2730:C3229,1)</f>
        <v>#N/A</v>
      </c>
      <c r="I2738" s="6" t="e">
        <f>VLOOKUP('Customer Info'!E2730,'Customer Info'!E2730:E3229,1,0)</f>
        <v>#N/A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1185</v>
      </c>
      <c r="R2738" s="2" t="s">
        <v>50</v>
      </c>
      <c r="S2738" s="9">
        <f t="shared" si="214"/>
        <v>0.05</v>
      </c>
    </row>
    <row r="2739" spans="1:19" x14ac:dyDescent="0.3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e">
        <f>VLOOKUP('Customer Info'!B2731,'Customer Info'!B2731:B3230,1,0)</f>
        <v>#N/A</v>
      </c>
      <c r="H2739" s="6" t="e">
        <f>VLOOKUP('Customer Info'!C2731,'Customer Info'!C2731:C3230,1)</f>
        <v>#N/A</v>
      </c>
      <c r="I2739" s="6" t="e">
        <f>VLOOKUP('Customer Info'!E2731,'Customer Info'!E2731:E3230,1,0)</f>
        <v>#N/A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441</v>
      </c>
      <c r="R2739" s="2" t="s">
        <v>26</v>
      </c>
      <c r="S2739" s="9">
        <f t="shared" si="214"/>
        <v>0.05</v>
      </c>
    </row>
    <row r="2740" spans="1:19" x14ac:dyDescent="0.3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e">
        <f>VLOOKUP('Customer Info'!B2732,'Customer Info'!B2732:B3231,1,0)</f>
        <v>#N/A</v>
      </c>
      <c r="H2740" s="6" t="e">
        <f>VLOOKUP('Customer Info'!C2732,'Customer Info'!C2732:C3231,1)</f>
        <v>#N/A</v>
      </c>
      <c r="I2740" s="6" t="e">
        <f>VLOOKUP('Customer Info'!E2732,'Customer Info'!E2732:E3231,1,0)</f>
        <v>#N/A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285</v>
      </c>
      <c r="R2740" s="2" t="s">
        <v>50</v>
      </c>
      <c r="S2740" s="9">
        <f t="shared" si="214"/>
        <v>0.05</v>
      </c>
    </row>
    <row r="2741" spans="1:19" x14ac:dyDescent="0.3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e">
        <f>VLOOKUP('Customer Info'!B2733,'Customer Info'!B2733:B3232,1,0)</f>
        <v>#N/A</v>
      </c>
      <c r="H2741" s="6" t="e">
        <f>VLOOKUP('Customer Info'!C2733,'Customer Info'!C2733:C3232,1)</f>
        <v>#N/A</v>
      </c>
      <c r="I2741" s="6" t="e">
        <f>VLOOKUP('Customer Info'!E2733,'Customer Info'!E2733:E3232,1,0)</f>
        <v>#N/A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142</v>
      </c>
      <c r="R2741" s="2" t="s">
        <v>50</v>
      </c>
      <c r="S2741" s="9">
        <f t="shared" si="214"/>
        <v>0.02</v>
      </c>
    </row>
    <row r="2742" spans="1:19" x14ac:dyDescent="0.3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e">
        <f>VLOOKUP('Customer Info'!B2734,'Customer Info'!B2734:B3233,1,0)</f>
        <v>#N/A</v>
      </c>
      <c r="H2742" s="6" t="e">
        <f>VLOOKUP('Customer Info'!C2734,'Customer Info'!C2734:C3233,1)</f>
        <v>#N/A</v>
      </c>
      <c r="I2742" s="6" t="e">
        <f>VLOOKUP('Customer Info'!E2734,'Customer Info'!E2734:E3233,1,0)</f>
        <v>#N/A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16</v>
      </c>
      <c r="R2742" s="2" t="s">
        <v>56</v>
      </c>
      <c r="S2742" s="9">
        <f t="shared" si="214"/>
        <v>0.02</v>
      </c>
    </row>
    <row r="2743" spans="1:19" x14ac:dyDescent="0.3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e">
        <f>VLOOKUP('Customer Info'!B2735,'Customer Info'!B2735:B3234,1,0)</f>
        <v>#N/A</v>
      </c>
      <c r="H2743" s="6" t="e">
        <f>VLOOKUP('Customer Info'!C2735,'Customer Info'!C2735:C3234,1)</f>
        <v>#N/A</v>
      </c>
      <c r="I2743" s="6" t="e">
        <f>VLOOKUP('Customer Info'!E2735,'Customer Info'!E2735:E3234,1,0)</f>
        <v>#N/A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2464</v>
      </c>
      <c r="R2743" s="2" t="s">
        <v>28</v>
      </c>
      <c r="S2743" s="9">
        <f t="shared" si="214"/>
        <v>7.0000000000000007E-2</v>
      </c>
    </row>
    <row r="2744" spans="1:19" x14ac:dyDescent="0.3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e">
        <f>VLOOKUP('Customer Info'!B2736,'Customer Info'!B2736:B3235,1,0)</f>
        <v>#N/A</v>
      </c>
      <c r="H2744" s="6" t="e">
        <f>VLOOKUP('Customer Info'!C2736,'Customer Info'!C2736:C3235,1)</f>
        <v>#N/A</v>
      </c>
      <c r="I2744" s="6" t="e">
        <f>VLOOKUP('Customer Info'!E2736,'Customer Info'!E2736:E3235,1,0)</f>
        <v>#N/A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82</v>
      </c>
      <c r="R2744" s="2" t="s">
        <v>28</v>
      </c>
      <c r="S2744" s="9">
        <f t="shared" si="214"/>
        <v>0.02</v>
      </c>
    </row>
    <row r="2745" spans="1:19" x14ac:dyDescent="0.3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e">
        <f>VLOOKUP('Customer Info'!B2737,'Customer Info'!B2737:B3236,1,0)</f>
        <v>#N/A</v>
      </c>
      <c r="H2745" s="6" t="e">
        <f>VLOOKUP('Customer Info'!C2737,'Customer Info'!C2737:C3236,1)</f>
        <v>#N/A</v>
      </c>
      <c r="I2745" s="6" t="e">
        <f>VLOOKUP('Customer Info'!E2737,'Customer Info'!E2737:E3236,1,0)</f>
        <v>#N/A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270</v>
      </c>
      <c r="R2745" s="2" t="s">
        <v>50</v>
      </c>
      <c r="S2745" s="9">
        <f t="shared" si="214"/>
        <v>0.02</v>
      </c>
    </row>
    <row r="2746" spans="1:19" x14ac:dyDescent="0.3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e">
        <f>VLOOKUP('Customer Info'!B2738,'Customer Info'!B2738:B3237,1,0)</f>
        <v>#N/A</v>
      </c>
      <c r="H2746" s="6" t="e">
        <f>VLOOKUP('Customer Info'!C2738,'Customer Info'!C2738:C3237,1)</f>
        <v>#N/A</v>
      </c>
      <c r="I2746" s="6" t="e">
        <f>VLOOKUP('Customer Info'!E2738,'Customer Info'!E2738:E3237,1,0)</f>
        <v>#N/A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276</v>
      </c>
      <c r="R2746" s="2" t="s">
        <v>28</v>
      </c>
      <c r="S2746" s="9">
        <f t="shared" si="214"/>
        <v>0.02</v>
      </c>
    </row>
    <row r="2747" spans="1:19" x14ac:dyDescent="0.3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e">
        <f>VLOOKUP('Customer Info'!B2739,'Customer Info'!B2739:B3238,1,0)</f>
        <v>#N/A</v>
      </c>
      <c r="H2747" s="6" t="e">
        <f>VLOOKUP('Customer Info'!C2739,'Customer Info'!C2739:C3238,1)</f>
        <v>#N/A</v>
      </c>
      <c r="I2747" s="6" t="e">
        <f>VLOOKUP('Customer Info'!E2739,'Customer Info'!E2739:E3238,1,0)</f>
        <v>#N/A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2580</v>
      </c>
      <c r="R2747" s="2" t="s">
        <v>26</v>
      </c>
      <c r="S2747" s="9">
        <f t="shared" si="214"/>
        <v>7.0000000000000007E-2</v>
      </c>
    </row>
    <row r="2748" spans="1:19" x14ac:dyDescent="0.3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e">
        <f>VLOOKUP('Customer Info'!B2740,'Customer Info'!B2740:B3239,1,0)</f>
        <v>#N/A</v>
      </c>
      <c r="H2748" s="6" t="e">
        <f>VLOOKUP('Customer Info'!C2740,'Customer Info'!C2740:C3239,1)</f>
        <v>#N/A</v>
      </c>
      <c r="I2748" s="6" t="e">
        <f>VLOOKUP('Customer Info'!E2740,'Customer Info'!E2740:E3239,1,0)</f>
        <v>#N/A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1620</v>
      </c>
      <c r="R2748" s="2" t="s">
        <v>28</v>
      </c>
      <c r="S2748" s="9">
        <f t="shared" si="214"/>
        <v>0.05</v>
      </c>
    </row>
    <row r="2749" spans="1:19" x14ac:dyDescent="0.3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e">
        <f>VLOOKUP('Customer Info'!B2741,'Customer Info'!B2741:B3240,1,0)</f>
        <v>#N/A</v>
      </c>
      <c r="H2749" s="6" t="e">
        <f>VLOOKUP('Customer Info'!C2741,'Customer Info'!C2741:C3240,1)</f>
        <v>#N/A</v>
      </c>
      <c r="I2749" s="6" t="e">
        <f>VLOOKUP('Customer Info'!E2741,'Customer Info'!E2741:E3240,1,0)</f>
        <v>#N/A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4932</v>
      </c>
      <c r="R2749" s="2" t="s">
        <v>28</v>
      </c>
      <c r="S2749" s="9">
        <f t="shared" si="214"/>
        <v>0.09</v>
      </c>
    </row>
    <row r="2750" spans="1:19" x14ac:dyDescent="0.3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e">
        <f>VLOOKUP('Customer Info'!B2742,'Customer Info'!B2742:B3241,1,0)</f>
        <v>#N/A</v>
      </c>
      <c r="H2750" s="6" t="e">
        <f>VLOOKUP('Customer Info'!C2742,'Customer Info'!C2742:C3241,1)</f>
        <v>#N/A</v>
      </c>
      <c r="I2750" s="6" t="e">
        <f>VLOOKUP('Customer Info'!E2742,'Customer Info'!E2742:E3241,1,0)</f>
        <v>#N/A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976</v>
      </c>
      <c r="R2750" s="2" t="s">
        <v>28</v>
      </c>
      <c r="S2750" s="9">
        <f t="shared" si="214"/>
        <v>0.09</v>
      </c>
    </row>
    <row r="2751" spans="1:19" x14ac:dyDescent="0.3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e">
        <f>VLOOKUP('Customer Info'!B2743,'Customer Info'!B2743:B3242,1,0)</f>
        <v>#N/A</v>
      </c>
      <c r="H2751" s="6" t="e">
        <f>VLOOKUP('Customer Info'!C2743,'Customer Info'!C2743:C3242,1)</f>
        <v>#N/A</v>
      </c>
      <c r="I2751" s="6" t="e">
        <f>VLOOKUP('Customer Info'!E2743,'Customer Info'!E2743:E3242,1,0)</f>
        <v>#N/A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308</v>
      </c>
      <c r="R2751" s="2" t="s">
        <v>28</v>
      </c>
      <c r="S2751" s="9">
        <f t="shared" si="214"/>
        <v>0.05</v>
      </c>
    </row>
    <row r="2752" spans="1:19" x14ac:dyDescent="0.3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e">
        <f>VLOOKUP('Customer Info'!B2744,'Customer Info'!B2744:B3243,1,0)</f>
        <v>#N/A</v>
      </c>
      <c r="H2752" s="6" t="e">
        <f>VLOOKUP('Customer Info'!C2744,'Customer Info'!C2744:C3243,1)</f>
        <v>#N/A</v>
      </c>
      <c r="I2752" s="6" t="e">
        <f>VLOOKUP('Customer Info'!E2744,'Customer Info'!E2744:E3243,1,0)</f>
        <v>#N/A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79</v>
      </c>
      <c r="R2752" s="2" t="s">
        <v>50</v>
      </c>
      <c r="S2752" s="9">
        <f t="shared" si="214"/>
        <v>0.02</v>
      </c>
    </row>
    <row r="2753" spans="1:19" x14ac:dyDescent="0.3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e">
        <f>VLOOKUP('Customer Info'!B2745,'Customer Info'!B2745:B3244,1,0)</f>
        <v>#N/A</v>
      </c>
      <c r="H2753" s="6" t="e">
        <f>VLOOKUP('Customer Info'!C2745,'Customer Info'!C2745:C3244,1)</f>
        <v>#N/A</v>
      </c>
      <c r="I2753" s="6" t="e">
        <f>VLOOKUP('Customer Info'!E2745,'Customer Info'!E2745:E3244,1,0)</f>
        <v>#N/A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10</v>
      </c>
      <c r="R2753" s="2" t="s">
        <v>28</v>
      </c>
      <c r="S2753" s="9">
        <f t="shared" si="214"/>
        <v>0.02</v>
      </c>
    </row>
    <row r="2754" spans="1:19" x14ac:dyDescent="0.3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e">
        <f>VLOOKUP('Customer Info'!B2746,'Customer Info'!B2746:B3245,1,0)</f>
        <v>#N/A</v>
      </c>
      <c r="H2754" s="6" t="e">
        <f>VLOOKUP('Customer Info'!C2746,'Customer Info'!C2746:C3245,1)</f>
        <v>#N/A</v>
      </c>
      <c r="I2754" s="6" t="e">
        <f>VLOOKUP('Customer Info'!E2746,'Customer Info'!E2746:E3245,1,0)</f>
        <v>#N/A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1965</v>
      </c>
      <c r="R2754" s="2" t="s">
        <v>28</v>
      </c>
      <c r="S2754" s="9">
        <f t="shared" si="214"/>
        <v>0.05</v>
      </c>
    </row>
    <row r="2755" spans="1:19" x14ac:dyDescent="0.3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e">
        <f>VLOOKUP('Customer Info'!B2747,'Customer Info'!B2747:B3246,1,0)</f>
        <v>#N/A</v>
      </c>
      <c r="H2755" s="6" t="e">
        <f>VLOOKUP('Customer Info'!C2747,'Customer Info'!C2747:C3246,1)</f>
        <v>#N/A</v>
      </c>
      <c r="I2755" s="6" t="e">
        <f>VLOOKUP('Customer Info'!E2747,'Customer Info'!E2747:E3246,1,0)</f>
        <v>#N/A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78</v>
      </c>
      <c r="R2755" s="2" t="s">
        <v>26</v>
      </c>
      <c r="S2755" s="9">
        <f t="shared" si="214"/>
        <v>0.02</v>
      </c>
    </row>
    <row r="2756" spans="1:19" x14ac:dyDescent="0.3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e">
        <f>VLOOKUP('Customer Info'!B2748,'Customer Info'!B2748:B3247,1,0)</f>
        <v>#N/A</v>
      </c>
      <c r="H2756" s="6" t="e">
        <f>VLOOKUP('Customer Info'!C2748,'Customer Info'!C2748:C3247,1)</f>
        <v>#N/A</v>
      </c>
      <c r="I2756" s="6" t="e">
        <f>VLOOKUP('Customer Info'!E2748,'Customer Info'!E2748:E3247,1,0)</f>
        <v>#N/A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173</v>
      </c>
      <c r="R2756" s="2" t="s">
        <v>50</v>
      </c>
      <c r="S2756" s="9">
        <f t="shared" si="214"/>
        <v>0.02</v>
      </c>
    </row>
    <row r="2757" spans="1:19" x14ac:dyDescent="0.3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e">
        <f>VLOOKUP('Customer Info'!B2749,'Customer Info'!B2749:B3248,1,0)</f>
        <v>#N/A</v>
      </c>
      <c r="H2757" s="6" t="e">
        <f>VLOOKUP('Customer Info'!C2749,'Customer Info'!C2749:C3248,1)</f>
        <v>#N/A</v>
      </c>
      <c r="I2757" s="6" t="e">
        <f>VLOOKUP('Customer Info'!E2749,'Customer Info'!E2749:E3248,1,0)</f>
        <v>#N/A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44</v>
      </c>
      <c r="R2757" s="2" t="s">
        <v>28</v>
      </c>
      <c r="S2757" s="9">
        <f t="shared" si="214"/>
        <v>0.02</v>
      </c>
    </row>
    <row r="2758" spans="1:19" x14ac:dyDescent="0.3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e">
        <f>VLOOKUP('Customer Info'!B2750,'Customer Info'!B2750:B3249,1,0)</f>
        <v>#N/A</v>
      </c>
      <c r="H2758" s="6" t="e">
        <f>VLOOKUP('Customer Info'!C2750,'Customer Info'!C2750:C3249,1)</f>
        <v>#N/A</v>
      </c>
      <c r="I2758" s="6" t="e">
        <f>VLOOKUP('Customer Info'!E2750,'Customer Info'!E2750:E3249,1,0)</f>
        <v>#N/A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588</v>
      </c>
      <c r="R2758" s="2" t="s">
        <v>28</v>
      </c>
      <c r="S2758" s="9">
        <f t="shared" si="214"/>
        <v>0.05</v>
      </c>
    </row>
    <row r="2759" spans="1:19" x14ac:dyDescent="0.3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e">
        <f>VLOOKUP('Customer Info'!B2751,'Customer Info'!B2751:B3250,1,0)</f>
        <v>#N/A</v>
      </c>
      <c r="H2759" s="6" t="e">
        <f>VLOOKUP('Customer Info'!C2751,'Customer Info'!C2751:C3250,1)</f>
        <v>#N/A</v>
      </c>
      <c r="I2759" s="6" t="e">
        <f>VLOOKUP('Customer Info'!E2751,'Customer Info'!E2751:E3250,1,0)</f>
        <v>#N/A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-4</v>
      </c>
      <c r="R2759" s="2" t="s">
        <v>50</v>
      </c>
      <c r="S2759" s="9">
        <f t="shared" si="214"/>
        <v>7.0000000000000007E-2</v>
      </c>
    </row>
    <row r="2760" spans="1:19" x14ac:dyDescent="0.3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e">
        <f>VLOOKUP('Customer Info'!B2752,'Customer Info'!B2752:B3251,1,0)</f>
        <v>#N/A</v>
      </c>
      <c r="H2760" s="6" t="e">
        <f>VLOOKUP('Customer Info'!C2752,'Customer Info'!C2752:C3251,1)</f>
        <v>#N/A</v>
      </c>
      <c r="I2760" s="6" t="e">
        <f>VLOOKUP('Customer Info'!E2752,'Customer Info'!E2752:E3251,1,0)</f>
        <v>#N/A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34</v>
      </c>
      <c r="R2760" s="2" t="s">
        <v>50</v>
      </c>
      <c r="S2760" s="9">
        <f t="shared" si="214"/>
        <v>0.02</v>
      </c>
    </row>
    <row r="2761" spans="1:19" x14ac:dyDescent="0.3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e">
        <f>VLOOKUP('Customer Info'!B2753,'Customer Info'!B2753:B3252,1,0)</f>
        <v>#N/A</v>
      </c>
      <c r="H2761" s="6" t="e">
        <f>VLOOKUP('Customer Info'!C2753,'Customer Info'!C2753:C3252,1)</f>
        <v>#N/A</v>
      </c>
      <c r="I2761" s="6" t="e">
        <f>VLOOKUP('Customer Info'!E2753,'Customer Info'!E2753:E3252,1,0)</f>
        <v>#N/A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84</v>
      </c>
      <c r="R2761" s="2" t="s">
        <v>28</v>
      </c>
      <c r="S2761" s="9">
        <f t="shared" si="214"/>
        <v>0.02</v>
      </c>
    </row>
    <row r="2762" spans="1:19" x14ac:dyDescent="0.3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e">
        <f>VLOOKUP('Customer Info'!B2754,'Customer Info'!B2754:B3253,1,0)</f>
        <v>#N/A</v>
      </c>
      <c r="H2762" s="6" t="e">
        <f>VLOOKUP('Customer Info'!C2754,'Customer Info'!C2754:C3253,1)</f>
        <v>#N/A</v>
      </c>
      <c r="I2762" s="6" t="e">
        <f>VLOOKUP('Customer Info'!E2754,'Customer Info'!E2754:E3253,1,0)</f>
        <v>#N/A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15</v>
      </c>
      <c r="R2762" s="2" t="s">
        <v>28</v>
      </c>
      <c r="S2762" s="9">
        <f t="shared" si="214"/>
        <v>0.02</v>
      </c>
    </row>
    <row r="2763" spans="1:19" x14ac:dyDescent="0.3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e">
        <f>VLOOKUP('Customer Info'!B2755,'Customer Info'!B2755:B3254,1,0)</f>
        <v>#N/A</v>
      </c>
      <c r="H2763" s="6" t="e">
        <f>VLOOKUP('Customer Info'!C2755,'Customer Info'!C2755:C3254,1)</f>
        <v>#N/A</v>
      </c>
      <c r="I2763" s="6" t="e">
        <f>VLOOKUP('Customer Info'!E2755,'Customer Info'!E2755:E3254,1,0)</f>
        <v>#N/A</v>
      </c>
      <c r="J2763" s="2">
        <v>171</v>
      </c>
      <c r="K2763" s="2">
        <v>153</v>
      </c>
      <c r="L2763" s="2">
        <v>9</v>
      </c>
      <c r="M2763" s="7">
        <f t="shared" ref="M2763:M2826" si="215">(K2763*L2763)</f>
        <v>1377</v>
      </c>
      <c r="N2763" s="7">
        <f t="shared" ref="N2763:N2826" si="216">(J2763*L2763)</f>
        <v>1539</v>
      </c>
      <c r="O2763" s="2">
        <v>30</v>
      </c>
      <c r="P2763" s="8">
        <f t="shared" ref="P2763:P2826" si="217">(N2763+O2763)</f>
        <v>1569</v>
      </c>
      <c r="Q2763" s="8">
        <f t="shared" ref="Q2763:Q2826" si="218">(N2763-M2763)</f>
        <v>162</v>
      </c>
      <c r="R2763" s="2" t="s">
        <v>28</v>
      </c>
      <c r="S2763" s="9">
        <f t="shared" ref="S2763:S2826" si="219">_xlfn.IFS(P2763&gt;250000,0.15,P2763&gt;100000,0.12,P2763&gt;50000,0.09,P2763&gt;25000,0.07,P2763&gt;5000,0.05,
 TRUE,0.02)</f>
        <v>0.02</v>
      </c>
    </row>
    <row r="2764" spans="1:19" x14ac:dyDescent="0.3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e">
        <f>VLOOKUP('Customer Info'!B2756,'Customer Info'!B2756:B3255,1,0)</f>
        <v>#N/A</v>
      </c>
      <c r="H2764" s="6" t="e">
        <f>VLOOKUP('Customer Info'!C2756,'Customer Info'!C2756:C3255,1)</f>
        <v>#N/A</v>
      </c>
      <c r="I2764" s="6" t="e">
        <f>VLOOKUP('Customer Info'!E2756,'Customer Info'!E2756:E3255,1,0)</f>
        <v>#N/A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1425</v>
      </c>
      <c r="R2764" s="2" t="s">
        <v>28</v>
      </c>
      <c r="S2764" s="9">
        <f t="shared" si="219"/>
        <v>0.05</v>
      </c>
    </row>
    <row r="2765" spans="1:19" x14ac:dyDescent="0.3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e">
        <f>VLOOKUP('Customer Info'!B2757,'Customer Info'!B2757:B3256,1,0)</f>
        <v>#N/A</v>
      </c>
      <c r="H2765" s="6" t="e">
        <f>VLOOKUP('Customer Info'!C2757,'Customer Info'!C2757:C3256,1)</f>
        <v>#N/A</v>
      </c>
      <c r="I2765" s="6" t="e">
        <f>VLOOKUP('Customer Info'!E2757,'Customer Info'!E2757:E3256,1,0)</f>
        <v>#N/A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62</v>
      </c>
      <c r="R2765" s="2" t="s">
        <v>28</v>
      </c>
      <c r="S2765" s="9">
        <f t="shared" si="219"/>
        <v>0.02</v>
      </c>
    </row>
    <row r="2766" spans="1:19" x14ac:dyDescent="0.3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e">
        <f>VLOOKUP('Customer Info'!B2758,'Customer Info'!B2758:B3257,1,0)</f>
        <v>#N/A</v>
      </c>
      <c r="H2766" s="6" t="e">
        <f>VLOOKUP('Customer Info'!C2758,'Customer Info'!C2758:C3257,1)</f>
        <v>#N/A</v>
      </c>
      <c r="I2766" s="6" t="e">
        <f>VLOOKUP('Customer Info'!E2758,'Customer Info'!E2758:E3257,1,0)</f>
        <v>#N/A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26897</v>
      </c>
      <c r="R2766" s="2" t="s">
        <v>50</v>
      </c>
      <c r="S2766" s="9">
        <f t="shared" si="219"/>
        <v>0.15</v>
      </c>
    </row>
    <row r="2767" spans="1:19" x14ac:dyDescent="0.3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e">
        <f>VLOOKUP('Customer Info'!B2759,'Customer Info'!B2759:B3258,1,0)</f>
        <v>#N/A</v>
      </c>
      <c r="H2767" s="6" t="e">
        <f>VLOOKUP('Customer Info'!C2759,'Customer Info'!C2759:C3258,1)</f>
        <v>#N/A</v>
      </c>
      <c r="I2767" s="6" t="e">
        <f>VLOOKUP('Customer Info'!E2759,'Customer Info'!E2759:E3258,1,0)</f>
        <v>#N/A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1188</v>
      </c>
      <c r="R2767" s="2" t="s">
        <v>28</v>
      </c>
      <c r="S2767" s="9">
        <f t="shared" si="219"/>
        <v>0.05</v>
      </c>
    </row>
    <row r="2768" spans="1:19" x14ac:dyDescent="0.3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e">
        <f>VLOOKUP('Customer Info'!B2760,'Customer Info'!B2760:B3259,1,0)</f>
        <v>#N/A</v>
      </c>
      <c r="H2768" s="6" t="e">
        <f>VLOOKUP('Customer Info'!C2760,'Customer Info'!C2760:C3259,1)</f>
        <v>#N/A</v>
      </c>
      <c r="I2768" s="6" t="e">
        <f>VLOOKUP('Customer Info'!E2760,'Customer Info'!E2760:E3259,1,0)</f>
        <v>#N/A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1340</v>
      </c>
      <c r="R2768" s="2" t="s">
        <v>28</v>
      </c>
      <c r="S2768" s="9">
        <f t="shared" si="219"/>
        <v>7.0000000000000007E-2</v>
      </c>
    </row>
    <row r="2769" spans="1:19" x14ac:dyDescent="0.3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e">
        <f>VLOOKUP('Customer Info'!B2761,'Customer Info'!B2761:B3260,1,0)</f>
        <v>#N/A</v>
      </c>
      <c r="H2769" s="6" t="e">
        <f>VLOOKUP('Customer Info'!C2761,'Customer Info'!C2761:C3260,1)</f>
        <v>#N/A</v>
      </c>
      <c r="I2769" s="6" t="e">
        <f>VLOOKUP('Customer Info'!E2761,'Customer Info'!E2761:E3260,1,0)</f>
        <v>#N/A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636</v>
      </c>
      <c r="R2769" s="2" t="s">
        <v>56</v>
      </c>
      <c r="S2769" s="9">
        <f t="shared" si="219"/>
        <v>0.05</v>
      </c>
    </row>
    <row r="2770" spans="1:19" x14ac:dyDescent="0.3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e">
        <f>VLOOKUP('Customer Info'!B2762,'Customer Info'!B2762:B3261,1,0)</f>
        <v>#N/A</v>
      </c>
      <c r="H2770" s="6" t="e">
        <f>VLOOKUP('Customer Info'!C2762,'Customer Info'!C2762:C3261,1)</f>
        <v>#N/A</v>
      </c>
      <c r="I2770" s="6" t="e">
        <f>VLOOKUP('Customer Info'!E2762,'Customer Info'!E2762:E3261,1,0)</f>
        <v>#N/A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6</v>
      </c>
      <c r="R2770" s="2" t="s">
        <v>28</v>
      </c>
      <c r="S2770" s="9">
        <f t="shared" si="219"/>
        <v>0.02</v>
      </c>
    </row>
    <row r="2771" spans="1:19" x14ac:dyDescent="0.3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e">
        <f>VLOOKUP('Customer Info'!B2763,'Customer Info'!B2763:B3262,1,0)</f>
        <v>#N/A</v>
      </c>
      <c r="H2771" s="6" t="e">
        <f>VLOOKUP('Customer Info'!C2763,'Customer Info'!C2763:C3262,1)</f>
        <v>#N/A</v>
      </c>
      <c r="I2771" s="6" t="e">
        <f>VLOOKUP('Customer Info'!E2763,'Customer Info'!E2763:E3262,1,0)</f>
        <v>#N/A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1287</v>
      </c>
      <c r="R2771" s="2" t="s">
        <v>28</v>
      </c>
      <c r="S2771" s="9">
        <f t="shared" si="219"/>
        <v>0.05</v>
      </c>
    </row>
    <row r="2772" spans="1:19" x14ac:dyDescent="0.3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e">
        <f>VLOOKUP('Customer Info'!B2764,'Customer Info'!B2764:B3263,1,0)</f>
        <v>#N/A</v>
      </c>
      <c r="H2772" s="6" t="e">
        <f>VLOOKUP('Customer Info'!C2764,'Customer Info'!C2764:C3263,1)</f>
        <v>#N/A</v>
      </c>
      <c r="I2772" s="6" t="e">
        <f>VLOOKUP('Customer Info'!E2764,'Customer Info'!E2764:E3263,1,0)</f>
        <v>#N/A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364</v>
      </c>
      <c r="R2772" s="2" t="s">
        <v>28</v>
      </c>
      <c r="S2772" s="9">
        <f t="shared" si="219"/>
        <v>0.05</v>
      </c>
    </row>
    <row r="2773" spans="1:19" x14ac:dyDescent="0.3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e">
        <f>VLOOKUP('Customer Info'!B2765,'Customer Info'!B2765:B3264,1,0)</f>
        <v>#N/A</v>
      </c>
      <c r="H2773" s="6" t="e">
        <f>VLOOKUP('Customer Info'!C2765,'Customer Info'!C2765:C3264,1)</f>
        <v>#N/A</v>
      </c>
      <c r="I2773" s="6" t="e">
        <f>VLOOKUP('Customer Info'!E2765,'Customer Info'!E2765:E3264,1,0)</f>
        <v>#N/A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18</v>
      </c>
      <c r="R2773" s="2" t="s">
        <v>28</v>
      </c>
      <c r="S2773" s="9">
        <f t="shared" si="219"/>
        <v>0.02</v>
      </c>
    </row>
    <row r="2774" spans="1:19" x14ac:dyDescent="0.3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e">
        <f>VLOOKUP('Customer Info'!B2766,'Customer Info'!B2766:B3265,1,0)</f>
        <v>#N/A</v>
      </c>
      <c r="H2774" s="6" t="e">
        <f>VLOOKUP('Customer Info'!C2766,'Customer Info'!C2766:C3265,1)</f>
        <v>#N/A</v>
      </c>
      <c r="I2774" s="6" t="e">
        <f>VLOOKUP('Customer Info'!E2766,'Customer Info'!E2766:E3265,1,0)</f>
        <v>#N/A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80</v>
      </c>
      <c r="R2774" s="2" t="s">
        <v>28</v>
      </c>
      <c r="S2774" s="9">
        <f t="shared" si="219"/>
        <v>0.02</v>
      </c>
    </row>
    <row r="2775" spans="1:19" x14ac:dyDescent="0.3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e">
        <f>VLOOKUP('Customer Info'!B2767,'Customer Info'!B2767:B3266,1,0)</f>
        <v>#N/A</v>
      </c>
      <c r="H2775" s="6" t="e">
        <f>VLOOKUP('Customer Info'!C2767,'Customer Info'!C2767:C3266,1)</f>
        <v>#N/A</v>
      </c>
      <c r="I2775" s="6" t="e">
        <f>VLOOKUP('Customer Info'!E2767,'Customer Info'!E2767:E3266,1,0)</f>
        <v>#N/A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1152</v>
      </c>
      <c r="R2775" s="2" t="s">
        <v>28</v>
      </c>
      <c r="S2775" s="9">
        <f t="shared" si="219"/>
        <v>0.05</v>
      </c>
    </row>
    <row r="2776" spans="1:19" x14ac:dyDescent="0.3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e">
        <f>VLOOKUP('Customer Info'!B2768,'Customer Info'!B2768:B3267,1,0)</f>
        <v>#N/A</v>
      </c>
      <c r="H2776" s="6" t="e">
        <f>VLOOKUP('Customer Info'!C2768,'Customer Info'!C2768:C3267,1)</f>
        <v>#N/A</v>
      </c>
      <c r="I2776" s="6" t="e">
        <f>VLOOKUP('Customer Info'!E2768,'Customer Info'!E2768:E3267,1,0)</f>
        <v>#N/A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4557</v>
      </c>
      <c r="R2776" s="2" t="s">
        <v>50</v>
      </c>
      <c r="S2776" s="9">
        <f t="shared" si="219"/>
        <v>0.09</v>
      </c>
    </row>
    <row r="2777" spans="1:19" x14ac:dyDescent="0.3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e">
        <f>VLOOKUP('Customer Info'!B2769,'Customer Info'!B2769:B3268,1,0)</f>
        <v>#N/A</v>
      </c>
      <c r="H2777" s="6" t="e">
        <f>VLOOKUP('Customer Info'!C2769,'Customer Info'!C2769:C3268,1)</f>
        <v>#N/A</v>
      </c>
      <c r="I2777" s="6" t="e">
        <f>VLOOKUP('Customer Info'!E2769,'Customer Info'!E2769:E3268,1,0)</f>
        <v>#N/A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2028</v>
      </c>
      <c r="R2777" s="2" t="s">
        <v>28</v>
      </c>
      <c r="S2777" s="9">
        <f t="shared" si="219"/>
        <v>0.05</v>
      </c>
    </row>
    <row r="2778" spans="1:19" x14ac:dyDescent="0.3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e">
        <f>VLOOKUP('Customer Info'!B2770,'Customer Info'!B2770:B3269,1,0)</f>
        <v>#N/A</v>
      </c>
      <c r="H2778" s="6" t="e">
        <f>VLOOKUP('Customer Info'!C2770,'Customer Info'!C2770:C3269,1)</f>
        <v>#N/A</v>
      </c>
      <c r="I2778" s="6" t="e">
        <f>VLOOKUP('Customer Info'!E2770,'Customer Info'!E2770:E3269,1,0)</f>
        <v>#N/A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39</v>
      </c>
      <c r="R2778" s="2" t="s">
        <v>28</v>
      </c>
      <c r="S2778" s="9">
        <f t="shared" si="219"/>
        <v>0.02</v>
      </c>
    </row>
    <row r="2779" spans="1:19" x14ac:dyDescent="0.3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e">
        <f>VLOOKUP('Customer Info'!B2771,'Customer Info'!B2771:B3270,1,0)</f>
        <v>#N/A</v>
      </c>
      <c r="H2779" s="6" t="e">
        <f>VLOOKUP('Customer Info'!C2771,'Customer Info'!C2771:C3270,1)</f>
        <v>#N/A</v>
      </c>
      <c r="I2779" s="6" t="e">
        <f>VLOOKUP('Customer Info'!E2771,'Customer Info'!E2771:E3270,1,0)</f>
        <v>#N/A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369</v>
      </c>
      <c r="R2779" s="2" t="s">
        <v>50</v>
      </c>
      <c r="S2779" s="9">
        <f t="shared" si="219"/>
        <v>0.02</v>
      </c>
    </row>
    <row r="2780" spans="1:19" x14ac:dyDescent="0.3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e">
        <f>VLOOKUP('Customer Info'!B2772,'Customer Info'!B2772:B3271,1,0)</f>
        <v>#N/A</v>
      </c>
      <c r="H2780" s="6" t="e">
        <f>VLOOKUP('Customer Info'!C2772,'Customer Info'!C2772:C3271,1)</f>
        <v>#N/A</v>
      </c>
      <c r="I2780" s="6" t="e">
        <f>VLOOKUP('Customer Info'!E2772,'Customer Info'!E2772:E3271,1,0)</f>
        <v>#N/A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271</v>
      </c>
      <c r="R2780" s="2" t="s">
        <v>28</v>
      </c>
      <c r="S2780" s="9">
        <f t="shared" si="219"/>
        <v>0.02</v>
      </c>
    </row>
    <row r="2781" spans="1:19" x14ac:dyDescent="0.3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e">
        <f>VLOOKUP('Customer Info'!B2773,'Customer Info'!B2773:B3272,1,0)</f>
        <v>#N/A</v>
      </c>
      <c r="H2781" s="6" t="e">
        <f>VLOOKUP('Customer Info'!C2773,'Customer Info'!C2773:C3272,1)</f>
        <v>#N/A</v>
      </c>
      <c r="I2781" s="6" t="e">
        <f>VLOOKUP('Customer Info'!E2773,'Customer Info'!E2773:E3272,1,0)</f>
        <v>#N/A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1216</v>
      </c>
      <c r="R2781" s="2" t="s">
        <v>28</v>
      </c>
      <c r="S2781" s="9">
        <f t="shared" si="219"/>
        <v>0.05</v>
      </c>
    </row>
    <row r="2782" spans="1:19" x14ac:dyDescent="0.3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e">
        <f>VLOOKUP('Customer Info'!B2774,'Customer Info'!B2774:B3273,1,0)</f>
        <v>#N/A</v>
      </c>
      <c r="H2782" s="6" t="e">
        <f>VLOOKUP('Customer Info'!C2774,'Customer Info'!C2774:C3273,1)</f>
        <v>#N/A</v>
      </c>
      <c r="I2782" s="6" t="e">
        <f>VLOOKUP('Customer Info'!E2774,'Customer Info'!E2774:E3273,1,0)</f>
        <v>#N/A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136</v>
      </c>
      <c r="R2782" s="2" t="s">
        <v>56</v>
      </c>
      <c r="S2782" s="9">
        <f t="shared" si="219"/>
        <v>0.02</v>
      </c>
    </row>
    <row r="2783" spans="1:19" x14ac:dyDescent="0.3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e">
        <f>VLOOKUP('Customer Info'!B2775,'Customer Info'!B2775:B3274,1,0)</f>
        <v>#N/A</v>
      </c>
      <c r="H2783" s="6" t="e">
        <f>VLOOKUP('Customer Info'!C2775,'Customer Info'!C2775:C3274,1)</f>
        <v>#N/A</v>
      </c>
      <c r="I2783" s="6" t="e">
        <f>VLOOKUP('Customer Info'!E2775,'Customer Info'!E2775:E3274,1,0)</f>
        <v>#N/A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676</v>
      </c>
      <c r="R2783" s="2" t="s">
        <v>50</v>
      </c>
      <c r="S2783" s="9">
        <f t="shared" si="219"/>
        <v>0.05</v>
      </c>
    </row>
    <row r="2784" spans="1:19" x14ac:dyDescent="0.3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e">
        <f>VLOOKUP('Customer Info'!B2776,'Customer Info'!B2776:B3275,1,0)</f>
        <v>#N/A</v>
      </c>
      <c r="H2784" s="6" t="e">
        <f>VLOOKUP('Customer Info'!C2776,'Customer Info'!C2776:C3275,1)</f>
        <v>#N/A</v>
      </c>
      <c r="I2784" s="6" t="e">
        <f>VLOOKUP('Customer Info'!E2776,'Customer Info'!E2776:E3275,1,0)</f>
        <v>#N/A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438</v>
      </c>
      <c r="R2784" s="2" t="s">
        <v>50</v>
      </c>
      <c r="S2784" s="9">
        <f t="shared" si="219"/>
        <v>0.05</v>
      </c>
    </row>
    <row r="2785" spans="1:19" x14ac:dyDescent="0.3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e">
        <f>VLOOKUP('Customer Info'!B2777,'Customer Info'!B2777:B3276,1,0)</f>
        <v>#N/A</v>
      </c>
      <c r="H2785" s="6" t="e">
        <f>VLOOKUP('Customer Info'!C2777,'Customer Info'!C2777:C3276,1)</f>
        <v>#N/A</v>
      </c>
      <c r="I2785" s="6" t="e">
        <f>VLOOKUP('Customer Info'!E2777,'Customer Info'!E2777:E3276,1,0)</f>
        <v>#N/A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351</v>
      </c>
      <c r="R2785" s="2" t="s">
        <v>28</v>
      </c>
      <c r="S2785" s="9">
        <f t="shared" si="219"/>
        <v>0.05</v>
      </c>
    </row>
    <row r="2786" spans="1:19" x14ac:dyDescent="0.3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e">
        <f>VLOOKUP('Customer Info'!B2778,'Customer Info'!B2778:B3277,1,0)</f>
        <v>#N/A</v>
      </c>
      <c r="H2786" s="6" t="e">
        <f>VLOOKUP('Customer Info'!C2778,'Customer Info'!C2778:C3277,1)</f>
        <v>#N/A</v>
      </c>
      <c r="I2786" s="6" t="e">
        <f>VLOOKUP('Customer Info'!E2778,'Customer Info'!E2778:E3277,1,0)</f>
        <v>#N/A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14</v>
      </c>
      <c r="R2786" s="2" t="s">
        <v>50</v>
      </c>
      <c r="S2786" s="9">
        <f t="shared" si="219"/>
        <v>0.02</v>
      </c>
    </row>
    <row r="2787" spans="1:19" x14ac:dyDescent="0.3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e">
        <f>VLOOKUP('Customer Info'!B2779,'Customer Info'!B2779:B3278,1,0)</f>
        <v>#N/A</v>
      </c>
      <c r="H2787" s="6" t="e">
        <f>VLOOKUP('Customer Info'!C2779,'Customer Info'!C2779:C3278,1)</f>
        <v>#N/A</v>
      </c>
      <c r="I2787" s="6" t="e">
        <f>VLOOKUP('Customer Info'!E2779,'Customer Info'!E2779:E3278,1,0)</f>
        <v>#N/A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608</v>
      </c>
      <c r="R2787" s="2" t="s">
        <v>50</v>
      </c>
      <c r="S2787" s="9">
        <f t="shared" si="219"/>
        <v>0.05</v>
      </c>
    </row>
    <row r="2788" spans="1:19" x14ac:dyDescent="0.3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e">
        <f>VLOOKUP('Customer Info'!B2780,'Customer Info'!B2780:B3279,1,0)</f>
        <v>#N/A</v>
      </c>
      <c r="H2788" s="6" t="e">
        <f>VLOOKUP('Customer Info'!C2780,'Customer Info'!C2780:C3279,1)</f>
        <v>#N/A</v>
      </c>
      <c r="I2788" s="6" t="e">
        <f>VLOOKUP('Customer Info'!E2780,'Customer Info'!E2780:E3279,1,0)</f>
        <v>#N/A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270</v>
      </c>
      <c r="R2788" s="2" t="s">
        <v>50</v>
      </c>
      <c r="S2788" s="9">
        <f t="shared" si="219"/>
        <v>0.02</v>
      </c>
    </row>
    <row r="2789" spans="1:19" x14ac:dyDescent="0.3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e">
        <f>VLOOKUP('Customer Info'!B2781,'Customer Info'!B2781:B3280,1,0)</f>
        <v>#N/A</v>
      </c>
      <c r="H2789" s="6" t="e">
        <f>VLOOKUP('Customer Info'!C2781,'Customer Info'!C2781:C3280,1)</f>
        <v>#N/A</v>
      </c>
      <c r="I2789" s="6" t="e">
        <f>VLOOKUP('Customer Info'!E2781,'Customer Info'!E2781:E3280,1,0)</f>
        <v>#N/A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152</v>
      </c>
      <c r="R2789" s="2" t="s">
        <v>28</v>
      </c>
      <c r="S2789" s="9">
        <f t="shared" si="219"/>
        <v>0.02</v>
      </c>
    </row>
    <row r="2790" spans="1:19" x14ac:dyDescent="0.3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e">
        <f>VLOOKUP('Customer Info'!B2782,'Customer Info'!B2782:B3281,1,0)</f>
        <v>#N/A</v>
      </c>
      <c r="H2790" s="6" t="e">
        <f>VLOOKUP('Customer Info'!C2782,'Customer Info'!C2782:C3281,1)</f>
        <v>#N/A</v>
      </c>
      <c r="I2790" s="6" t="e">
        <f>VLOOKUP('Customer Info'!E2782,'Customer Info'!E2782:E3281,1,0)</f>
        <v>#N/A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840</v>
      </c>
      <c r="R2790" s="2" t="s">
        <v>28</v>
      </c>
      <c r="S2790" s="9">
        <f t="shared" si="219"/>
        <v>0.05</v>
      </c>
    </row>
    <row r="2791" spans="1:19" x14ac:dyDescent="0.3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e">
        <f>VLOOKUP('Customer Info'!B2783,'Customer Info'!B2783:B3282,1,0)</f>
        <v>#N/A</v>
      </c>
      <c r="H2791" s="6" t="e">
        <f>VLOOKUP('Customer Info'!C2783,'Customer Info'!C2783:C3282,1)</f>
        <v>#N/A</v>
      </c>
      <c r="I2791" s="6" t="e">
        <f>VLOOKUP('Customer Info'!E2783,'Customer Info'!E2783:E3282,1,0)</f>
        <v>#N/A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320</v>
      </c>
      <c r="R2791" s="2" t="s">
        <v>28</v>
      </c>
      <c r="S2791" s="9">
        <f t="shared" si="219"/>
        <v>0.02</v>
      </c>
    </row>
    <row r="2792" spans="1:19" x14ac:dyDescent="0.3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e">
        <f>VLOOKUP('Customer Info'!B2784,'Customer Info'!B2784:B3283,1,0)</f>
        <v>#N/A</v>
      </c>
      <c r="H2792" s="6" t="e">
        <f>VLOOKUP('Customer Info'!C2784,'Customer Info'!C2784:C3283,1)</f>
        <v>#N/A</v>
      </c>
      <c r="I2792" s="6" t="e">
        <f>VLOOKUP('Customer Info'!E2784,'Customer Info'!E2784:E3283,1,0)</f>
        <v>#N/A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8</v>
      </c>
      <c r="R2792" s="2" t="s">
        <v>28</v>
      </c>
      <c r="S2792" s="9">
        <f t="shared" si="219"/>
        <v>0.02</v>
      </c>
    </row>
    <row r="2793" spans="1:19" x14ac:dyDescent="0.3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e">
        <f>VLOOKUP('Customer Info'!B2785,'Customer Info'!B2785:B3284,1,0)</f>
        <v>#N/A</v>
      </c>
      <c r="H2793" s="6" t="e">
        <f>VLOOKUP('Customer Info'!C2785,'Customer Info'!C2785:C3284,1)</f>
        <v>#N/A</v>
      </c>
      <c r="I2793" s="6" t="e">
        <f>VLOOKUP('Customer Info'!E2785,'Customer Info'!E2785:E3284,1,0)</f>
        <v>#N/A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786</v>
      </c>
      <c r="R2793" s="2" t="s">
        <v>26</v>
      </c>
      <c r="S2793" s="9">
        <f t="shared" si="219"/>
        <v>0.05</v>
      </c>
    </row>
    <row r="2794" spans="1:19" x14ac:dyDescent="0.3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e">
        <f>VLOOKUP('Customer Info'!B2786,'Customer Info'!B2786:B3285,1,0)</f>
        <v>#N/A</v>
      </c>
      <c r="H2794" s="6" t="e">
        <f>VLOOKUP('Customer Info'!C2786,'Customer Info'!C2786:C3285,1)</f>
        <v>#N/A</v>
      </c>
      <c r="I2794" s="6" t="e">
        <f>VLOOKUP('Customer Info'!E2786,'Customer Info'!E2786:E3285,1,0)</f>
        <v>#N/A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320</v>
      </c>
      <c r="R2794" s="2" t="s">
        <v>26</v>
      </c>
      <c r="S2794" s="9">
        <f t="shared" si="219"/>
        <v>0.05</v>
      </c>
    </row>
    <row r="2795" spans="1:19" x14ac:dyDescent="0.3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e">
        <f>VLOOKUP('Customer Info'!B2787,'Customer Info'!B2787:B3286,1,0)</f>
        <v>#N/A</v>
      </c>
      <c r="H2795" s="6" t="e">
        <f>VLOOKUP('Customer Info'!C2787,'Customer Info'!C2787:C3286,1)</f>
        <v>#N/A</v>
      </c>
      <c r="I2795" s="6" t="e">
        <f>VLOOKUP('Customer Info'!E2787,'Customer Info'!E2787:E3286,1,0)</f>
        <v>#N/A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235</v>
      </c>
      <c r="R2795" s="2" t="s">
        <v>28</v>
      </c>
      <c r="S2795" s="9">
        <f t="shared" si="219"/>
        <v>0.02</v>
      </c>
    </row>
    <row r="2796" spans="1:19" x14ac:dyDescent="0.3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e">
        <f>VLOOKUP('Customer Info'!B2788,'Customer Info'!B2788:B3287,1,0)</f>
        <v>#N/A</v>
      </c>
      <c r="H2796" s="6" t="e">
        <f>VLOOKUP('Customer Info'!C2788,'Customer Info'!C2788:C3287,1)</f>
        <v>#N/A</v>
      </c>
      <c r="I2796" s="6" t="e">
        <f>VLOOKUP('Customer Info'!E2788,'Customer Info'!E2788:E3287,1,0)</f>
        <v>#N/A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2448</v>
      </c>
      <c r="R2796" s="2" t="s">
        <v>28</v>
      </c>
      <c r="S2796" s="9">
        <f t="shared" si="219"/>
        <v>7.0000000000000007E-2</v>
      </c>
    </row>
    <row r="2797" spans="1:19" x14ac:dyDescent="0.3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e">
        <f>VLOOKUP('Customer Info'!B2789,'Customer Info'!B2789:B3288,1,0)</f>
        <v>#N/A</v>
      </c>
      <c r="H2797" s="6" t="e">
        <f>VLOOKUP('Customer Info'!C2789,'Customer Info'!C2789:C3288,1)</f>
        <v>#N/A</v>
      </c>
      <c r="I2797" s="6" t="e">
        <f>VLOOKUP('Customer Info'!E2789,'Customer Info'!E2789:E3288,1,0)</f>
        <v>#N/A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4032</v>
      </c>
      <c r="R2797" s="2" t="s">
        <v>28</v>
      </c>
      <c r="S2797" s="9">
        <f t="shared" si="219"/>
        <v>0.09</v>
      </c>
    </row>
    <row r="2798" spans="1:19" x14ac:dyDescent="0.3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e">
        <f>VLOOKUP('Customer Info'!B2790,'Customer Info'!B2790:B3289,1,0)</f>
        <v>#N/A</v>
      </c>
      <c r="H2798" s="6" t="e">
        <f>VLOOKUP('Customer Info'!C2790,'Customer Info'!C2790:C3289,1)</f>
        <v>#N/A</v>
      </c>
      <c r="I2798" s="6" t="e">
        <f>VLOOKUP('Customer Info'!E2790,'Customer Info'!E2790:E3289,1,0)</f>
        <v>#N/A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156</v>
      </c>
      <c r="R2798" s="2" t="s">
        <v>28</v>
      </c>
      <c r="S2798" s="9">
        <f t="shared" si="219"/>
        <v>0.02</v>
      </c>
    </row>
    <row r="2799" spans="1:19" x14ac:dyDescent="0.3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e">
        <f>VLOOKUP('Customer Info'!B2791,'Customer Info'!B2791:B3290,1,0)</f>
        <v>#N/A</v>
      </c>
      <c r="H2799" s="6" t="e">
        <f>VLOOKUP('Customer Info'!C2791,'Customer Info'!C2791:C3290,1)</f>
        <v>#N/A</v>
      </c>
      <c r="I2799" s="6" t="e">
        <f>VLOOKUP('Customer Info'!E2791,'Customer Info'!E2791:E3290,1,0)</f>
        <v>#N/A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172</v>
      </c>
      <c r="R2799" s="2" t="s">
        <v>28</v>
      </c>
      <c r="S2799" s="9">
        <f t="shared" si="219"/>
        <v>0.02</v>
      </c>
    </row>
    <row r="2800" spans="1:19" x14ac:dyDescent="0.3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e">
        <f>VLOOKUP('Customer Info'!B2792,'Customer Info'!B2792:B3291,1,0)</f>
        <v>#N/A</v>
      </c>
      <c r="H2800" s="6" t="e">
        <f>VLOOKUP('Customer Info'!C2792,'Customer Info'!C2792:C3291,1)</f>
        <v>#N/A</v>
      </c>
      <c r="I2800" s="6" t="e">
        <f>VLOOKUP('Customer Info'!E2792,'Customer Info'!E2792:E3291,1,0)</f>
        <v>#N/A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2536</v>
      </c>
      <c r="R2800" s="2" t="s">
        <v>28</v>
      </c>
      <c r="S2800" s="9">
        <f t="shared" si="219"/>
        <v>0.09</v>
      </c>
    </row>
    <row r="2801" spans="1:19" x14ac:dyDescent="0.3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e">
        <f>VLOOKUP('Customer Info'!B2793,'Customer Info'!B2793:B3292,1,0)</f>
        <v>#N/A</v>
      </c>
      <c r="H2801" s="6" t="e">
        <f>VLOOKUP('Customer Info'!C2793,'Customer Info'!C2793:C3292,1)</f>
        <v>#N/A</v>
      </c>
      <c r="I2801" s="6" t="e">
        <f>VLOOKUP('Customer Info'!E2793,'Customer Info'!E2793:E3292,1,0)</f>
        <v>#N/A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472</v>
      </c>
      <c r="R2801" s="2" t="s">
        <v>28</v>
      </c>
      <c r="S2801" s="9">
        <f t="shared" si="219"/>
        <v>0.05</v>
      </c>
    </row>
    <row r="2802" spans="1:19" x14ac:dyDescent="0.3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e">
        <f>VLOOKUP('Customer Info'!B2794,'Customer Info'!B2794:B3293,1,0)</f>
        <v>#N/A</v>
      </c>
      <c r="H2802" s="6" t="e">
        <f>VLOOKUP('Customer Info'!C2794,'Customer Info'!C2794:C3293,1)</f>
        <v>#N/A</v>
      </c>
      <c r="I2802" s="6" t="e">
        <f>VLOOKUP('Customer Info'!E2794,'Customer Info'!E2794:E3293,1,0)</f>
        <v>#N/A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14</v>
      </c>
      <c r="R2802" s="2" t="s">
        <v>50</v>
      </c>
      <c r="S2802" s="9">
        <f t="shared" si="219"/>
        <v>0.02</v>
      </c>
    </row>
    <row r="2803" spans="1:19" x14ac:dyDescent="0.3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e">
        <f>VLOOKUP('Customer Info'!B2795,'Customer Info'!B2795:B3294,1,0)</f>
        <v>#N/A</v>
      </c>
      <c r="H2803" s="6" t="e">
        <f>VLOOKUP('Customer Info'!C2795,'Customer Info'!C2795:C3294,1)</f>
        <v>#N/A</v>
      </c>
      <c r="I2803" s="6" t="e">
        <f>VLOOKUP('Customer Info'!E2795,'Customer Info'!E2795:E3294,1,0)</f>
        <v>#N/A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636</v>
      </c>
      <c r="R2803" s="2" t="s">
        <v>28</v>
      </c>
      <c r="S2803" s="9">
        <f t="shared" si="219"/>
        <v>0.05</v>
      </c>
    </row>
    <row r="2804" spans="1:19" x14ac:dyDescent="0.3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e">
        <f>VLOOKUP('Customer Info'!B2796,'Customer Info'!B2796:B3295,1,0)</f>
        <v>#N/A</v>
      </c>
      <c r="H2804" s="6" t="e">
        <f>VLOOKUP('Customer Info'!C2796,'Customer Info'!C2796:C3295,1)</f>
        <v>#N/A</v>
      </c>
      <c r="I2804" s="6" t="e">
        <f>VLOOKUP('Customer Info'!E2796,'Customer Info'!E2796:E3295,1,0)</f>
        <v>#N/A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24</v>
      </c>
      <c r="R2804" s="2" t="s">
        <v>50</v>
      </c>
      <c r="S2804" s="9">
        <f t="shared" si="219"/>
        <v>0.02</v>
      </c>
    </row>
    <row r="2805" spans="1:19" x14ac:dyDescent="0.3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e">
        <f>VLOOKUP('Customer Info'!B2797,'Customer Info'!B2797:B3296,1,0)</f>
        <v>#N/A</v>
      </c>
      <c r="H2805" s="6" t="e">
        <f>VLOOKUP('Customer Info'!C2797,'Customer Info'!C2797:C3296,1)</f>
        <v>#N/A</v>
      </c>
      <c r="I2805" s="6" t="e">
        <f>VLOOKUP('Customer Info'!E2797,'Customer Info'!E2797:E3296,1,0)</f>
        <v>#N/A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163</v>
      </c>
      <c r="R2805" s="2" t="s">
        <v>28</v>
      </c>
      <c r="S2805" s="9">
        <f t="shared" si="219"/>
        <v>0.02</v>
      </c>
    </row>
    <row r="2806" spans="1:19" x14ac:dyDescent="0.3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e">
        <f>VLOOKUP('Customer Info'!B2798,'Customer Info'!B2798:B3297,1,0)</f>
        <v>#N/A</v>
      </c>
      <c r="H2806" s="6" t="e">
        <f>VLOOKUP('Customer Info'!C2798,'Customer Info'!C2798:C3297,1)</f>
        <v>#N/A</v>
      </c>
      <c r="I2806" s="6" t="e">
        <f>VLOOKUP('Customer Info'!E2798,'Customer Info'!E2798:E3297,1,0)</f>
        <v>#N/A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532</v>
      </c>
      <c r="R2806" s="2" t="s">
        <v>50</v>
      </c>
      <c r="S2806" s="9">
        <f t="shared" si="219"/>
        <v>0.05</v>
      </c>
    </row>
    <row r="2807" spans="1:19" x14ac:dyDescent="0.3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e">
        <f>VLOOKUP('Customer Info'!B2799,'Customer Info'!B2799:B3298,1,0)</f>
        <v>#N/A</v>
      </c>
      <c r="H2807" s="6" t="e">
        <f>VLOOKUP('Customer Info'!C2799,'Customer Info'!C2799:C3298,1)</f>
        <v>#N/A</v>
      </c>
      <c r="I2807" s="6" t="e">
        <f>VLOOKUP('Customer Info'!E2799,'Customer Info'!E2799:E3298,1,0)</f>
        <v>#N/A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321</v>
      </c>
      <c r="R2807" s="2" t="s">
        <v>28</v>
      </c>
      <c r="S2807" s="9">
        <f t="shared" si="219"/>
        <v>0.02</v>
      </c>
    </row>
    <row r="2808" spans="1:19" x14ac:dyDescent="0.3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e">
        <f>VLOOKUP('Customer Info'!B2800,'Customer Info'!B2800:B3299,1,0)</f>
        <v>#N/A</v>
      </c>
      <c r="H2808" s="6" t="e">
        <f>VLOOKUP('Customer Info'!C2800,'Customer Info'!C2800:C3299,1)</f>
        <v>#N/A</v>
      </c>
      <c r="I2808" s="6" t="e">
        <f>VLOOKUP('Customer Info'!E2800,'Customer Info'!E2800:E3299,1,0)</f>
        <v>#N/A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2387</v>
      </c>
      <c r="R2808" s="2" t="s">
        <v>50</v>
      </c>
      <c r="S2808" s="9">
        <f t="shared" si="219"/>
        <v>7.0000000000000007E-2</v>
      </c>
    </row>
    <row r="2809" spans="1:19" x14ac:dyDescent="0.3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e">
        <f>VLOOKUP('Customer Info'!B2801,'Customer Info'!B2801:B3300,1,0)</f>
        <v>#N/A</v>
      </c>
      <c r="H2809" s="6" t="e">
        <f>VLOOKUP('Customer Info'!C2801,'Customer Info'!C2801:C3300,1)</f>
        <v>#N/A</v>
      </c>
      <c r="I2809" s="6" t="e">
        <f>VLOOKUP('Customer Info'!E2801,'Customer Info'!E2801:E3300,1,0)</f>
        <v>#N/A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805</v>
      </c>
      <c r="R2809" s="2" t="s">
        <v>28</v>
      </c>
      <c r="S2809" s="9">
        <f t="shared" si="219"/>
        <v>0.05</v>
      </c>
    </row>
    <row r="2810" spans="1:19" x14ac:dyDescent="0.3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e">
        <f>VLOOKUP('Customer Info'!B2802,'Customer Info'!B2802:B3301,1,0)</f>
        <v>#N/A</v>
      </c>
      <c r="H2810" s="6" t="e">
        <f>VLOOKUP('Customer Info'!C2802,'Customer Info'!C2802:C3301,1)</f>
        <v>#N/A</v>
      </c>
      <c r="I2810" s="6" t="e">
        <f>VLOOKUP('Customer Info'!E2802,'Customer Info'!E2802:E3301,1,0)</f>
        <v>#N/A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1878</v>
      </c>
      <c r="R2810" s="2" t="s">
        <v>26</v>
      </c>
      <c r="S2810" s="9">
        <f t="shared" si="219"/>
        <v>7.0000000000000007E-2</v>
      </c>
    </row>
    <row r="2811" spans="1:19" x14ac:dyDescent="0.3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e">
        <f>VLOOKUP('Customer Info'!B2803,'Customer Info'!B2803:B3302,1,0)</f>
        <v>#N/A</v>
      </c>
      <c r="H2811" s="6" t="e">
        <f>VLOOKUP('Customer Info'!C2803,'Customer Info'!C2803:C3302,1)</f>
        <v>#N/A</v>
      </c>
      <c r="I2811" s="6" t="e">
        <f>VLOOKUP('Customer Info'!E2803,'Customer Info'!E2803:E3302,1,0)</f>
        <v>#N/A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220</v>
      </c>
      <c r="R2811" s="2" t="s">
        <v>28</v>
      </c>
      <c r="S2811" s="9">
        <f t="shared" si="219"/>
        <v>0.02</v>
      </c>
    </row>
    <row r="2812" spans="1:19" x14ac:dyDescent="0.3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e">
        <f>VLOOKUP('Customer Info'!B2804,'Customer Info'!B2804:B3303,1,0)</f>
        <v>#N/A</v>
      </c>
      <c r="H2812" s="6" t="e">
        <f>VLOOKUP('Customer Info'!C2804,'Customer Info'!C2804:C3303,1)</f>
        <v>#N/A</v>
      </c>
      <c r="I2812" s="6" t="e">
        <f>VLOOKUP('Customer Info'!E2804,'Customer Info'!E2804:E3303,1,0)</f>
        <v>#N/A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112</v>
      </c>
      <c r="R2812" s="2" t="s">
        <v>28</v>
      </c>
      <c r="S2812" s="9">
        <f t="shared" si="219"/>
        <v>0.02</v>
      </c>
    </row>
    <row r="2813" spans="1:19" x14ac:dyDescent="0.3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e">
        <f>VLOOKUP('Customer Info'!B2805,'Customer Info'!B2805:B3304,1,0)</f>
        <v>#N/A</v>
      </c>
      <c r="H2813" s="6" t="e">
        <f>VLOOKUP('Customer Info'!C2805,'Customer Info'!C2805:C3304,1)</f>
        <v>#N/A</v>
      </c>
      <c r="I2813" s="6" t="e">
        <f>VLOOKUP('Customer Info'!E2805,'Customer Info'!E2805:E3304,1,0)</f>
        <v>#N/A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244</v>
      </c>
      <c r="R2813" s="2" t="s">
        <v>28</v>
      </c>
      <c r="S2813" s="9">
        <f t="shared" si="219"/>
        <v>0.02</v>
      </c>
    </row>
    <row r="2814" spans="1:19" x14ac:dyDescent="0.3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e">
        <f>VLOOKUP('Customer Info'!B2806,'Customer Info'!B2806:B3305,1,0)</f>
        <v>#N/A</v>
      </c>
      <c r="H2814" s="6" t="e">
        <f>VLOOKUP('Customer Info'!C2806,'Customer Info'!C2806:C3305,1)</f>
        <v>#N/A</v>
      </c>
      <c r="I2814" s="6" t="e">
        <f>VLOOKUP('Customer Info'!E2806,'Customer Info'!E2806:E3305,1,0)</f>
        <v>#N/A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2</v>
      </c>
      <c r="R2814" s="2" t="s">
        <v>28</v>
      </c>
      <c r="S2814" s="9">
        <f t="shared" si="219"/>
        <v>0.02</v>
      </c>
    </row>
    <row r="2815" spans="1:19" x14ac:dyDescent="0.3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e">
        <f>VLOOKUP('Customer Info'!B2807,'Customer Info'!B2807:B3306,1,0)</f>
        <v>#N/A</v>
      </c>
      <c r="H2815" s="6" t="e">
        <f>VLOOKUP('Customer Info'!C2807,'Customer Info'!C2807:C3306,1)</f>
        <v>#N/A</v>
      </c>
      <c r="I2815" s="6" t="e">
        <f>VLOOKUP('Customer Info'!E2807,'Customer Info'!E2807:E3306,1,0)</f>
        <v>#N/A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595</v>
      </c>
      <c r="R2815" s="2" t="s">
        <v>28</v>
      </c>
      <c r="S2815" s="9">
        <f t="shared" si="219"/>
        <v>0.05</v>
      </c>
    </row>
    <row r="2816" spans="1:19" x14ac:dyDescent="0.3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e">
        <f>VLOOKUP('Customer Info'!B2808,'Customer Info'!B2808:B3307,1,0)</f>
        <v>#N/A</v>
      </c>
      <c r="H2816" s="6" t="e">
        <f>VLOOKUP('Customer Info'!C2808,'Customer Info'!C2808:C3307,1)</f>
        <v>#N/A</v>
      </c>
      <c r="I2816" s="6" t="e">
        <f>VLOOKUP('Customer Info'!E2808,'Customer Info'!E2808:E3307,1,0)</f>
        <v>#N/A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1200</v>
      </c>
      <c r="R2816" s="2" t="s">
        <v>26</v>
      </c>
      <c r="S2816" s="9">
        <f t="shared" si="219"/>
        <v>0.05</v>
      </c>
    </row>
    <row r="2817" spans="1:19" x14ac:dyDescent="0.3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e">
        <f>VLOOKUP('Customer Info'!B2809,'Customer Info'!B2809:B3308,1,0)</f>
        <v>#N/A</v>
      </c>
      <c r="H2817" s="6" t="e">
        <f>VLOOKUP('Customer Info'!C2809,'Customer Info'!C2809:C3308,1)</f>
        <v>#N/A</v>
      </c>
      <c r="I2817" s="6" t="e">
        <f>VLOOKUP('Customer Info'!E2809,'Customer Info'!E2809:E3308,1,0)</f>
        <v>#N/A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6</v>
      </c>
      <c r="R2817" s="2" t="s">
        <v>26</v>
      </c>
      <c r="S2817" s="9">
        <f t="shared" si="219"/>
        <v>0.02</v>
      </c>
    </row>
    <row r="2818" spans="1:19" x14ac:dyDescent="0.3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e">
        <f>VLOOKUP('Customer Info'!B2810,'Customer Info'!B2810:B3309,1,0)</f>
        <v>#N/A</v>
      </c>
      <c r="H2818" s="6" t="e">
        <f>VLOOKUP('Customer Info'!C2810,'Customer Info'!C2810:C3309,1)</f>
        <v>#N/A</v>
      </c>
      <c r="I2818" s="6" t="e">
        <f>VLOOKUP('Customer Info'!E2810,'Customer Info'!E2810:E3309,1,0)</f>
        <v>#N/A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10</v>
      </c>
      <c r="R2818" s="2" t="s">
        <v>50</v>
      </c>
      <c r="S2818" s="9">
        <f t="shared" si="219"/>
        <v>0.02</v>
      </c>
    </row>
    <row r="2819" spans="1:19" x14ac:dyDescent="0.3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e">
        <f>VLOOKUP('Customer Info'!B2811,'Customer Info'!B2811:B3310,1,0)</f>
        <v>#N/A</v>
      </c>
      <c r="H2819" s="6" t="e">
        <f>VLOOKUP('Customer Info'!C2811,'Customer Info'!C2811:C3310,1)</f>
        <v>#N/A</v>
      </c>
      <c r="I2819" s="6" t="e">
        <f>VLOOKUP('Customer Info'!E2811,'Customer Info'!E2811:E3310,1,0)</f>
        <v>#N/A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68</v>
      </c>
      <c r="R2819" s="2" t="s">
        <v>28</v>
      </c>
      <c r="S2819" s="9">
        <f t="shared" si="219"/>
        <v>0.02</v>
      </c>
    </row>
    <row r="2820" spans="1:19" x14ac:dyDescent="0.3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e">
        <f>VLOOKUP('Customer Info'!B2812,'Customer Info'!B2812:B3311,1,0)</f>
        <v>#N/A</v>
      </c>
      <c r="H2820" s="6" t="e">
        <f>VLOOKUP('Customer Info'!C2812,'Customer Info'!C2812:C3311,1)</f>
        <v>#N/A</v>
      </c>
      <c r="I2820" s="6" t="e">
        <f>VLOOKUP('Customer Info'!E2812,'Customer Info'!E2812:E3311,1,0)</f>
        <v>#N/A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88</v>
      </c>
      <c r="R2820" s="2" t="s">
        <v>28</v>
      </c>
      <c r="S2820" s="9">
        <f t="shared" si="219"/>
        <v>0.02</v>
      </c>
    </row>
    <row r="2821" spans="1:19" x14ac:dyDescent="0.3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e">
        <f>VLOOKUP('Customer Info'!B2813,'Customer Info'!B2813:B3312,1,0)</f>
        <v>#N/A</v>
      </c>
      <c r="H2821" s="6" t="e">
        <f>VLOOKUP('Customer Info'!C2813,'Customer Info'!C2813:C3312,1)</f>
        <v>#N/A</v>
      </c>
      <c r="I2821" s="6" t="e">
        <f>VLOOKUP('Customer Info'!E2813,'Customer Info'!E2813:E3312,1,0)</f>
        <v>#N/A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1572</v>
      </c>
      <c r="R2821" s="2" t="s">
        <v>28</v>
      </c>
      <c r="S2821" s="9">
        <f t="shared" si="219"/>
        <v>0.05</v>
      </c>
    </row>
    <row r="2822" spans="1:19" x14ac:dyDescent="0.3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e">
        <f>VLOOKUP('Customer Info'!B2814,'Customer Info'!B2814:B3313,1,0)</f>
        <v>#N/A</v>
      </c>
      <c r="H2822" s="6" t="e">
        <f>VLOOKUP('Customer Info'!C2814,'Customer Info'!C2814:C3313,1)</f>
        <v>#N/A</v>
      </c>
      <c r="I2822" s="6" t="e">
        <f>VLOOKUP('Customer Info'!E2814,'Customer Info'!E2814:E3313,1,0)</f>
        <v>#N/A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17</v>
      </c>
      <c r="R2822" s="2" t="s">
        <v>50</v>
      </c>
      <c r="S2822" s="9">
        <f t="shared" si="219"/>
        <v>0.02</v>
      </c>
    </row>
    <row r="2823" spans="1:19" x14ac:dyDescent="0.3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e">
        <f>VLOOKUP('Customer Info'!B2815,'Customer Info'!B2815:B3314,1,0)</f>
        <v>#N/A</v>
      </c>
      <c r="H2823" s="6" t="e">
        <f>VLOOKUP('Customer Info'!C2815,'Customer Info'!C2815:C3314,1)</f>
        <v>#N/A</v>
      </c>
      <c r="I2823" s="6" t="e">
        <f>VLOOKUP('Customer Info'!E2815,'Customer Info'!E2815:E3314,1,0)</f>
        <v>#N/A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248</v>
      </c>
      <c r="R2823" s="2" t="s">
        <v>28</v>
      </c>
      <c r="S2823" s="9">
        <f t="shared" si="219"/>
        <v>0.02</v>
      </c>
    </row>
    <row r="2824" spans="1:19" x14ac:dyDescent="0.3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e">
        <f>VLOOKUP('Customer Info'!B2816,'Customer Info'!B2816:B3315,1,0)</f>
        <v>#N/A</v>
      </c>
      <c r="H2824" s="6" t="e">
        <f>VLOOKUP('Customer Info'!C2816,'Customer Info'!C2816:C3315,1)</f>
        <v>#N/A</v>
      </c>
      <c r="I2824" s="6" t="e">
        <f>VLOOKUP('Customer Info'!E2816,'Customer Info'!E2816:E3315,1,0)</f>
        <v>#N/A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26</v>
      </c>
      <c r="R2824" s="2" t="s">
        <v>50</v>
      </c>
      <c r="S2824" s="9">
        <f t="shared" si="219"/>
        <v>0.02</v>
      </c>
    </row>
    <row r="2825" spans="1:19" x14ac:dyDescent="0.3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e">
        <f>VLOOKUP('Customer Info'!B2817,'Customer Info'!B2817:B3316,1,0)</f>
        <v>#N/A</v>
      </c>
      <c r="H2825" s="6" t="e">
        <f>VLOOKUP('Customer Info'!C2817,'Customer Info'!C2817:C3316,1)</f>
        <v>#N/A</v>
      </c>
      <c r="I2825" s="6" t="e">
        <f>VLOOKUP('Customer Info'!E2817,'Customer Info'!E2817:E3316,1,0)</f>
        <v>#N/A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86</v>
      </c>
      <c r="R2825" s="2" t="s">
        <v>50</v>
      </c>
      <c r="S2825" s="9">
        <f t="shared" si="219"/>
        <v>0.02</v>
      </c>
    </row>
    <row r="2826" spans="1:19" x14ac:dyDescent="0.3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e">
        <f>VLOOKUP('Customer Info'!B2818,'Customer Info'!B2818:B3317,1,0)</f>
        <v>#N/A</v>
      </c>
      <c r="H2826" s="6" t="e">
        <f>VLOOKUP('Customer Info'!C2818,'Customer Info'!C2818:C3317,1)</f>
        <v>#N/A</v>
      </c>
      <c r="I2826" s="6" t="e">
        <f>VLOOKUP('Customer Info'!E2818,'Customer Info'!E2818:E3317,1,0)</f>
        <v>#N/A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808</v>
      </c>
      <c r="R2826" s="2" t="s">
        <v>50</v>
      </c>
      <c r="S2826" s="9">
        <f t="shared" si="219"/>
        <v>0.05</v>
      </c>
    </row>
    <row r="2827" spans="1:19" x14ac:dyDescent="0.3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e">
        <f>VLOOKUP('Customer Info'!B2819,'Customer Info'!B2819:B3318,1,0)</f>
        <v>#N/A</v>
      </c>
      <c r="H2827" s="6" t="e">
        <f>VLOOKUP('Customer Info'!C2819,'Customer Info'!C2819:C3318,1)</f>
        <v>#N/A</v>
      </c>
      <c r="I2827" s="6" t="e">
        <f>VLOOKUP('Customer Info'!E2819,'Customer Info'!E2819:E3318,1,0)</f>
        <v>#N/A</v>
      </c>
      <c r="J2827" s="2">
        <v>2243</v>
      </c>
      <c r="K2827" s="2">
        <v>2000</v>
      </c>
      <c r="L2827" s="2">
        <v>3</v>
      </c>
      <c r="M2827" s="7">
        <f t="shared" ref="M2827:M2890" si="220">(K2827*L2827)</f>
        <v>6000</v>
      </c>
      <c r="N2827" s="7">
        <f t="shared" ref="N2827:N2890" si="221">(J2827*L2827)</f>
        <v>6729</v>
      </c>
      <c r="O2827" s="2">
        <v>73</v>
      </c>
      <c r="P2827" s="8">
        <f t="shared" ref="P2827:P2890" si="222">(N2827+O2827)</f>
        <v>6802</v>
      </c>
      <c r="Q2827" s="8">
        <f t="shared" ref="Q2827:Q2890" si="223">(N2827-M2827)</f>
        <v>729</v>
      </c>
      <c r="R2827" s="2" t="s">
        <v>28</v>
      </c>
      <c r="S2827" s="9">
        <f t="shared" ref="S2827:S2890" si="224">_xlfn.IFS(P2827&gt;250000,0.15,P2827&gt;100000,0.12,P2827&gt;50000,0.09,P2827&gt;25000,0.07,P2827&gt;5000,0.05,
 TRUE,0.02)</f>
        <v>0.05</v>
      </c>
    </row>
    <row r="2828" spans="1:19" x14ac:dyDescent="0.3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e">
        <f>VLOOKUP('Customer Info'!B2820,'Customer Info'!B2820:B3319,1,0)</f>
        <v>#N/A</v>
      </c>
      <c r="H2828" s="6" t="e">
        <f>VLOOKUP('Customer Info'!C2820,'Customer Info'!C2820:C3319,1)</f>
        <v>#N/A</v>
      </c>
      <c r="I2828" s="6" t="e">
        <f>VLOOKUP('Customer Info'!E2820,'Customer Info'!E2820:E3319,1,0)</f>
        <v>#N/A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8463</v>
      </c>
      <c r="R2828" s="2" t="s">
        <v>28</v>
      </c>
      <c r="S2828" s="9">
        <f t="shared" si="224"/>
        <v>0.12</v>
      </c>
    </row>
    <row r="2829" spans="1:19" x14ac:dyDescent="0.3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e">
        <f>VLOOKUP('Customer Info'!B2821,'Customer Info'!B2821:B3320,1,0)</f>
        <v>#N/A</v>
      </c>
      <c r="H2829" s="6" t="e">
        <f>VLOOKUP('Customer Info'!C2821,'Customer Info'!C2821:C3320,1)</f>
        <v>#N/A</v>
      </c>
      <c r="I2829" s="6" t="e">
        <f>VLOOKUP('Customer Info'!E2821,'Customer Info'!E2821:E3320,1,0)</f>
        <v>#N/A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12</v>
      </c>
      <c r="R2829" s="2" t="s">
        <v>50</v>
      </c>
      <c r="S2829" s="9">
        <f t="shared" si="224"/>
        <v>0.02</v>
      </c>
    </row>
    <row r="2830" spans="1:19" x14ac:dyDescent="0.3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e">
        <f>VLOOKUP('Customer Info'!B2822,'Customer Info'!B2822:B3321,1,0)</f>
        <v>#N/A</v>
      </c>
      <c r="H2830" s="6" t="e">
        <f>VLOOKUP('Customer Info'!C2822,'Customer Info'!C2822:C3321,1)</f>
        <v>#N/A</v>
      </c>
      <c r="I2830" s="6" t="e">
        <f>VLOOKUP('Customer Info'!E2822,'Customer Info'!E2822:E3321,1,0)</f>
        <v>#N/A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188</v>
      </c>
      <c r="R2830" s="2" t="s">
        <v>50</v>
      </c>
      <c r="S2830" s="9">
        <f t="shared" si="224"/>
        <v>0.02</v>
      </c>
    </row>
    <row r="2831" spans="1:19" x14ac:dyDescent="0.3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e">
        <f>VLOOKUP('Customer Info'!B2823,'Customer Info'!B2823:B3322,1,0)</f>
        <v>#N/A</v>
      </c>
      <c r="H2831" s="6" t="e">
        <f>VLOOKUP('Customer Info'!C2823,'Customer Info'!C2823:C3322,1)</f>
        <v>#N/A</v>
      </c>
      <c r="I2831" s="6" t="e">
        <f>VLOOKUP('Customer Info'!E2823,'Customer Info'!E2823:E3322,1,0)</f>
        <v>#N/A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343</v>
      </c>
      <c r="R2831" s="2" t="s">
        <v>28</v>
      </c>
      <c r="S2831" s="9">
        <f t="shared" si="224"/>
        <v>0.02</v>
      </c>
    </row>
    <row r="2832" spans="1:19" x14ac:dyDescent="0.3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e">
        <f>VLOOKUP('Customer Info'!B2824,'Customer Info'!B2824:B3323,1,0)</f>
        <v>#N/A</v>
      </c>
      <c r="H2832" s="6" t="e">
        <f>VLOOKUP('Customer Info'!C2824,'Customer Info'!C2824:C3323,1)</f>
        <v>#N/A</v>
      </c>
      <c r="I2832" s="6" t="e">
        <f>VLOOKUP('Customer Info'!E2824,'Customer Info'!E2824:E3323,1,0)</f>
        <v>#N/A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159</v>
      </c>
      <c r="R2832" s="2" t="s">
        <v>28</v>
      </c>
      <c r="S2832" s="9">
        <f t="shared" si="224"/>
        <v>0.02</v>
      </c>
    </row>
    <row r="2833" spans="1:19" x14ac:dyDescent="0.3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e">
        <f>VLOOKUP('Customer Info'!B2825,'Customer Info'!B2825:B3324,1,0)</f>
        <v>#N/A</v>
      </c>
      <c r="H2833" s="6" t="e">
        <f>VLOOKUP('Customer Info'!C2825,'Customer Info'!C2825:C3324,1)</f>
        <v>#N/A</v>
      </c>
      <c r="I2833" s="6" t="e">
        <f>VLOOKUP('Customer Info'!E2825,'Customer Info'!E2825:E3324,1,0)</f>
        <v>#N/A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114</v>
      </c>
      <c r="R2833" s="2" t="s">
        <v>28</v>
      </c>
      <c r="S2833" s="9">
        <f t="shared" si="224"/>
        <v>0.02</v>
      </c>
    </row>
    <row r="2834" spans="1:19" x14ac:dyDescent="0.3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e">
        <f>VLOOKUP('Customer Info'!B2826,'Customer Info'!B2826:B3325,1,0)</f>
        <v>#N/A</v>
      </c>
      <c r="H2834" s="6" t="e">
        <f>VLOOKUP('Customer Info'!C2826,'Customer Info'!C2826:C3325,1)</f>
        <v>#N/A</v>
      </c>
      <c r="I2834" s="6" t="e">
        <f>VLOOKUP('Customer Info'!E2826,'Customer Info'!E2826:E3325,1,0)</f>
        <v>#N/A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1677</v>
      </c>
      <c r="R2834" s="2" t="s">
        <v>28</v>
      </c>
      <c r="S2834" s="9">
        <f t="shared" si="224"/>
        <v>0.05</v>
      </c>
    </row>
    <row r="2835" spans="1:19" x14ac:dyDescent="0.3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e">
        <f>VLOOKUP('Customer Info'!B2827,'Customer Info'!B2827:B3326,1,0)</f>
        <v>#N/A</v>
      </c>
      <c r="H2835" s="6" t="e">
        <f>VLOOKUP('Customer Info'!C2827,'Customer Info'!C2827:C3326,1)</f>
        <v>#N/A</v>
      </c>
      <c r="I2835" s="6" t="e">
        <f>VLOOKUP('Customer Info'!E2827,'Customer Info'!E2827:E3326,1,0)</f>
        <v>#N/A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372</v>
      </c>
      <c r="R2835" s="2" t="s">
        <v>28</v>
      </c>
      <c r="S2835" s="9">
        <f t="shared" si="224"/>
        <v>0.05</v>
      </c>
    </row>
    <row r="2836" spans="1:19" x14ac:dyDescent="0.3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e">
        <f>VLOOKUP('Customer Info'!B2828,'Customer Info'!B2828:B3327,1,0)</f>
        <v>#N/A</v>
      </c>
      <c r="H2836" s="6" t="e">
        <f>VLOOKUP('Customer Info'!C2828,'Customer Info'!C2828:C3327,1)</f>
        <v>#N/A</v>
      </c>
      <c r="I2836" s="6" t="e">
        <f>VLOOKUP('Customer Info'!E2828,'Customer Info'!E2828:E3327,1,0)</f>
        <v>#N/A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670</v>
      </c>
      <c r="R2836" s="2" t="s">
        <v>50</v>
      </c>
      <c r="S2836" s="9">
        <f t="shared" si="224"/>
        <v>0.05</v>
      </c>
    </row>
    <row r="2837" spans="1:19" x14ac:dyDescent="0.3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e">
        <f>VLOOKUP('Customer Info'!B2829,'Customer Info'!B2829:B3328,1,0)</f>
        <v>#N/A</v>
      </c>
      <c r="H2837" s="6" t="e">
        <f>VLOOKUP('Customer Info'!C2829,'Customer Info'!C2829:C3328,1)</f>
        <v>#N/A</v>
      </c>
      <c r="I2837" s="6" t="e">
        <f>VLOOKUP('Customer Info'!E2829,'Customer Info'!E2829:E3328,1,0)</f>
        <v>#N/A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24</v>
      </c>
      <c r="R2837" s="2" t="s">
        <v>50</v>
      </c>
      <c r="S2837" s="9">
        <f t="shared" si="224"/>
        <v>0.02</v>
      </c>
    </row>
    <row r="2838" spans="1:19" x14ac:dyDescent="0.3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e">
        <f>VLOOKUP('Customer Info'!B2830,'Customer Info'!B2830:B3329,1,0)</f>
        <v>#N/A</v>
      </c>
      <c r="H2838" s="6" t="e">
        <f>VLOOKUP('Customer Info'!C2830,'Customer Info'!C2830:C3329,1)</f>
        <v>#N/A</v>
      </c>
      <c r="I2838" s="6" t="e">
        <f>VLOOKUP('Customer Info'!E2830,'Customer Info'!E2830:E3329,1,0)</f>
        <v>#N/A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2520</v>
      </c>
      <c r="R2838" s="2" t="s">
        <v>28</v>
      </c>
      <c r="S2838" s="9">
        <f t="shared" si="224"/>
        <v>0.09</v>
      </c>
    </row>
    <row r="2839" spans="1:19" x14ac:dyDescent="0.3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e">
        <f>VLOOKUP('Customer Info'!B2831,'Customer Info'!B2831:B3330,1,0)</f>
        <v>#N/A</v>
      </c>
      <c r="H2839" s="6" t="e">
        <f>VLOOKUP('Customer Info'!C2831,'Customer Info'!C2831:C3330,1)</f>
        <v>#N/A</v>
      </c>
      <c r="I2839" s="6" t="e">
        <f>VLOOKUP('Customer Info'!E2831,'Customer Info'!E2831:E3330,1,0)</f>
        <v>#N/A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382</v>
      </c>
      <c r="R2839" s="2" t="s">
        <v>28</v>
      </c>
      <c r="S2839" s="9">
        <f t="shared" si="224"/>
        <v>0.05</v>
      </c>
    </row>
    <row r="2840" spans="1:19" x14ac:dyDescent="0.3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e">
        <f>VLOOKUP('Customer Info'!B2832,'Customer Info'!B2832:B3331,1,0)</f>
        <v>#N/A</v>
      </c>
      <c r="H2840" s="6" t="e">
        <f>VLOOKUP('Customer Info'!C2832,'Customer Info'!C2832:C3331,1)</f>
        <v>#N/A</v>
      </c>
      <c r="I2840" s="6" t="e">
        <f>VLOOKUP('Customer Info'!E2832,'Customer Info'!E2832:E3331,1,0)</f>
        <v>#N/A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301</v>
      </c>
      <c r="R2840" s="2" t="s">
        <v>28</v>
      </c>
      <c r="S2840" s="9">
        <f t="shared" si="224"/>
        <v>0.05</v>
      </c>
    </row>
    <row r="2841" spans="1:19" x14ac:dyDescent="0.3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e">
        <f>VLOOKUP('Customer Info'!B2833,'Customer Info'!B2833:B3332,1,0)</f>
        <v>#N/A</v>
      </c>
      <c r="H2841" s="6" t="e">
        <f>VLOOKUP('Customer Info'!C2833,'Customer Info'!C2833:C3332,1)</f>
        <v>#N/A</v>
      </c>
      <c r="I2841" s="6" t="e">
        <f>VLOOKUP('Customer Info'!E2833,'Customer Info'!E2833:E3332,1,0)</f>
        <v>#N/A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386</v>
      </c>
      <c r="R2841" s="2" t="s">
        <v>26</v>
      </c>
      <c r="S2841" s="9">
        <f t="shared" si="224"/>
        <v>0.05</v>
      </c>
    </row>
    <row r="2842" spans="1:19" x14ac:dyDescent="0.3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e">
        <f>VLOOKUP('Customer Info'!B2834,'Customer Info'!B2834:B3333,1,0)</f>
        <v>#N/A</v>
      </c>
      <c r="H2842" s="6" t="e">
        <f>VLOOKUP('Customer Info'!C2834,'Customer Info'!C2834:C3333,1)</f>
        <v>#N/A</v>
      </c>
      <c r="I2842" s="6" t="e">
        <f>VLOOKUP('Customer Info'!E2834,'Customer Info'!E2834:E3333,1,0)</f>
        <v>#N/A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70</v>
      </c>
      <c r="R2842" s="2" t="s">
        <v>28</v>
      </c>
      <c r="S2842" s="9">
        <f t="shared" si="224"/>
        <v>0.02</v>
      </c>
    </row>
    <row r="2843" spans="1:19" x14ac:dyDescent="0.3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e">
        <f>VLOOKUP('Customer Info'!B2835,'Customer Info'!B2835:B3334,1,0)</f>
        <v>#N/A</v>
      </c>
      <c r="H2843" s="6" t="e">
        <f>VLOOKUP('Customer Info'!C2835,'Customer Info'!C2835:C3334,1)</f>
        <v>#N/A</v>
      </c>
      <c r="I2843" s="6" t="e">
        <f>VLOOKUP('Customer Info'!E2835,'Customer Info'!E2835:E3334,1,0)</f>
        <v>#N/A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60</v>
      </c>
      <c r="R2843" s="2" t="s">
        <v>50</v>
      </c>
      <c r="S2843" s="9">
        <f t="shared" si="224"/>
        <v>0.02</v>
      </c>
    </row>
    <row r="2844" spans="1:19" x14ac:dyDescent="0.3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e">
        <f>VLOOKUP('Customer Info'!B2836,'Customer Info'!B2836:B3335,1,0)</f>
        <v>#N/A</v>
      </c>
      <c r="H2844" s="6" t="e">
        <f>VLOOKUP('Customer Info'!C2836,'Customer Info'!C2836:C3335,1)</f>
        <v>#N/A</v>
      </c>
      <c r="I2844" s="6" t="e">
        <f>VLOOKUP('Customer Info'!E2836,'Customer Info'!E2836:E3335,1,0)</f>
        <v>#N/A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1626</v>
      </c>
      <c r="R2844" s="2" t="s">
        <v>28</v>
      </c>
      <c r="S2844" s="9">
        <f t="shared" si="224"/>
        <v>0.05</v>
      </c>
    </row>
    <row r="2845" spans="1:19" x14ac:dyDescent="0.3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e">
        <f>VLOOKUP('Customer Info'!B2837,'Customer Info'!B2837:B3336,1,0)</f>
        <v>#N/A</v>
      </c>
      <c r="H2845" s="6" t="e">
        <f>VLOOKUP('Customer Info'!C2837,'Customer Info'!C2837:C3336,1)</f>
        <v>#N/A</v>
      </c>
      <c r="I2845" s="6" t="e">
        <f>VLOOKUP('Customer Info'!E2837,'Customer Info'!E2837:E3336,1,0)</f>
        <v>#N/A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266</v>
      </c>
      <c r="R2845" s="2" t="s">
        <v>28</v>
      </c>
      <c r="S2845" s="9">
        <f t="shared" si="224"/>
        <v>0.02</v>
      </c>
    </row>
    <row r="2846" spans="1:19" x14ac:dyDescent="0.3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e">
        <f>VLOOKUP('Customer Info'!B2838,'Customer Info'!B2838:B3337,1,0)</f>
        <v>#N/A</v>
      </c>
      <c r="H2846" s="6" t="e">
        <f>VLOOKUP('Customer Info'!C2838,'Customer Info'!C2838:C3337,1)</f>
        <v>#N/A</v>
      </c>
      <c r="I2846" s="6" t="e">
        <f>VLOOKUP('Customer Info'!E2838,'Customer Info'!E2838:E3337,1,0)</f>
        <v>#N/A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114</v>
      </c>
      <c r="R2846" s="2" t="s">
        <v>50</v>
      </c>
      <c r="S2846" s="9">
        <f t="shared" si="224"/>
        <v>0.02</v>
      </c>
    </row>
    <row r="2847" spans="1:19" x14ac:dyDescent="0.3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e">
        <f>VLOOKUP('Customer Info'!B2839,'Customer Info'!B2839:B3338,1,0)</f>
        <v>#N/A</v>
      </c>
      <c r="H2847" s="6" t="e">
        <f>VLOOKUP('Customer Info'!C2839,'Customer Info'!C2839:C3338,1)</f>
        <v>#N/A</v>
      </c>
      <c r="I2847" s="6" t="e">
        <f>VLOOKUP('Customer Info'!E2839,'Customer Info'!E2839:E3338,1,0)</f>
        <v>#N/A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1677</v>
      </c>
      <c r="R2847" s="2" t="s">
        <v>50</v>
      </c>
      <c r="S2847" s="9">
        <f t="shared" si="224"/>
        <v>0.05</v>
      </c>
    </row>
    <row r="2848" spans="1:19" x14ac:dyDescent="0.3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e">
        <f>VLOOKUP('Customer Info'!B2840,'Customer Info'!B2840:B3339,1,0)</f>
        <v>#N/A</v>
      </c>
      <c r="H2848" s="6" t="e">
        <f>VLOOKUP('Customer Info'!C2840,'Customer Info'!C2840:C3339,1)</f>
        <v>#N/A</v>
      </c>
      <c r="I2848" s="6" t="e">
        <f>VLOOKUP('Customer Info'!E2840,'Customer Info'!E2840:E3339,1,0)</f>
        <v>#N/A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109</v>
      </c>
      <c r="R2848" s="2" t="s">
        <v>28</v>
      </c>
      <c r="S2848" s="9">
        <f t="shared" si="224"/>
        <v>0.02</v>
      </c>
    </row>
    <row r="2849" spans="1:19" x14ac:dyDescent="0.3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e">
        <f>VLOOKUP('Customer Info'!B2841,'Customer Info'!B2841:B3340,1,0)</f>
        <v>#N/A</v>
      </c>
      <c r="H2849" s="6" t="e">
        <f>VLOOKUP('Customer Info'!C2841,'Customer Info'!C2841:C3340,1)</f>
        <v>#N/A</v>
      </c>
      <c r="I2849" s="6" t="e">
        <f>VLOOKUP('Customer Info'!E2841,'Customer Info'!E2841:E3340,1,0)</f>
        <v>#N/A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932</v>
      </c>
      <c r="R2849" s="2" t="s">
        <v>28</v>
      </c>
      <c r="S2849" s="9">
        <f t="shared" si="224"/>
        <v>0.05</v>
      </c>
    </row>
    <row r="2850" spans="1:19" x14ac:dyDescent="0.3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e">
        <f>VLOOKUP('Customer Info'!B2842,'Customer Info'!B2842:B3341,1,0)</f>
        <v>#N/A</v>
      </c>
      <c r="H2850" s="6" t="e">
        <f>VLOOKUP('Customer Info'!C2842,'Customer Info'!C2842:C3341,1)</f>
        <v>#N/A</v>
      </c>
      <c r="I2850" s="6" t="e">
        <f>VLOOKUP('Customer Info'!E2842,'Customer Info'!E2842:E3341,1,0)</f>
        <v>#N/A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756</v>
      </c>
      <c r="R2850" s="2" t="s">
        <v>28</v>
      </c>
      <c r="S2850" s="9">
        <f t="shared" si="224"/>
        <v>0.05</v>
      </c>
    </row>
    <row r="2851" spans="1:19" x14ac:dyDescent="0.3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e">
        <f>VLOOKUP('Customer Info'!B2843,'Customer Info'!B2843:B3342,1,0)</f>
        <v>#N/A</v>
      </c>
      <c r="H2851" s="6" t="e">
        <f>VLOOKUP('Customer Info'!C2843,'Customer Info'!C2843:C3342,1)</f>
        <v>#N/A</v>
      </c>
      <c r="I2851" s="6" t="e">
        <f>VLOOKUP('Customer Info'!E2843,'Customer Info'!E2843:E3342,1,0)</f>
        <v>#N/A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1264</v>
      </c>
      <c r="R2851" s="2" t="s">
        <v>28</v>
      </c>
      <c r="S2851" s="9">
        <f t="shared" si="224"/>
        <v>0.05</v>
      </c>
    </row>
    <row r="2852" spans="1:19" x14ac:dyDescent="0.3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e">
        <f>VLOOKUP('Customer Info'!B2844,'Customer Info'!B2844:B3343,1,0)</f>
        <v>#N/A</v>
      </c>
      <c r="H2852" s="6" t="e">
        <f>VLOOKUP('Customer Info'!C2844,'Customer Info'!C2844:C3343,1)</f>
        <v>#N/A</v>
      </c>
      <c r="I2852" s="6" t="e">
        <f>VLOOKUP('Customer Info'!E2844,'Customer Info'!E2844:E3343,1,0)</f>
        <v>#N/A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5</v>
      </c>
      <c r="R2852" s="2" t="s">
        <v>50</v>
      </c>
      <c r="S2852" s="9">
        <f t="shared" si="224"/>
        <v>0.02</v>
      </c>
    </row>
    <row r="2853" spans="1:19" x14ac:dyDescent="0.3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e">
        <f>VLOOKUP('Customer Info'!B2845,'Customer Info'!B2845:B3344,1,0)</f>
        <v>#N/A</v>
      </c>
      <c r="H2853" s="6" t="e">
        <f>VLOOKUP('Customer Info'!C2845,'Customer Info'!C2845:C3344,1)</f>
        <v>#N/A</v>
      </c>
      <c r="I2853" s="6" t="e">
        <f>VLOOKUP('Customer Info'!E2845,'Customer Info'!E2845:E3344,1,0)</f>
        <v>#N/A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8</v>
      </c>
      <c r="R2853" s="2" t="s">
        <v>50</v>
      </c>
      <c r="S2853" s="9">
        <f t="shared" si="224"/>
        <v>0.02</v>
      </c>
    </row>
    <row r="2854" spans="1:19" x14ac:dyDescent="0.3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e">
        <f>VLOOKUP('Customer Info'!B2846,'Customer Info'!B2846:B3345,1,0)</f>
        <v>#N/A</v>
      </c>
      <c r="H2854" s="6" t="e">
        <f>VLOOKUP('Customer Info'!C2846,'Customer Info'!C2846:C3345,1)</f>
        <v>#N/A</v>
      </c>
      <c r="I2854" s="6" t="e">
        <f>VLOOKUP('Customer Info'!E2846,'Customer Info'!E2846:E3345,1,0)</f>
        <v>#N/A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168</v>
      </c>
      <c r="R2854" s="2" t="s">
        <v>28</v>
      </c>
      <c r="S2854" s="9">
        <f t="shared" si="224"/>
        <v>0.02</v>
      </c>
    </row>
    <row r="2855" spans="1:19" x14ac:dyDescent="0.3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e">
        <f>VLOOKUP('Customer Info'!B2847,'Customer Info'!B2847:B3346,1,0)</f>
        <v>#N/A</v>
      </c>
      <c r="H2855" s="6" t="e">
        <f>VLOOKUP('Customer Info'!C2847,'Customer Info'!C2847:C3346,1)</f>
        <v>#N/A</v>
      </c>
      <c r="I2855" s="6" t="e">
        <f>VLOOKUP('Customer Info'!E2847,'Customer Info'!E2847:E3346,1,0)</f>
        <v>#N/A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27</v>
      </c>
      <c r="R2855" s="2" t="s">
        <v>26</v>
      </c>
      <c r="S2855" s="9">
        <f t="shared" si="224"/>
        <v>0.02</v>
      </c>
    </row>
    <row r="2856" spans="1:19" x14ac:dyDescent="0.3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e">
        <f>VLOOKUP('Customer Info'!B2848,'Customer Info'!B2848:B3347,1,0)</f>
        <v>#N/A</v>
      </c>
      <c r="H2856" s="6" t="e">
        <f>VLOOKUP('Customer Info'!C2848,'Customer Info'!C2848:C3347,1)</f>
        <v>#N/A</v>
      </c>
      <c r="I2856" s="6" t="e">
        <f>VLOOKUP('Customer Info'!E2848,'Customer Info'!E2848:E3347,1,0)</f>
        <v>#N/A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248</v>
      </c>
      <c r="R2856" s="2" t="s">
        <v>50</v>
      </c>
      <c r="S2856" s="9">
        <f t="shared" si="224"/>
        <v>0.02</v>
      </c>
    </row>
    <row r="2857" spans="1:19" x14ac:dyDescent="0.3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e">
        <f>VLOOKUP('Customer Info'!B2849,'Customer Info'!B2849:B3348,1,0)</f>
        <v>#N/A</v>
      </c>
      <c r="H2857" s="6" t="e">
        <f>VLOOKUP('Customer Info'!C2849,'Customer Info'!C2849:C3348,1)</f>
        <v>#N/A</v>
      </c>
      <c r="I2857" s="6" t="e">
        <f>VLOOKUP('Customer Info'!E2849,'Customer Info'!E2849:E3348,1,0)</f>
        <v>#N/A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2675</v>
      </c>
      <c r="R2857" s="2" t="s">
        <v>50</v>
      </c>
      <c r="S2857" s="9">
        <f t="shared" si="224"/>
        <v>7.0000000000000007E-2</v>
      </c>
    </row>
    <row r="2858" spans="1:19" x14ac:dyDescent="0.3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e">
        <f>VLOOKUP('Customer Info'!B2850,'Customer Info'!B2850:B3349,1,0)</f>
        <v>#N/A</v>
      </c>
      <c r="H2858" s="6" t="e">
        <f>VLOOKUP('Customer Info'!C2850,'Customer Info'!C2850:C3349,1)</f>
        <v>#N/A</v>
      </c>
      <c r="I2858" s="6" t="e">
        <f>VLOOKUP('Customer Info'!E2850,'Customer Info'!E2850:E3349,1,0)</f>
        <v>#N/A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480</v>
      </c>
      <c r="R2858" s="2" t="s">
        <v>50</v>
      </c>
      <c r="S2858" s="9">
        <f t="shared" si="224"/>
        <v>0.05</v>
      </c>
    </row>
    <row r="2859" spans="1:19" x14ac:dyDescent="0.3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e">
        <f>VLOOKUP('Customer Info'!B2851,'Customer Info'!B2851:B3350,1,0)</f>
        <v>#N/A</v>
      </c>
      <c r="H2859" s="6" t="e">
        <f>VLOOKUP('Customer Info'!C2851,'Customer Info'!C2851:C3350,1)</f>
        <v>#N/A</v>
      </c>
      <c r="I2859" s="6" t="e">
        <f>VLOOKUP('Customer Info'!E2851,'Customer Info'!E2851:E3350,1,0)</f>
        <v>#N/A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52</v>
      </c>
      <c r="R2859" s="2" t="s">
        <v>28</v>
      </c>
      <c r="S2859" s="9">
        <f t="shared" si="224"/>
        <v>0.02</v>
      </c>
    </row>
    <row r="2860" spans="1:19" x14ac:dyDescent="0.3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e">
        <f>VLOOKUP('Customer Info'!B2852,'Customer Info'!B2852:B3351,1,0)</f>
        <v>#N/A</v>
      </c>
      <c r="H2860" s="6" t="e">
        <f>VLOOKUP('Customer Info'!C2852,'Customer Info'!C2852:C3351,1)</f>
        <v>#N/A</v>
      </c>
      <c r="I2860" s="6" t="e">
        <f>VLOOKUP('Customer Info'!E2852,'Customer Info'!E2852:E3351,1,0)</f>
        <v>#N/A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18</v>
      </c>
      <c r="R2860" s="2" t="s">
        <v>50</v>
      </c>
      <c r="S2860" s="9">
        <f t="shared" si="224"/>
        <v>0.02</v>
      </c>
    </row>
    <row r="2861" spans="1:19" x14ac:dyDescent="0.3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e">
        <f>VLOOKUP('Customer Info'!B2853,'Customer Info'!B2853:B3352,1,0)</f>
        <v>#N/A</v>
      </c>
      <c r="H2861" s="6" t="e">
        <f>VLOOKUP('Customer Info'!C2853,'Customer Info'!C2853:C3352,1)</f>
        <v>#N/A</v>
      </c>
      <c r="I2861" s="6" t="e">
        <f>VLOOKUP('Customer Info'!E2853,'Customer Info'!E2853:E3352,1,0)</f>
        <v>#N/A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1576</v>
      </c>
      <c r="R2861" s="2" t="s">
        <v>50</v>
      </c>
      <c r="S2861" s="9">
        <f t="shared" si="224"/>
        <v>0.09</v>
      </c>
    </row>
    <row r="2862" spans="1:19" x14ac:dyDescent="0.3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e">
        <f>VLOOKUP('Customer Info'!B2854,'Customer Info'!B2854:B3353,1,0)</f>
        <v>#N/A</v>
      </c>
      <c r="H2862" s="6" t="e">
        <f>VLOOKUP('Customer Info'!C2854,'Customer Info'!C2854:C3353,1)</f>
        <v>#N/A</v>
      </c>
      <c r="I2862" s="6" t="e">
        <f>VLOOKUP('Customer Info'!E2854,'Customer Info'!E2854:E3353,1,0)</f>
        <v>#N/A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78</v>
      </c>
      <c r="R2862" s="2" t="s">
        <v>28</v>
      </c>
      <c r="S2862" s="9">
        <f t="shared" si="224"/>
        <v>0.02</v>
      </c>
    </row>
    <row r="2863" spans="1:19" x14ac:dyDescent="0.3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e">
        <f>VLOOKUP('Customer Info'!B2855,'Customer Info'!B2855:B3354,1,0)</f>
        <v>#N/A</v>
      </c>
      <c r="H2863" s="6" t="e">
        <f>VLOOKUP('Customer Info'!C2855,'Customer Info'!C2855:C3354,1)</f>
        <v>#N/A</v>
      </c>
      <c r="I2863" s="6" t="e">
        <f>VLOOKUP('Customer Info'!E2855,'Customer Info'!E2855:E3354,1,0)</f>
        <v>#N/A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243</v>
      </c>
      <c r="R2863" s="2" t="s">
        <v>50</v>
      </c>
      <c r="S2863" s="9">
        <f t="shared" si="224"/>
        <v>0.02</v>
      </c>
    </row>
    <row r="2864" spans="1:19" x14ac:dyDescent="0.3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e">
        <f>VLOOKUP('Customer Info'!B2856,'Customer Info'!B2856:B3355,1,0)</f>
        <v>#N/A</v>
      </c>
      <c r="H2864" s="6" t="e">
        <f>VLOOKUP('Customer Info'!C2856,'Customer Info'!C2856:C3355,1)</f>
        <v>#N/A</v>
      </c>
      <c r="I2864" s="6" t="e">
        <f>VLOOKUP('Customer Info'!E2856,'Customer Info'!E2856:E3355,1,0)</f>
        <v>#N/A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170</v>
      </c>
      <c r="R2864" s="2" t="s">
        <v>28</v>
      </c>
      <c r="S2864" s="9">
        <f t="shared" si="224"/>
        <v>0.02</v>
      </c>
    </row>
    <row r="2865" spans="1:19" x14ac:dyDescent="0.3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e">
        <f>VLOOKUP('Customer Info'!B2857,'Customer Info'!B2857:B3356,1,0)</f>
        <v>#N/A</v>
      </c>
      <c r="H2865" s="6" t="e">
        <f>VLOOKUP('Customer Info'!C2857,'Customer Info'!C2857:C3356,1)</f>
        <v>#N/A</v>
      </c>
      <c r="I2865" s="6" t="e">
        <f>VLOOKUP('Customer Info'!E2857,'Customer Info'!E2857:E3356,1,0)</f>
        <v>#N/A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1158</v>
      </c>
      <c r="R2865" s="2" t="s">
        <v>28</v>
      </c>
      <c r="S2865" s="9">
        <f t="shared" si="224"/>
        <v>0.05</v>
      </c>
    </row>
    <row r="2866" spans="1:19" x14ac:dyDescent="0.3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e">
        <f>VLOOKUP('Customer Info'!B2858,'Customer Info'!B2858:B3357,1,0)</f>
        <v>#N/A</v>
      </c>
      <c r="H2866" s="6" t="e">
        <f>VLOOKUP('Customer Info'!C2858,'Customer Info'!C2858:C3357,1)</f>
        <v>#N/A</v>
      </c>
      <c r="I2866" s="6" t="e">
        <f>VLOOKUP('Customer Info'!E2858,'Customer Info'!E2858:E3357,1,0)</f>
        <v>#N/A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20</v>
      </c>
      <c r="R2866" s="2" t="s">
        <v>50</v>
      </c>
      <c r="S2866" s="9">
        <f t="shared" si="224"/>
        <v>0.02</v>
      </c>
    </row>
    <row r="2867" spans="1:19" x14ac:dyDescent="0.3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e">
        <f>VLOOKUP('Customer Info'!B2859,'Customer Info'!B2859:B3358,1,0)</f>
        <v>#N/A</v>
      </c>
      <c r="H2867" s="6" t="e">
        <f>VLOOKUP('Customer Info'!C2859,'Customer Info'!C2859:C3358,1)</f>
        <v>#N/A</v>
      </c>
      <c r="I2867" s="6" t="e">
        <f>VLOOKUP('Customer Info'!E2859,'Customer Info'!E2859:E3358,1,0)</f>
        <v>#N/A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1290</v>
      </c>
      <c r="R2867" s="2" t="s">
        <v>28</v>
      </c>
      <c r="S2867" s="9">
        <f t="shared" si="224"/>
        <v>0.05</v>
      </c>
    </row>
    <row r="2868" spans="1:19" x14ac:dyDescent="0.3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e">
        <f>VLOOKUP('Customer Info'!B2860,'Customer Info'!B2860:B3359,1,0)</f>
        <v>#N/A</v>
      </c>
      <c r="H2868" s="6" t="e">
        <f>VLOOKUP('Customer Info'!C2860,'Customer Info'!C2860:C3359,1)</f>
        <v>#N/A</v>
      </c>
      <c r="I2868" s="6" t="e">
        <f>VLOOKUP('Customer Info'!E2860,'Customer Info'!E2860:E3359,1,0)</f>
        <v>#N/A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45</v>
      </c>
      <c r="R2868" s="2" t="s">
        <v>50</v>
      </c>
      <c r="S2868" s="9">
        <f t="shared" si="224"/>
        <v>0.02</v>
      </c>
    </row>
    <row r="2869" spans="1:19" x14ac:dyDescent="0.3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e">
        <f>VLOOKUP('Customer Info'!B2861,'Customer Info'!B2861:B3360,1,0)</f>
        <v>#N/A</v>
      </c>
      <c r="H2869" s="6" t="e">
        <f>VLOOKUP('Customer Info'!C2861,'Customer Info'!C2861:C3360,1)</f>
        <v>#N/A</v>
      </c>
      <c r="I2869" s="6" t="e">
        <f>VLOOKUP('Customer Info'!E2861,'Customer Info'!E2861:E3360,1,0)</f>
        <v>#N/A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28</v>
      </c>
      <c r="R2869" s="2" t="s">
        <v>28</v>
      </c>
      <c r="S2869" s="9">
        <f t="shared" si="224"/>
        <v>0.02</v>
      </c>
    </row>
    <row r="2870" spans="1:19" x14ac:dyDescent="0.3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e">
        <f>VLOOKUP('Customer Info'!B2862,'Customer Info'!B2862:B3361,1,0)</f>
        <v>#N/A</v>
      </c>
      <c r="H2870" s="6" t="e">
        <f>VLOOKUP('Customer Info'!C2862,'Customer Info'!C2862:C3361,1)</f>
        <v>#N/A</v>
      </c>
      <c r="I2870" s="6" t="e">
        <f>VLOOKUP('Customer Info'!E2862,'Customer Info'!E2862:E3361,1,0)</f>
        <v>#N/A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1365</v>
      </c>
      <c r="R2870" s="2" t="s">
        <v>28</v>
      </c>
      <c r="S2870" s="9">
        <f t="shared" si="224"/>
        <v>0.05</v>
      </c>
    </row>
    <row r="2871" spans="1:19" x14ac:dyDescent="0.3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e">
        <f>VLOOKUP('Customer Info'!B2863,'Customer Info'!B2863:B3362,1,0)</f>
        <v>#N/A</v>
      </c>
      <c r="H2871" s="6" t="e">
        <f>VLOOKUP('Customer Info'!C2863,'Customer Info'!C2863:C3362,1)</f>
        <v>#N/A</v>
      </c>
      <c r="I2871" s="6" t="e">
        <f>VLOOKUP('Customer Info'!E2863,'Customer Info'!E2863:E3362,1,0)</f>
        <v>#N/A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1908</v>
      </c>
      <c r="R2871" s="2" t="s">
        <v>28</v>
      </c>
      <c r="S2871" s="9">
        <f t="shared" si="224"/>
        <v>0.09</v>
      </c>
    </row>
    <row r="2872" spans="1:19" x14ac:dyDescent="0.3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e">
        <f>VLOOKUP('Customer Info'!B2864,'Customer Info'!B2864:B3363,1,0)</f>
        <v>#N/A</v>
      </c>
      <c r="H2872" s="6" t="e">
        <f>VLOOKUP('Customer Info'!C2864,'Customer Info'!C2864:C3363,1)</f>
        <v>#N/A</v>
      </c>
      <c r="I2872" s="6" t="e">
        <f>VLOOKUP('Customer Info'!E2864,'Customer Info'!E2864:E3363,1,0)</f>
        <v>#N/A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70</v>
      </c>
      <c r="R2872" s="2" t="s">
        <v>26</v>
      </c>
      <c r="S2872" s="9">
        <f t="shared" si="224"/>
        <v>0.02</v>
      </c>
    </row>
    <row r="2873" spans="1:19" x14ac:dyDescent="0.3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e">
        <f>VLOOKUP('Customer Info'!B2865,'Customer Info'!B2865:B3364,1,0)</f>
        <v>#N/A</v>
      </c>
      <c r="H2873" s="6" t="e">
        <f>VLOOKUP('Customer Info'!C2865,'Customer Info'!C2865:C3364,1)</f>
        <v>#N/A</v>
      </c>
      <c r="I2873" s="6" t="e">
        <f>VLOOKUP('Customer Info'!E2865,'Customer Info'!E2865:E3364,1,0)</f>
        <v>#N/A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559</v>
      </c>
      <c r="R2873" s="2" t="s">
        <v>50</v>
      </c>
      <c r="S2873" s="9">
        <f t="shared" si="224"/>
        <v>0.05</v>
      </c>
    </row>
    <row r="2874" spans="1:19" x14ac:dyDescent="0.3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e">
        <f>VLOOKUP('Customer Info'!B2866,'Customer Info'!B2866:B3365,1,0)</f>
        <v>#N/A</v>
      </c>
      <c r="H2874" s="6" t="e">
        <f>VLOOKUP('Customer Info'!C2866,'Customer Info'!C2866:C3365,1)</f>
        <v>#N/A</v>
      </c>
      <c r="I2874" s="6" t="e">
        <f>VLOOKUP('Customer Info'!E2866,'Customer Info'!E2866:E3365,1,0)</f>
        <v>#N/A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343</v>
      </c>
      <c r="R2874" s="2" t="s">
        <v>50</v>
      </c>
      <c r="S2874" s="9">
        <f t="shared" si="224"/>
        <v>0.02</v>
      </c>
    </row>
    <row r="2875" spans="1:19" x14ac:dyDescent="0.3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e">
        <f>VLOOKUP('Customer Info'!B2867,'Customer Info'!B2867:B3366,1,0)</f>
        <v>#N/A</v>
      </c>
      <c r="H2875" s="6" t="e">
        <f>VLOOKUP('Customer Info'!C2867,'Customer Info'!C2867:C3366,1)</f>
        <v>#N/A</v>
      </c>
      <c r="I2875" s="6" t="e">
        <f>VLOOKUP('Customer Info'!E2867,'Customer Info'!E2867:E3366,1,0)</f>
        <v>#N/A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118</v>
      </c>
      <c r="R2875" s="2" t="s">
        <v>28</v>
      </c>
      <c r="S2875" s="9">
        <f t="shared" si="224"/>
        <v>0.02</v>
      </c>
    </row>
    <row r="2876" spans="1:19" x14ac:dyDescent="0.3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e">
        <f>VLOOKUP('Customer Info'!B2868,'Customer Info'!B2868:B3367,1,0)</f>
        <v>#N/A</v>
      </c>
      <c r="H2876" s="6" t="e">
        <f>VLOOKUP('Customer Info'!C2868,'Customer Info'!C2868:C3367,1)</f>
        <v>#N/A</v>
      </c>
      <c r="I2876" s="6" t="e">
        <f>VLOOKUP('Customer Info'!E2868,'Customer Info'!E2868:E3367,1,0)</f>
        <v>#N/A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880</v>
      </c>
      <c r="R2876" s="2" t="s">
        <v>50</v>
      </c>
      <c r="S2876" s="9">
        <f t="shared" si="224"/>
        <v>0.05</v>
      </c>
    </row>
    <row r="2877" spans="1:19" x14ac:dyDescent="0.3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e">
        <f>VLOOKUP('Customer Info'!B2869,'Customer Info'!B2869:B3368,1,0)</f>
        <v>#N/A</v>
      </c>
      <c r="H2877" s="6" t="e">
        <f>VLOOKUP('Customer Info'!C2869,'Customer Info'!C2869:C3368,1)</f>
        <v>#N/A</v>
      </c>
      <c r="I2877" s="6" t="e">
        <f>VLOOKUP('Customer Info'!E2869,'Customer Info'!E2869:E3368,1,0)</f>
        <v>#N/A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128</v>
      </c>
      <c r="R2877" s="2" t="s">
        <v>28</v>
      </c>
      <c r="S2877" s="9">
        <f t="shared" si="224"/>
        <v>0.02</v>
      </c>
    </row>
    <row r="2878" spans="1:19" x14ac:dyDescent="0.3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e">
        <f>VLOOKUP('Customer Info'!B2870,'Customer Info'!B2870:B3369,1,0)</f>
        <v>#N/A</v>
      </c>
      <c r="H2878" s="6" t="e">
        <f>VLOOKUP('Customer Info'!C2870,'Customer Info'!C2870:C3369,1)</f>
        <v>#N/A</v>
      </c>
      <c r="I2878" s="6" t="e">
        <f>VLOOKUP('Customer Info'!E2870,'Customer Info'!E2870:E3369,1,0)</f>
        <v>#N/A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1928</v>
      </c>
      <c r="R2878" s="2" t="s">
        <v>50</v>
      </c>
      <c r="S2878" s="9">
        <f t="shared" si="224"/>
        <v>0.05</v>
      </c>
    </row>
    <row r="2879" spans="1:19" x14ac:dyDescent="0.3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e">
        <f>VLOOKUP('Customer Info'!B2871,'Customer Info'!B2871:B3370,1,0)</f>
        <v>#N/A</v>
      </c>
      <c r="H2879" s="6" t="e">
        <f>VLOOKUP('Customer Info'!C2871,'Customer Info'!C2871:C3370,1)</f>
        <v>#N/A</v>
      </c>
      <c r="I2879" s="6" t="e">
        <f>VLOOKUP('Customer Info'!E2871,'Customer Info'!E2871:E3370,1,0)</f>
        <v>#N/A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2528</v>
      </c>
      <c r="R2879" s="2" t="s">
        <v>26</v>
      </c>
      <c r="S2879" s="9">
        <f t="shared" si="224"/>
        <v>7.0000000000000007E-2</v>
      </c>
    </row>
    <row r="2880" spans="1:19" x14ac:dyDescent="0.3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e">
        <f>VLOOKUP('Customer Info'!B2872,'Customer Info'!B2872:B3371,1,0)</f>
        <v>#N/A</v>
      </c>
      <c r="H2880" s="6" t="e">
        <f>VLOOKUP('Customer Info'!C2872,'Customer Info'!C2872:C3371,1)</f>
        <v>#N/A</v>
      </c>
      <c r="I2880" s="6" t="e">
        <f>VLOOKUP('Customer Info'!E2872,'Customer Info'!E2872:E3371,1,0)</f>
        <v>#N/A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7</v>
      </c>
      <c r="R2880" s="2" t="s">
        <v>56</v>
      </c>
      <c r="S2880" s="9">
        <f t="shared" si="224"/>
        <v>0.02</v>
      </c>
    </row>
    <row r="2881" spans="1:19" x14ac:dyDescent="0.3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e">
        <f>VLOOKUP('Customer Info'!B2873,'Customer Info'!B2873:B3372,1,0)</f>
        <v>#N/A</v>
      </c>
      <c r="H2881" s="6" t="e">
        <f>VLOOKUP('Customer Info'!C2873,'Customer Info'!C2873:C3372,1)</f>
        <v>#N/A</v>
      </c>
      <c r="I2881" s="6" t="e">
        <f>VLOOKUP('Customer Info'!E2873,'Customer Info'!E2873:E3372,1,0)</f>
        <v>#N/A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908</v>
      </c>
      <c r="R2881" s="2" t="s">
        <v>28</v>
      </c>
      <c r="S2881" s="9">
        <f t="shared" si="224"/>
        <v>0.05</v>
      </c>
    </row>
    <row r="2882" spans="1:19" x14ac:dyDescent="0.3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e">
        <f>VLOOKUP('Customer Info'!B2874,'Customer Info'!B2874:B3373,1,0)</f>
        <v>#N/A</v>
      </c>
      <c r="H2882" s="6" t="e">
        <f>VLOOKUP('Customer Info'!C2874,'Customer Info'!C2874:C3373,1)</f>
        <v>#N/A</v>
      </c>
      <c r="I2882" s="6" t="e">
        <f>VLOOKUP('Customer Info'!E2874,'Customer Info'!E2874:E3373,1,0)</f>
        <v>#N/A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135</v>
      </c>
      <c r="R2882" s="2" t="s">
        <v>28</v>
      </c>
      <c r="S2882" s="9">
        <f t="shared" si="224"/>
        <v>0.02</v>
      </c>
    </row>
    <row r="2883" spans="1:19" x14ac:dyDescent="0.3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e">
        <f>VLOOKUP('Customer Info'!B2875,'Customer Info'!B2875:B3374,1,0)</f>
        <v>#N/A</v>
      </c>
      <c r="H2883" s="6" t="e">
        <f>VLOOKUP('Customer Info'!C2875,'Customer Info'!C2875:C3374,1)</f>
        <v>#N/A</v>
      </c>
      <c r="I2883" s="6" t="e">
        <f>VLOOKUP('Customer Info'!E2875,'Customer Info'!E2875:E3374,1,0)</f>
        <v>#N/A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272</v>
      </c>
      <c r="R2883" s="2" t="s">
        <v>26</v>
      </c>
      <c r="S2883" s="9">
        <f t="shared" si="224"/>
        <v>0.02</v>
      </c>
    </row>
    <row r="2884" spans="1:19" x14ac:dyDescent="0.3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e">
        <f>VLOOKUP('Customer Info'!B2876,'Customer Info'!B2876:B3375,1,0)</f>
        <v>#N/A</v>
      </c>
      <c r="H2884" s="6" t="e">
        <f>VLOOKUP('Customer Info'!C2876,'Customer Info'!C2876:C3375,1)</f>
        <v>#N/A</v>
      </c>
      <c r="I2884" s="6" t="e">
        <f>VLOOKUP('Customer Info'!E2876,'Customer Info'!E2876:E3375,1,0)</f>
        <v>#N/A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852</v>
      </c>
      <c r="R2884" s="2" t="s">
        <v>28</v>
      </c>
      <c r="S2884" s="9">
        <f t="shared" si="224"/>
        <v>0.05</v>
      </c>
    </row>
    <row r="2885" spans="1:19" x14ac:dyDescent="0.3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e">
        <f>VLOOKUP('Customer Info'!B2877,'Customer Info'!B2877:B3376,1,0)</f>
        <v>#N/A</v>
      </c>
      <c r="H2885" s="6" t="e">
        <f>VLOOKUP('Customer Info'!C2877,'Customer Info'!C2877:C3376,1)</f>
        <v>#N/A</v>
      </c>
      <c r="I2885" s="6" t="e">
        <f>VLOOKUP('Customer Info'!E2877,'Customer Info'!E2877:E3376,1,0)</f>
        <v>#N/A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728</v>
      </c>
      <c r="R2885" s="2" t="s">
        <v>56</v>
      </c>
      <c r="S2885" s="9">
        <f t="shared" si="224"/>
        <v>0.05</v>
      </c>
    </row>
    <row r="2886" spans="1:19" x14ac:dyDescent="0.3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e">
        <f>VLOOKUP('Customer Info'!B2878,'Customer Info'!B2878:B3377,1,0)</f>
        <v>#N/A</v>
      </c>
      <c r="H2886" s="6" t="e">
        <f>VLOOKUP('Customer Info'!C2878,'Customer Info'!C2878:C3377,1)</f>
        <v>#N/A</v>
      </c>
      <c r="I2886" s="6" t="e">
        <f>VLOOKUP('Customer Info'!E2878,'Customer Info'!E2878:E3377,1,0)</f>
        <v>#N/A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676</v>
      </c>
      <c r="R2886" s="2" t="s">
        <v>28</v>
      </c>
      <c r="S2886" s="9">
        <f t="shared" si="224"/>
        <v>0.05</v>
      </c>
    </row>
    <row r="2887" spans="1:19" x14ac:dyDescent="0.3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e">
        <f>VLOOKUP('Customer Info'!B2879,'Customer Info'!B2879:B3378,1,0)</f>
        <v>#N/A</v>
      </c>
      <c r="H2887" s="6" t="e">
        <f>VLOOKUP('Customer Info'!C2879,'Customer Info'!C2879:C3378,1)</f>
        <v>#N/A</v>
      </c>
      <c r="I2887" s="6" t="e">
        <f>VLOOKUP('Customer Info'!E2879,'Customer Info'!E2879:E3378,1,0)</f>
        <v>#N/A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11216</v>
      </c>
      <c r="R2887" s="2" t="s">
        <v>28</v>
      </c>
      <c r="S2887" s="9">
        <f t="shared" si="224"/>
        <v>0.12</v>
      </c>
    </row>
    <row r="2888" spans="1:19" x14ac:dyDescent="0.3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e">
        <f>VLOOKUP('Customer Info'!B2880,'Customer Info'!B2880:B3379,1,0)</f>
        <v>#N/A</v>
      </c>
      <c r="H2888" s="6" t="e">
        <f>VLOOKUP('Customer Info'!C2880,'Customer Info'!C2880:C3379,1)</f>
        <v>#N/A</v>
      </c>
      <c r="I2888" s="6" t="e">
        <f>VLOOKUP('Customer Info'!E2880,'Customer Info'!E2880:E3379,1,0)</f>
        <v>#N/A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108</v>
      </c>
      <c r="R2888" s="2" t="s">
        <v>28</v>
      </c>
      <c r="S2888" s="9">
        <f t="shared" si="224"/>
        <v>0.02</v>
      </c>
    </row>
    <row r="2889" spans="1:19" x14ac:dyDescent="0.3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e">
        <f>VLOOKUP('Customer Info'!B2881,'Customer Info'!B2881:B3380,1,0)</f>
        <v>#N/A</v>
      </c>
      <c r="H2889" s="6" t="e">
        <f>VLOOKUP('Customer Info'!C2881,'Customer Info'!C2881:C3380,1)</f>
        <v>#N/A</v>
      </c>
      <c r="I2889" s="6" t="e">
        <f>VLOOKUP('Customer Info'!E2881,'Customer Info'!E2881:E3380,1,0)</f>
        <v>#N/A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154</v>
      </c>
      <c r="R2889" s="2" t="s">
        <v>28</v>
      </c>
      <c r="S2889" s="9">
        <f t="shared" si="224"/>
        <v>0.02</v>
      </c>
    </row>
    <row r="2890" spans="1:19" x14ac:dyDescent="0.3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e">
        <f>VLOOKUP('Customer Info'!B2882,'Customer Info'!B2882:B3381,1,0)</f>
        <v>#N/A</v>
      </c>
      <c r="H2890" s="6" t="e">
        <f>VLOOKUP('Customer Info'!C2882,'Customer Info'!C2882:C3381,1)</f>
        <v>#N/A</v>
      </c>
      <c r="I2890" s="6" t="e">
        <f>VLOOKUP('Customer Info'!E2882,'Customer Info'!E2882:E3381,1,0)</f>
        <v>#N/A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21</v>
      </c>
      <c r="R2890" s="2" t="s">
        <v>28</v>
      </c>
      <c r="S2890" s="9">
        <f t="shared" si="224"/>
        <v>0.02</v>
      </c>
    </row>
    <row r="2891" spans="1:19" x14ac:dyDescent="0.3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e">
        <f>VLOOKUP('Customer Info'!B2883,'Customer Info'!B2883:B3382,1,0)</f>
        <v>#N/A</v>
      </c>
      <c r="H2891" s="6" t="e">
        <f>VLOOKUP('Customer Info'!C2883,'Customer Info'!C2883:C3382,1)</f>
        <v>#N/A</v>
      </c>
      <c r="I2891" s="6" t="e">
        <f>VLOOKUP('Customer Info'!E2883,'Customer Info'!E2883:E3382,1,0)</f>
        <v>#N/A</v>
      </c>
      <c r="J2891" s="2">
        <v>8617</v>
      </c>
      <c r="K2891" s="2">
        <v>7900</v>
      </c>
      <c r="L2891" s="2">
        <v>3</v>
      </c>
      <c r="M2891" s="7">
        <f t="shared" ref="M2891:M2954" si="225">(K2891*L2891)</f>
        <v>23700</v>
      </c>
      <c r="N2891" s="7">
        <f t="shared" ref="N2891:N2954" si="226">(J2891*L2891)</f>
        <v>25851</v>
      </c>
      <c r="O2891" s="2">
        <v>68</v>
      </c>
      <c r="P2891" s="8">
        <f t="shared" ref="P2891:P2954" si="227">(N2891+O2891)</f>
        <v>25919</v>
      </c>
      <c r="Q2891" s="8">
        <f t="shared" ref="Q2891:Q2954" si="228">(N2891-M2891)</f>
        <v>2151</v>
      </c>
      <c r="R2891" s="2" t="s">
        <v>28</v>
      </c>
      <c r="S2891" s="9">
        <f t="shared" ref="S2891:S2954" si="229">_xlfn.IFS(P2891&gt;250000,0.15,P2891&gt;100000,0.12,P2891&gt;50000,0.09,P2891&gt;25000,0.07,P2891&gt;5000,0.05,
 TRUE,0.02)</f>
        <v>7.0000000000000007E-2</v>
      </c>
    </row>
    <row r="2892" spans="1:19" x14ac:dyDescent="0.3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e">
        <f>VLOOKUP('Customer Info'!B2884,'Customer Info'!B2884:B3383,1,0)</f>
        <v>#N/A</v>
      </c>
      <c r="H2892" s="6" t="e">
        <f>VLOOKUP('Customer Info'!C2884,'Customer Info'!C2884:C3383,1)</f>
        <v>#N/A</v>
      </c>
      <c r="I2892" s="6" t="e">
        <f>VLOOKUP('Customer Info'!E2884,'Customer Info'!E2884:E3383,1,0)</f>
        <v>#N/A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6</v>
      </c>
      <c r="R2892" s="2" t="s">
        <v>28</v>
      </c>
      <c r="S2892" s="9">
        <f t="shared" si="229"/>
        <v>0.02</v>
      </c>
    </row>
    <row r="2893" spans="1:19" x14ac:dyDescent="0.3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e">
        <f>VLOOKUP('Customer Info'!B2885,'Customer Info'!B2885:B3384,1,0)</f>
        <v>#N/A</v>
      </c>
      <c r="H2893" s="6" t="e">
        <f>VLOOKUP('Customer Info'!C2885,'Customer Info'!C2885:C3384,1)</f>
        <v>#N/A</v>
      </c>
      <c r="I2893" s="6" t="e">
        <f>VLOOKUP('Customer Info'!E2885,'Customer Info'!E2885:E3384,1,0)</f>
        <v>#N/A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612</v>
      </c>
      <c r="R2893" s="2" t="s">
        <v>26</v>
      </c>
      <c r="S2893" s="9">
        <f t="shared" si="229"/>
        <v>0.05</v>
      </c>
    </row>
    <row r="2894" spans="1:19" x14ac:dyDescent="0.3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e">
        <f>VLOOKUP('Customer Info'!B2886,'Customer Info'!B2886:B3385,1,0)</f>
        <v>#N/A</v>
      </c>
      <c r="H2894" s="6" t="e">
        <f>VLOOKUP('Customer Info'!C2886,'Customer Info'!C2886:C3385,1)</f>
        <v>#N/A</v>
      </c>
      <c r="I2894" s="6" t="e">
        <f>VLOOKUP('Customer Info'!E2886,'Customer Info'!E2886:E3385,1,0)</f>
        <v>#N/A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130</v>
      </c>
      <c r="R2894" s="2" t="s">
        <v>50</v>
      </c>
      <c r="S2894" s="9">
        <f t="shared" si="229"/>
        <v>0.02</v>
      </c>
    </row>
    <row r="2895" spans="1:19" x14ac:dyDescent="0.3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e">
        <f>VLOOKUP('Customer Info'!B2887,'Customer Info'!B2887:B3386,1,0)</f>
        <v>#N/A</v>
      </c>
      <c r="H2895" s="6" t="e">
        <f>VLOOKUP('Customer Info'!C2887,'Customer Info'!C2887:C3386,1)</f>
        <v>#N/A</v>
      </c>
      <c r="I2895" s="6" t="e">
        <f>VLOOKUP('Customer Info'!E2887,'Customer Info'!E2887:E3386,1,0)</f>
        <v>#N/A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6</v>
      </c>
      <c r="R2895" s="2" t="s">
        <v>26</v>
      </c>
      <c r="S2895" s="9">
        <f t="shared" si="229"/>
        <v>0.02</v>
      </c>
    </row>
    <row r="2896" spans="1:19" x14ac:dyDescent="0.3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e">
        <f>VLOOKUP('Customer Info'!B2888,'Customer Info'!B2888:B3387,1,0)</f>
        <v>#N/A</v>
      </c>
      <c r="H2896" s="6" t="e">
        <f>VLOOKUP('Customer Info'!C2888,'Customer Info'!C2888:C3387,1)</f>
        <v>#N/A</v>
      </c>
      <c r="I2896" s="6" t="e">
        <f>VLOOKUP('Customer Info'!E2888,'Customer Info'!E2888:E3387,1,0)</f>
        <v>#N/A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120</v>
      </c>
      <c r="R2896" s="2" t="s">
        <v>50</v>
      </c>
      <c r="S2896" s="9">
        <f t="shared" si="229"/>
        <v>0.02</v>
      </c>
    </row>
    <row r="2897" spans="1:19" x14ac:dyDescent="0.3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e">
        <f>VLOOKUP('Customer Info'!B2889,'Customer Info'!B2889:B3388,1,0)</f>
        <v>#N/A</v>
      </c>
      <c r="H2897" s="6" t="e">
        <f>VLOOKUP('Customer Info'!C2889,'Customer Info'!C2889:C3388,1)</f>
        <v>#N/A</v>
      </c>
      <c r="I2897" s="6" t="e">
        <f>VLOOKUP('Customer Info'!E2889,'Customer Info'!E2889:E3388,1,0)</f>
        <v>#N/A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405</v>
      </c>
      <c r="R2897" s="2" t="s">
        <v>28</v>
      </c>
      <c r="S2897" s="9">
        <f t="shared" si="229"/>
        <v>0.05</v>
      </c>
    </row>
    <row r="2898" spans="1:19" x14ac:dyDescent="0.3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e">
        <f>VLOOKUP('Customer Info'!B2890,'Customer Info'!B2890:B3389,1,0)</f>
        <v>#N/A</v>
      </c>
      <c r="H2898" s="6" t="e">
        <f>VLOOKUP('Customer Info'!C2890,'Customer Info'!C2890:C3389,1)</f>
        <v>#N/A</v>
      </c>
      <c r="I2898" s="6" t="e">
        <f>VLOOKUP('Customer Info'!E2890,'Customer Info'!E2890:E3389,1,0)</f>
        <v>#N/A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240</v>
      </c>
      <c r="R2898" s="2" t="s">
        <v>28</v>
      </c>
      <c r="S2898" s="9">
        <f t="shared" si="229"/>
        <v>0.02</v>
      </c>
    </row>
    <row r="2899" spans="1:19" x14ac:dyDescent="0.3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e">
        <f>VLOOKUP('Customer Info'!B2891,'Customer Info'!B2891:B3390,1,0)</f>
        <v>#N/A</v>
      </c>
      <c r="H2899" s="6" t="e">
        <f>VLOOKUP('Customer Info'!C2891,'Customer Info'!C2891:C3390,1)</f>
        <v>#N/A</v>
      </c>
      <c r="I2899" s="6" t="e">
        <f>VLOOKUP('Customer Info'!E2891,'Customer Info'!E2891:E3390,1,0)</f>
        <v>#N/A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454</v>
      </c>
      <c r="R2899" s="2" t="s">
        <v>28</v>
      </c>
      <c r="S2899" s="9">
        <f t="shared" si="229"/>
        <v>0.05</v>
      </c>
    </row>
    <row r="2900" spans="1:19" x14ac:dyDescent="0.3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e">
        <f>VLOOKUP('Customer Info'!B2892,'Customer Info'!B2892:B3391,1,0)</f>
        <v>#N/A</v>
      </c>
      <c r="H2900" s="6" t="e">
        <f>VLOOKUP('Customer Info'!C2892,'Customer Info'!C2892:C3391,1)</f>
        <v>#N/A</v>
      </c>
      <c r="I2900" s="6" t="e">
        <f>VLOOKUP('Customer Info'!E2892,'Customer Info'!E2892:E3391,1,0)</f>
        <v>#N/A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93</v>
      </c>
      <c r="R2900" s="2" t="s">
        <v>28</v>
      </c>
      <c r="S2900" s="9">
        <f t="shared" si="229"/>
        <v>0.02</v>
      </c>
    </row>
    <row r="2901" spans="1:19" x14ac:dyDescent="0.3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e">
        <f>VLOOKUP('Customer Info'!B2893,'Customer Info'!B2893:B3392,1,0)</f>
        <v>#N/A</v>
      </c>
      <c r="H2901" s="6" t="e">
        <f>VLOOKUP('Customer Info'!C2893,'Customer Info'!C2893:C3392,1)</f>
        <v>#N/A</v>
      </c>
      <c r="I2901" s="6" t="e">
        <f>VLOOKUP('Customer Info'!E2893,'Customer Info'!E2893:E3392,1,0)</f>
        <v>#N/A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14</v>
      </c>
      <c r="R2901" s="2" t="s">
        <v>26</v>
      </c>
      <c r="S2901" s="9">
        <f t="shared" si="229"/>
        <v>0.02</v>
      </c>
    </row>
    <row r="2902" spans="1:19" x14ac:dyDescent="0.3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e">
        <f>VLOOKUP('Customer Info'!B2894,'Customer Info'!B2894:B3393,1,0)</f>
        <v>#N/A</v>
      </c>
      <c r="H2902" s="6" t="e">
        <f>VLOOKUP('Customer Info'!C2894,'Customer Info'!C2894:C3393,1)</f>
        <v>#N/A</v>
      </c>
      <c r="I2902" s="6" t="e">
        <f>VLOOKUP('Customer Info'!E2894,'Customer Info'!E2894:E3393,1,0)</f>
        <v>#N/A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54</v>
      </c>
      <c r="R2902" s="2" t="s">
        <v>28</v>
      </c>
      <c r="S2902" s="9">
        <f t="shared" si="229"/>
        <v>0.02</v>
      </c>
    </row>
    <row r="2903" spans="1:19" x14ac:dyDescent="0.3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e">
        <f>VLOOKUP('Customer Info'!B2895,'Customer Info'!B2895:B3394,1,0)</f>
        <v>#N/A</v>
      </c>
      <c r="H2903" s="6" t="e">
        <f>VLOOKUP('Customer Info'!C2895,'Customer Info'!C2895:C3394,1)</f>
        <v>#N/A</v>
      </c>
      <c r="I2903" s="6" t="e">
        <f>VLOOKUP('Customer Info'!E2895,'Customer Info'!E2895:E3394,1,0)</f>
        <v>#N/A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741</v>
      </c>
      <c r="R2903" s="2" t="s">
        <v>28</v>
      </c>
      <c r="S2903" s="9">
        <f t="shared" si="229"/>
        <v>0.05</v>
      </c>
    </row>
    <row r="2904" spans="1:19" x14ac:dyDescent="0.3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e">
        <f>VLOOKUP('Customer Info'!B2896,'Customer Info'!B2896:B3395,1,0)</f>
        <v>#N/A</v>
      </c>
      <c r="H2904" s="6" t="e">
        <f>VLOOKUP('Customer Info'!C2896,'Customer Info'!C2896:C3395,1)</f>
        <v>#N/A</v>
      </c>
      <c r="I2904" s="6" t="e">
        <f>VLOOKUP('Customer Info'!E2896,'Customer Info'!E2896:E3395,1,0)</f>
        <v>#N/A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122</v>
      </c>
      <c r="R2904" s="2" t="s">
        <v>26</v>
      </c>
      <c r="S2904" s="9">
        <f t="shared" si="229"/>
        <v>0.05</v>
      </c>
    </row>
    <row r="2905" spans="1:19" x14ac:dyDescent="0.3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e">
        <f>VLOOKUP('Customer Info'!B2897,'Customer Info'!B2897:B3396,1,0)</f>
        <v>#N/A</v>
      </c>
      <c r="H2905" s="6" t="e">
        <f>VLOOKUP('Customer Info'!C2897,'Customer Info'!C2897:C3396,1)</f>
        <v>#N/A</v>
      </c>
      <c r="I2905" s="6" t="e">
        <f>VLOOKUP('Customer Info'!E2897,'Customer Info'!E2897:E3396,1,0)</f>
        <v>#N/A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45</v>
      </c>
      <c r="R2905" s="2" t="s">
        <v>28</v>
      </c>
      <c r="S2905" s="9">
        <f t="shared" si="229"/>
        <v>0.02</v>
      </c>
    </row>
    <row r="2906" spans="1:19" x14ac:dyDescent="0.3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e">
        <f>VLOOKUP('Customer Info'!B2898,'Customer Info'!B2898:B3397,1,0)</f>
        <v>#N/A</v>
      </c>
      <c r="H2906" s="6" t="e">
        <f>VLOOKUP('Customer Info'!C2898,'Customer Info'!C2898:C3397,1)</f>
        <v>#N/A</v>
      </c>
      <c r="I2906" s="6" t="e">
        <f>VLOOKUP('Customer Info'!E2898,'Customer Info'!E2898:E3397,1,0)</f>
        <v>#N/A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2088</v>
      </c>
      <c r="R2906" s="2" t="s">
        <v>28</v>
      </c>
      <c r="S2906" s="9">
        <f t="shared" si="229"/>
        <v>7.0000000000000007E-2</v>
      </c>
    </row>
    <row r="2907" spans="1:19" x14ac:dyDescent="0.3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e">
        <f>VLOOKUP('Customer Info'!B2899,'Customer Info'!B2899:B3398,1,0)</f>
        <v>#N/A</v>
      </c>
      <c r="H2907" s="6" t="e">
        <f>VLOOKUP('Customer Info'!C2899,'Customer Info'!C2899:C3398,1)</f>
        <v>#N/A</v>
      </c>
      <c r="I2907" s="6" t="e">
        <f>VLOOKUP('Customer Info'!E2899,'Customer Info'!E2899:E3398,1,0)</f>
        <v>#N/A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220</v>
      </c>
      <c r="R2907" s="2" t="s">
        <v>28</v>
      </c>
      <c r="S2907" s="9">
        <f t="shared" si="229"/>
        <v>0.02</v>
      </c>
    </row>
    <row r="2908" spans="1:19" x14ac:dyDescent="0.3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e">
        <f>VLOOKUP('Customer Info'!B2900,'Customer Info'!B2900:B3399,1,0)</f>
        <v>#N/A</v>
      </c>
      <c r="H2908" s="6" t="e">
        <f>VLOOKUP('Customer Info'!C2900,'Customer Info'!C2900:C3399,1)</f>
        <v>#N/A</v>
      </c>
      <c r="I2908" s="6" t="e">
        <f>VLOOKUP('Customer Info'!E2900,'Customer Info'!E2900:E3399,1,0)</f>
        <v>#N/A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288</v>
      </c>
      <c r="R2908" s="2" t="s">
        <v>28</v>
      </c>
      <c r="S2908" s="9">
        <f t="shared" si="229"/>
        <v>0.05</v>
      </c>
    </row>
    <row r="2909" spans="1:19" x14ac:dyDescent="0.3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e">
        <f>VLOOKUP('Customer Info'!B2901,'Customer Info'!B2901:B3400,1,0)</f>
        <v>#N/A</v>
      </c>
      <c r="H2909" s="6" t="e">
        <f>VLOOKUP('Customer Info'!C2901,'Customer Info'!C2901:C3400,1)</f>
        <v>#N/A</v>
      </c>
      <c r="I2909" s="6" t="e">
        <f>VLOOKUP('Customer Info'!E2901,'Customer Info'!E2901:E3400,1,0)</f>
        <v>#N/A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186</v>
      </c>
      <c r="R2909" s="2" t="s">
        <v>56</v>
      </c>
      <c r="S2909" s="9">
        <f t="shared" si="229"/>
        <v>0.02</v>
      </c>
    </row>
    <row r="2910" spans="1:19" x14ac:dyDescent="0.3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e">
        <f>VLOOKUP('Customer Info'!B2902,'Customer Info'!B2902:B3401,1,0)</f>
        <v>#N/A</v>
      </c>
      <c r="H2910" s="6" t="e">
        <f>VLOOKUP('Customer Info'!C2902,'Customer Info'!C2902:C3401,1)</f>
        <v>#N/A</v>
      </c>
      <c r="I2910" s="6" t="e">
        <f>VLOOKUP('Customer Info'!E2902,'Customer Info'!E2902:E3401,1,0)</f>
        <v>#N/A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432</v>
      </c>
      <c r="R2910" s="2" t="s">
        <v>50</v>
      </c>
      <c r="S2910" s="9">
        <f t="shared" si="229"/>
        <v>0.05</v>
      </c>
    </row>
    <row r="2911" spans="1:19" x14ac:dyDescent="0.3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e">
        <f>VLOOKUP('Customer Info'!B2903,'Customer Info'!B2903:B3402,1,0)</f>
        <v>#N/A</v>
      </c>
      <c r="H2911" s="6" t="e">
        <f>VLOOKUP('Customer Info'!C2903,'Customer Info'!C2903:C3402,1)</f>
        <v>#N/A</v>
      </c>
      <c r="I2911" s="6" t="e">
        <f>VLOOKUP('Customer Info'!E2903,'Customer Info'!E2903:E3402,1,0)</f>
        <v>#N/A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88</v>
      </c>
      <c r="R2911" s="2" t="s">
        <v>50</v>
      </c>
      <c r="S2911" s="9">
        <f t="shared" si="229"/>
        <v>0.02</v>
      </c>
    </row>
    <row r="2912" spans="1:19" x14ac:dyDescent="0.3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e">
        <f>VLOOKUP('Customer Info'!B2904,'Customer Info'!B2904:B3403,1,0)</f>
        <v>#N/A</v>
      </c>
      <c r="H2912" s="6" t="e">
        <f>VLOOKUP('Customer Info'!C2904,'Customer Info'!C2904:C3403,1)</f>
        <v>#N/A</v>
      </c>
      <c r="I2912" s="6" t="e">
        <f>VLOOKUP('Customer Info'!E2904,'Customer Info'!E2904:E3403,1,0)</f>
        <v>#N/A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338</v>
      </c>
      <c r="R2912" s="2" t="s">
        <v>26</v>
      </c>
      <c r="S2912" s="9">
        <f t="shared" si="229"/>
        <v>0.05</v>
      </c>
    </row>
    <row r="2913" spans="1:19" x14ac:dyDescent="0.3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e">
        <f>VLOOKUP('Customer Info'!B2905,'Customer Info'!B2905:B3404,1,0)</f>
        <v>#N/A</v>
      </c>
      <c r="H2913" s="6" t="e">
        <f>VLOOKUP('Customer Info'!C2905,'Customer Info'!C2905:C3404,1)</f>
        <v>#N/A</v>
      </c>
      <c r="I2913" s="6" t="e">
        <f>VLOOKUP('Customer Info'!E2905,'Customer Info'!E2905:E3404,1,0)</f>
        <v>#N/A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819</v>
      </c>
      <c r="R2913" s="2" t="s">
        <v>50</v>
      </c>
      <c r="S2913" s="9">
        <f t="shared" si="229"/>
        <v>0.05</v>
      </c>
    </row>
    <row r="2914" spans="1:19" x14ac:dyDescent="0.3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e">
        <f>VLOOKUP('Customer Info'!B2906,'Customer Info'!B2906:B3405,1,0)</f>
        <v>#N/A</v>
      </c>
      <c r="H2914" s="6" t="e">
        <f>VLOOKUP('Customer Info'!C2906,'Customer Info'!C2906:C3405,1)</f>
        <v>#N/A</v>
      </c>
      <c r="I2914" s="6" t="e">
        <f>VLOOKUP('Customer Info'!E2906,'Customer Info'!E2906:E3405,1,0)</f>
        <v>#N/A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180</v>
      </c>
      <c r="R2914" s="2" t="s">
        <v>28</v>
      </c>
      <c r="S2914" s="9">
        <f t="shared" si="229"/>
        <v>0.02</v>
      </c>
    </row>
    <row r="2915" spans="1:19" x14ac:dyDescent="0.3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e">
        <f>VLOOKUP('Customer Info'!B2907,'Customer Info'!B2907:B3406,1,0)</f>
        <v>#N/A</v>
      </c>
      <c r="H2915" s="6" t="e">
        <f>VLOOKUP('Customer Info'!C2907,'Customer Info'!C2907:C3406,1)</f>
        <v>#N/A</v>
      </c>
      <c r="I2915" s="6" t="e">
        <f>VLOOKUP('Customer Info'!E2907,'Customer Info'!E2907:E3406,1,0)</f>
        <v>#N/A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1840</v>
      </c>
      <c r="R2915" s="2" t="s">
        <v>50</v>
      </c>
      <c r="S2915" s="9">
        <f t="shared" si="229"/>
        <v>7.0000000000000007E-2</v>
      </c>
    </row>
    <row r="2916" spans="1:19" x14ac:dyDescent="0.3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e">
        <f>VLOOKUP('Customer Info'!B2908,'Customer Info'!B2908:B3407,1,0)</f>
        <v>#N/A</v>
      </c>
      <c r="H2916" s="6" t="e">
        <f>VLOOKUP('Customer Info'!C2908,'Customer Info'!C2908:C3407,1)</f>
        <v>#N/A</v>
      </c>
      <c r="I2916" s="6" t="e">
        <f>VLOOKUP('Customer Info'!E2908,'Customer Info'!E2908:E3407,1,0)</f>
        <v>#N/A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24</v>
      </c>
      <c r="R2916" s="2" t="s">
        <v>56</v>
      </c>
      <c r="S2916" s="9">
        <f t="shared" si="229"/>
        <v>0.02</v>
      </c>
    </row>
    <row r="2917" spans="1:19" x14ac:dyDescent="0.3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e">
        <f>VLOOKUP('Customer Info'!B2909,'Customer Info'!B2909:B3408,1,0)</f>
        <v>#N/A</v>
      </c>
      <c r="H2917" s="6" t="e">
        <f>VLOOKUP('Customer Info'!C2909,'Customer Info'!C2909:C3408,1)</f>
        <v>#N/A</v>
      </c>
      <c r="I2917" s="6" t="e">
        <f>VLOOKUP('Customer Info'!E2909,'Customer Info'!E2909:E3408,1,0)</f>
        <v>#N/A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268</v>
      </c>
      <c r="R2917" s="2" t="s">
        <v>28</v>
      </c>
      <c r="S2917" s="9">
        <f t="shared" si="229"/>
        <v>0.02</v>
      </c>
    </row>
    <row r="2918" spans="1:19" x14ac:dyDescent="0.3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e">
        <f>VLOOKUP('Customer Info'!B2910,'Customer Info'!B2910:B3409,1,0)</f>
        <v>#N/A</v>
      </c>
      <c r="H2918" s="6" t="e">
        <f>VLOOKUP('Customer Info'!C2910,'Customer Info'!C2910:C3409,1)</f>
        <v>#N/A</v>
      </c>
      <c r="I2918" s="6" t="e">
        <f>VLOOKUP('Customer Info'!E2910,'Customer Info'!E2910:E3409,1,0)</f>
        <v>#N/A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618</v>
      </c>
      <c r="R2918" s="2" t="s">
        <v>28</v>
      </c>
      <c r="S2918" s="9">
        <f t="shared" si="229"/>
        <v>0.05</v>
      </c>
    </row>
    <row r="2919" spans="1:19" x14ac:dyDescent="0.3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e">
        <f>VLOOKUP('Customer Info'!B2911,'Customer Info'!B2911:B3410,1,0)</f>
        <v>#N/A</v>
      </c>
      <c r="H2919" s="6" t="e">
        <f>VLOOKUP('Customer Info'!C2911,'Customer Info'!C2911:C3410,1)</f>
        <v>#N/A</v>
      </c>
      <c r="I2919" s="6" t="e">
        <f>VLOOKUP('Customer Info'!E2911,'Customer Info'!E2911:E3410,1,0)</f>
        <v>#N/A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891</v>
      </c>
      <c r="R2919" s="2" t="s">
        <v>50</v>
      </c>
      <c r="S2919" s="9">
        <f t="shared" si="229"/>
        <v>0.05</v>
      </c>
    </row>
    <row r="2920" spans="1:19" x14ac:dyDescent="0.3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e">
        <f>VLOOKUP('Customer Info'!B2912,'Customer Info'!B2912:B3411,1,0)</f>
        <v>#N/A</v>
      </c>
      <c r="H2920" s="6" t="e">
        <f>VLOOKUP('Customer Info'!C2912,'Customer Info'!C2912:C3411,1)</f>
        <v>#N/A</v>
      </c>
      <c r="I2920" s="6" t="e">
        <f>VLOOKUP('Customer Info'!E2912,'Customer Info'!E2912:E3411,1,0)</f>
        <v>#N/A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24</v>
      </c>
      <c r="R2920" s="2" t="s">
        <v>28</v>
      </c>
      <c r="S2920" s="9">
        <f t="shared" si="229"/>
        <v>0.02</v>
      </c>
    </row>
    <row r="2921" spans="1:19" x14ac:dyDescent="0.3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e">
        <f>VLOOKUP('Customer Info'!B2913,'Customer Info'!B2913:B3412,1,0)</f>
        <v>#N/A</v>
      </c>
      <c r="H2921" s="6" t="e">
        <f>VLOOKUP('Customer Info'!C2913,'Customer Info'!C2913:C3412,1)</f>
        <v>#N/A</v>
      </c>
      <c r="I2921" s="6" t="e">
        <f>VLOOKUP('Customer Info'!E2913,'Customer Info'!E2913:E3412,1,0)</f>
        <v>#N/A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732</v>
      </c>
      <c r="R2921" s="2" t="s">
        <v>28</v>
      </c>
      <c r="S2921" s="9">
        <f t="shared" si="229"/>
        <v>0.05</v>
      </c>
    </row>
    <row r="2922" spans="1:19" x14ac:dyDescent="0.3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e">
        <f>VLOOKUP('Customer Info'!B2914,'Customer Info'!B2914:B3413,1,0)</f>
        <v>#N/A</v>
      </c>
      <c r="H2922" s="6" t="e">
        <f>VLOOKUP('Customer Info'!C2914,'Customer Info'!C2914:C3413,1)</f>
        <v>#N/A</v>
      </c>
      <c r="I2922" s="6" t="e">
        <f>VLOOKUP('Customer Info'!E2914,'Customer Info'!E2914:E3413,1,0)</f>
        <v>#N/A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86</v>
      </c>
      <c r="R2922" s="2" t="s">
        <v>28</v>
      </c>
      <c r="S2922" s="9">
        <f t="shared" si="229"/>
        <v>0.02</v>
      </c>
    </row>
    <row r="2923" spans="1:19" x14ac:dyDescent="0.3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e">
        <f>VLOOKUP('Customer Info'!B2915,'Customer Info'!B2915:B3414,1,0)</f>
        <v>#N/A</v>
      </c>
      <c r="H2923" s="6" t="e">
        <f>VLOOKUP('Customer Info'!C2915,'Customer Info'!C2915:C3414,1)</f>
        <v>#N/A</v>
      </c>
      <c r="I2923" s="6" t="e">
        <f>VLOOKUP('Customer Info'!E2915,'Customer Info'!E2915:E3414,1,0)</f>
        <v>#N/A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204</v>
      </c>
      <c r="R2923" s="2" t="s">
        <v>28</v>
      </c>
      <c r="S2923" s="9">
        <f t="shared" si="229"/>
        <v>0.05</v>
      </c>
    </row>
    <row r="2924" spans="1:19" x14ac:dyDescent="0.3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e">
        <f>VLOOKUP('Customer Info'!B2916,'Customer Info'!B2916:B3415,1,0)</f>
        <v>#N/A</v>
      </c>
      <c r="H2924" s="6" t="e">
        <f>VLOOKUP('Customer Info'!C2916,'Customer Info'!C2916:C3415,1)</f>
        <v>#N/A</v>
      </c>
      <c r="I2924" s="6" t="e">
        <f>VLOOKUP('Customer Info'!E2916,'Customer Info'!E2916:E3415,1,0)</f>
        <v>#N/A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269</v>
      </c>
      <c r="R2924" s="2" t="s">
        <v>26</v>
      </c>
      <c r="S2924" s="9">
        <f t="shared" si="229"/>
        <v>0.02</v>
      </c>
    </row>
    <row r="2925" spans="1:19" x14ac:dyDescent="0.3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e">
        <f>VLOOKUP('Customer Info'!B2917,'Customer Info'!B2917:B3416,1,0)</f>
        <v>#N/A</v>
      </c>
      <c r="H2925" s="6" t="e">
        <f>VLOOKUP('Customer Info'!C2917,'Customer Info'!C2917:C3416,1)</f>
        <v>#N/A</v>
      </c>
      <c r="I2925" s="6" t="e">
        <f>VLOOKUP('Customer Info'!E2917,'Customer Info'!E2917:E3416,1,0)</f>
        <v>#N/A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1170</v>
      </c>
      <c r="R2925" s="2" t="s">
        <v>50</v>
      </c>
      <c r="S2925" s="9">
        <f t="shared" si="229"/>
        <v>0.05</v>
      </c>
    </row>
    <row r="2926" spans="1:19" x14ac:dyDescent="0.3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e">
        <f>VLOOKUP('Customer Info'!B2918,'Customer Info'!B2918:B3417,1,0)</f>
        <v>#N/A</v>
      </c>
      <c r="H2926" s="6" t="e">
        <f>VLOOKUP('Customer Info'!C2918,'Customer Info'!C2918:C3417,1)</f>
        <v>#N/A</v>
      </c>
      <c r="I2926" s="6" t="e">
        <f>VLOOKUP('Customer Info'!E2918,'Customer Info'!E2918:E3417,1,0)</f>
        <v>#N/A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156</v>
      </c>
      <c r="R2926" s="2" t="s">
        <v>50</v>
      </c>
      <c r="S2926" s="9">
        <f t="shared" si="229"/>
        <v>0.02</v>
      </c>
    </row>
    <row r="2927" spans="1:19" x14ac:dyDescent="0.3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e">
        <f>VLOOKUP('Customer Info'!B2919,'Customer Info'!B2919:B3418,1,0)</f>
        <v>#N/A</v>
      </c>
      <c r="H2927" s="6" t="e">
        <f>VLOOKUP('Customer Info'!C2919,'Customer Info'!C2919:C3418,1)</f>
        <v>#N/A</v>
      </c>
      <c r="I2927" s="6" t="e">
        <f>VLOOKUP('Customer Info'!E2919,'Customer Info'!E2919:E3418,1,0)</f>
        <v>#N/A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338</v>
      </c>
      <c r="R2927" s="2" t="s">
        <v>28</v>
      </c>
      <c r="S2927" s="9">
        <f t="shared" si="229"/>
        <v>0.05</v>
      </c>
    </row>
    <row r="2928" spans="1:19" x14ac:dyDescent="0.3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e">
        <f>VLOOKUP('Customer Info'!B2920,'Customer Info'!B2920:B3419,1,0)</f>
        <v>#N/A</v>
      </c>
      <c r="H2928" s="6" t="e">
        <f>VLOOKUP('Customer Info'!C2920,'Customer Info'!C2920:C3419,1)</f>
        <v>#N/A</v>
      </c>
      <c r="I2928" s="6" t="e">
        <f>VLOOKUP('Customer Info'!E2920,'Customer Info'!E2920:E3419,1,0)</f>
        <v>#N/A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36</v>
      </c>
      <c r="R2928" s="2" t="s">
        <v>50</v>
      </c>
      <c r="S2928" s="9">
        <f t="shared" si="229"/>
        <v>0.02</v>
      </c>
    </row>
    <row r="2929" spans="1:19" x14ac:dyDescent="0.3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e">
        <f>VLOOKUP('Customer Info'!B2921,'Customer Info'!B2921:B3420,1,0)</f>
        <v>#N/A</v>
      </c>
      <c r="H2929" s="6" t="e">
        <f>VLOOKUP('Customer Info'!C2921,'Customer Info'!C2921:C3420,1)</f>
        <v>#N/A</v>
      </c>
      <c r="I2929" s="6" t="e">
        <f>VLOOKUP('Customer Info'!E2921,'Customer Info'!E2921:E3420,1,0)</f>
        <v>#N/A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172</v>
      </c>
      <c r="R2929" s="2" t="s">
        <v>50</v>
      </c>
      <c r="S2929" s="9">
        <f t="shared" si="229"/>
        <v>0.02</v>
      </c>
    </row>
    <row r="2930" spans="1:19" x14ac:dyDescent="0.3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e">
        <f>VLOOKUP('Customer Info'!B2922,'Customer Info'!B2922:B3421,1,0)</f>
        <v>#N/A</v>
      </c>
      <c r="H2930" s="6" t="e">
        <f>VLOOKUP('Customer Info'!C2922,'Customer Info'!C2922:C3421,1)</f>
        <v>#N/A</v>
      </c>
      <c r="I2930" s="6" t="e">
        <f>VLOOKUP('Customer Info'!E2922,'Customer Info'!E2922:E3421,1,0)</f>
        <v>#N/A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120</v>
      </c>
      <c r="R2930" s="2" t="s">
        <v>28</v>
      </c>
      <c r="S2930" s="9">
        <f t="shared" si="229"/>
        <v>0.02</v>
      </c>
    </row>
    <row r="2931" spans="1:19" x14ac:dyDescent="0.3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e">
        <f>VLOOKUP('Customer Info'!B2923,'Customer Info'!B2923:B3422,1,0)</f>
        <v>#N/A</v>
      </c>
      <c r="H2931" s="6" t="e">
        <f>VLOOKUP('Customer Info'!C2923,'Customer Info'!C2923:C3422,1)</f>
        <v>#N/A</v>
      </c>
      <c r="I2931" s="6" t="e">
        <f>VLOOKUP('Customer Info'!E2923,'Customer Info'!E2923:E3422,1,0)</f>
        <v>#N/A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33</v>
      </c>
      <c r="R2931" s="2" t="s">
        <v>28</v>
      </c>
      <c r="S2931" s="9">
        <f t="shared" si="229"/>
        <v>0.02</v>
      </c>
    </row>
    <row r="2932" spans="1:19" x14ac:dyDescent="0.3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e">
        <f>VLOOKUP('Customer Info'!B2924,'Customer Info'!B2924:B3423,1,0)</f>
        <v>#N/A</v>
      </c>
      <c r="H2932" s="6" t="e">
        <f>VLOOKUP('Customer Info'!C2924,'Customer Info'!C2924:C3423,1)</f>
        <v>#N/A</v>
      </c>
      <c r="I2932" s="6" t="e">
        <f>VLOOKUP('Customer Info'!E2924,'Customer Info'!E2924:E3423,1,0)</f>
        <v>#N/A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321</v>
      </c>
      <c r="R2932" s="2" t="s">
        <v>50</v>
      </c>
      <c r="S2932" s="9">
        <f t="shared" si="229"/>
        <v>0.02</v>
      </c>
    </row>
    <row r="2933" spans="1:19" x14ac:dyDescent="0.3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e">
        <f>VLOOKUP('Customer Info'!B2925,'Customer Info'!B2925:B3424,1,0)</f>
        <v>#N/A</v>
      </c>
      <c r="H2933" s="6" t="e">
        <f>VLOOKUP('Customer Info'!C2925,'Customer Info'!C2925:C3424,1)</f>
        <v>#N/A</v>
      </c>
      <c r="I2933" s="6" t="e">
        <f>VLOOKUP('Customer Info'!E2925,'Customer Info'!E2925:E3424,1,0)</f>
        <v>#N/A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1728</v>
      </c>
      <c r="R2933" s="2" t="s">
        <v>28</v>
      </c>
      <c r="S2933" s="9">
        <f t="shared" si="229"/>
        <v>7.0000000000000007E-2</v>
      </c>
    </row>
    <row r="2934" spans="1:19" x14ac:dyDescent="0.3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e">
        <f>VLOOKUP('Customer Info'!B2926,'Customer Info'!B2926:B3425,1,0)</f>
        <v>#N/A</v>
      </c>
      <c r="H2934" s="6" t="e">
        <f>VLOOKUP('Customer Info'!C2926,'Customer Info'!C2926:C3425,1)</f>
        <v>#N/A</v>
      </c>
      <c r="I2934" s="6" t="e">
        <f>VLOOKUP('Customer Info'!E2926,'Customer Info'!E2926:E3425,1,0)</f>
        <v>#N/A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135</v>
      </c>
      <c r="R2934" s="2" t="s">
        <v>56</v>
      </c>
      <c r="S2934" s="9">
        <f t="shared" si="229"/>
        <v>0.05</v>
      </c>
    </row>
    <row r="2935" spans="1:19" x14ac:dyDescent="0.3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e">
        <f>VLOOKUP('Customer Info'!B2927,'Customer Info'!B2927:B3426,1,0)</f>
        <v>#N/A</v>
      </c>
      <c r="H2935" s="6" t="e">
        <f>VLOOKUP('Customer Info'!C2927,'Customer Info'!C2927:C3426,1)</f>
        <v>#N/A</v>
      </c>
      <c r="I2935" s="6" t="e">
        <f>VLOOKUP('Customer Info'!E2927,'Customer Info'!E2927:E3426,1,0)</f>
        <v>#N/A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50</v>
      </c>
      <c r="R2935" s="2" t="s">
        <v>28</v>
      </c>
      <c r="S2935" s="9">
        <f t="shared" si="229"/>
        <v>0.02</v>
      </c>
    </row>
    <row r="2936" spans="1:19" x14ac:dyDescent="0.3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e">
        <f>VLOOKUP('Customer Info'!B2928,'Customer Info'!B2928:B3427,1,0)</f>
        <v>#N/A</v>
      </c>
      <c r="H2936" s="6" t="e">
        <f>VLOOKUP('Customer Info'!C2928,'Customer Info'!C2928:C3427,1)</f>
        <v>#N/A</v>
      </c>
      <c r="I2936" s="6" t="e">
        <f>VLOOKUP('Customer Info'!E2928,'Customer Info'!E2928:E3427,1,0)</f>
        <v>#N/A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1953</v>
      </c>
      <c r="R2936" s="2" t="s">
        <v>56</v>
      </c>
      <c r="S2936" s="9">
        <f t="shared" si="229"/>
        <v>7.0000000000000007E-2</v>
      </c>
    </row>
    <row r="2937" spans="1:19" x14ac:dyDescent="0.3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e">
        <f>VLOOKUP('Customer Info'!B2929,'Customer Info'!B2929:B3428,1,0)</f>
        <v>#N/A</v>
      </c>
      <c r="H2937" s="6" t="e">
        <f>VLOOKUP('Customer Info'!C2929,'Customer Info'!C2929:C3428,1)</f>
        <v>#N/A</v>
      </c>
      <c r="I2937" s="6" t="e">
        <f>VLOOKUP('Customer Info'!E2929,'Customer Info'!E2929:E3428,1,0)</f>
        <v>#N/A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590</v>
      </c>
      <c r="R2937" s="2" t="s">
        <v>28</v>
      </c>
      <c r="S2937" s="9">
        <f t="shared" si="229"/>
        <v>0.05</v>
      </c>
    </row>
    <row r="2938" spans="1:19" x14ac:dyDescent="0.3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e">
        <f>VLOOKUP('Customer Info'!B2930,'Customer Info'!B2930:B3429,1,0)</f>
        <v>#N/A</v>
      </c>
      <c r="H2938" s="6" t="e">
        <f>VLOOKUP('Customer Info'!C2930,'Customer Info'!C2930:C3429,1)</f>
        <v>#N/A</v>
      </c>
      <c r="I2938" s="6" t="e">
        <f>VLOOKUP('Customer Info'!E2930,'Customer Info'!E2930:E3429,1,0)</f>
        <v>#N/A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462</v>
      </c>
      <c r="R2938" s="2" t="s">
        <v>28</v>
      </c>
      <c r="S2938" s="9">
        <f t="shared" si="229"/>
        <v>0.05</v>
      </c>
    </row>
    <row r="2939" spans="1:19" x14ac:dyDescent="0.3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e">
        <f>VLOOKUP('Customer Info'!B2931,'Customer Info'!B2931:B3430,1,0)</f>
        <v>#N/A</v>
      </c>
      <c r="H2939" s="6" t="e">
        <f>VLOOKUP('Customer Info'!C2931,'Customer Info'!C2931:C3430,1)</f>
        <v>#N/A</v>
      </c>
      <c r="I2939" s="6" t="e">
        <f>VLOOKUP('Customer Info'!E2931,'Customer Info'!E2931:E3430,1,0)</f>
        <v>#N/A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540</v>
      </c>
      <c r="R2939" s="2" t="s">
        <v>28</v>
      </c>
      <c r="S2939" s="9">
        <f t="shared" si="229"/>
        <v>0.02</v>
      </c>
    </row>
    <row r="2940" spans="1:19" x14ac:dyDescent="0.3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e">
        <f>VLOOKUP('Customer Info'!B2932,'Customer Info'!B2932:B3431,1,0)</f>
        <v>#N/A</v>
      </c>
      <c r="H2940" s="6" t="e">
        <f>VLOOKUP('Customer Info'!C2932,'Customer Info'!C2932:C3431,1)</f>
        <v>#N/A</v>
      </c>
      <c r="I2940" s="6" t="e">
        <f>VLOOKUP('Customer Info'!E2932,'Customer Info'!E2932:E3431,1,0)</f>
        <v>#N/A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876</v>
      </c>
      <c r="R2940" s="2" t="s">
        <v>28</v>
      </c>
      <c r="S2940" s="9">
        <f t="shared" si="229"/>
        <v>0.05</v>
      </c>
    </row>
    <row r="2941" spans="1:19" x14ac:dyDescent="0.3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e">
        <f>VLOOKUP('Customer Info'!B2933,'Customer Info'!B2933:B3432,1,0)</f>
        <v>#N/A</v>
      </c>
      <c r="H2941" s="6" t="e">
        <f>VLOOKUP('Customer Info'!C2933,'Customer Info'!C2933:C3432,1)</f>
        <v>#N/A</v>
      </c>
      <c r="I2941" s="6" t="e">
        <f>VLOOKUP('Customer Info'!E2933,'Customer Info'!E2933:E3432,1,0)</f>
        <v>#N/A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256</v>
      </c>
      <c r="R2941" s="2" t="s">
        <v>26</v>
      </c>
      <c r="S2941" s="9">
        <f t="shared" si="229"/>
        <v>0.05</v>
      </c>
    </row>
    <row r="2942" spans="1:19" x14ac:dyDescent="0.3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e">
        <f>VLOOKUP('Customer Info'!B2934,'Customer Info'!B2934:B3433,1,0)</f>
        <v>#N/A</v>
      </c>
      <c r="H2942" s="6" t="e">
        <f>VLOOKUP('Customer Info'!C2934,'Customer Info'!C2934:C3433,1)</f>
        <v>#N/A</v>
      </c>
      <c r="I2942" s="6" t="e">
        <f>VLOOKUP('Customer Info'!E2934,'Customer Info'!E2934:E3433,1,0)</f>
        <v>#N/A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865</v>
      </c>
      <c r="R2942" s="2" t="s">
        <v>28</v>
      </c>
      <c r="S2942" s="9">
        <f t="shared" si="229"/>
        <v>0.05</v>
      </c>
    </row>
    <row r="2943" spans="1:19" x14ac:dyDescent="0.3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e">
        <f>VLOOKUP('Customer Info'!B2935,'Customer Info'!B2935:B3434,1,0)</f>
        <v>#N/A</v>
      </c>
      <c r="H2943" s="6" t="e">
        <f>VLOOKUP('Customer Info'!C2935,'Customer Info'!C2935:C3434,1)</f>
        <v>#N/A</v>
      </c>
      <c r="I2943" s="6" t="e">
        <f>VLOOKUP('Customer Info'!E2935,'Customer Info'!E2935:E3434,1,0)</f>
        <v>#N/A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14</v>
      </c>
      <c r="R2943" s="2" t="s">
        <v>28</v>
      </c>
      <c r="S2943" s="9">
        <f t="shared" si="229"/>
        <v>0.02</v>
      </c>
    </row>
    <row r="2944" spans="1:19" x14ac:dyDescent="0.3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e">
        <f>VLOOKUP('Customer Info'!B2936,'Customer Info'!B2936:B3435,1,0)</f>
        <v>#N/A</v>
      </c>
      <c r="H2944" s="6" t="e">
        <f>VLOOKUP('Customer Info'!C2936,'Customer Info'!C2936:C3435,1)</f>
        <v>#N/A</v>
      </c>
      <c r="I2944" s="6" t="e">
        <f>VLOOKUP('Customer Info'!E2936,'Customer Info'!E2936:E3435,1,0)</f>
        <v>#N/A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91</v>
      </c>
      <c r="R2944" s="2" t="s">
        <v>26</v>
      </c>
      <c r="S2944" s="9">
        <f t="shared" si="229"/>
        <v>0.02</v>
      </c>
    </row>
    <row r="2945" spans="1:19" x14ac:dyDescent="0.3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e">
        <f>VLOOKUP('Customer Info'!B2937,'Customer Info'!B2937:B3436,1,0)</f>
        <v>#N/A</v>
      </c>
      <c r="H2945" s="6" t="e">
        <f>VLOOKUP('Customer Info'!C2937,'Customer Info'!C2937:C3436,1)</f>
        <v>#N/A</v>
      </c>
      <c r="I2945" s="6" t="e">
        <f>VLOOKUP('Customer Info'!E2937,'Customer Info'!E2937:E3436,1,0)</f>
        <v>#N/A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918</v>
      </c>
      <c r="R2945" s="2" t="s">
        <v>28</v>
      </c>
      <c r="S2945" s="9">
        <f t="shared" si="229"/>
        <v>0.05</v>
      </c>
    </row>
    <row r="2946" spans="1:19" x14ac:dyDescent="0.3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e">
        <f>VLOOKUP('Customer Info'!B2938,'Customer Info'!B2938:B3437,1,0)</f>
        <v>#N/A</v>
      </c>
      <c r="H2946" s="6" t="e">
        <f>VLOOKUP('Customer Info'!C2938,'Customer Info'!C2938:C3437,1)</f>
        <v>#N/A</v>
      </c>
      <c r="I2946" s="6" t="e">
        <f>VLOOKUP('Customer Info'!E2938,'Customer Info'!E2938:E3437,1,0)</f>
        <v>#N/A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180</v>
      </c>
      <c r="R2946" s="2" t="s">
        <v>50</v>
      </c>
      <c r="S2946" s="9">
        <f t="shared" si="229"/>
        <v>0.05</v>
      </c>
    </row>
    <row r="2947" spans="1:19" x14ac:dyDescent="0.3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e">
        <f>VLOOKUP('Customer Info'!B2939,'Customer Info'!B2939:B3438,1,0)</f>
        <v>#N/A</v>
      </c>
      <c r="H2947" s="6" t="e">
        <f>VLOOKUP('Customer Info'!C2939,'Customer Info'!C2939:C3438,1)</f>
        <v>#N/A</v>
      </c>
      <c r="I2947" s="6" t="e">
        <f>VLOOKUP('Customer Info'!E2939,'Customer Info'!E2939:E3438,1,0)</f>
        <v>#N/A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919</v>
      </c>
      <c r="R2947" s="2" t="s">
        <v>26</v>
      </c>
      <c r="S2947" s="9">
        <f t="shared" si="229"/>
        <v>0.05</v>
      </c>
    </row>
    <row r="2948" spans="1:19" x14ac:dyDescent="0.3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e">
        <f>VLOOKUP('Customer Info'!B2940,'Customer Info'!B2940:B3439,1,0)</f>
        <v>#N/A</v>
      </c>
      <c r="H2948" s="6" t="e">
        <f>VLOOKUP('Customer Info'!C2940,'Customer Info'!C2940:C3439,1)</f>
        <v>#N/A</v>
      </c>
      <c r="I2948" s="6" t="e">
        <f>VLOOKUP('Customer Info'!E2940,'Customer Info'!E2940:E3439,1,0)</f>
        <v>#N/A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64</v>
      </c>
      <c r="R2948" s="2" t="s">
        <v>28</v>
      </c>
      <c r="S2948" s="9">
        <f t="shared" si="229"/>
        <v>0.02</v>
      </c>
    </row>
    <row r="2949" spans="1:19" x14ac:dyDescent="0.3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e">
        <f>VLOOKUP('Customer Info'!B2941,'Customer Info'!B2941:B3440,1,0)</f>
        <v>#N/A</v>
      </c>
      <c r="H2949" s="6" t="e">
        <f>VLOOKUP('Customer Info'!C2941,'Customer Info'!C2941:C3440,1)</f>
        <v>#N/A</v>
      </c>
      <c r="I2949" s="6" t="e">
        <f>VLOOKUP('Customer Info'!E2941,'Customer Info'!E2941:E3440,1,0)</f>
        <v>#N/A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1188</v>
      </c>
      <c r="R2949" s="2" t="s">
        <v>28</v>
      </c>
      <c r="S2949" s="9">
        <f t="shared" si="229"/>
        <v>0.05</v>
      </c>
    </row>
    <row r="2950" spans="1:19" x14ac:dyDescent="0.3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e">
        <f>VLOOKUP('Customer Info'!B2942,'Customer Info'!B2942:B3441,1,0)</f>
        <v>#N/A</v>
      </c>
      <c r="H2950" s="6" t="e">
        <f>VLOOKUP('Customer Info'!C2942,'Customer Info'!C2942:C3441,1)</f>
        <v>#N/A</v>
      </c>
      <c r="I2950" s="6" t="e">
        <f>VLOOKUP('Customer Info'!E2942,'Customer Info'!E2942:E3441,1,0)</f>
        <v>#N/A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10</v>
      </c>
      <c r="R2950" s="2" t="s">
        <v>28</v>
      </c>
      <c r="S2950" s="9">
        <f t="shared" si="229"/>
        <v>0.02</v>
      </c>
    </row>
    <row r="2951" spans="1:19" x14ac:dyDescent="0.3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e">
        <f>VLOOKUP('Customer Info'!B2943,'Customer Info'!B2943:B3442,1,0)</f>
        <v>#N/A</v>
      </c>
      <c r="H2951" s="6" t="e">
        <f>VLOOKUP('Customer Info'!C2943,'Customer Info'!C2943:C3442,1)</f>
        <v>#N/A</v>
      </c>
      <c r="I2951" s="6" t="e">
        <f>VLOOKUP('Customer Info'!E2943,'Customer Info'!E2943:E3442,1,0)</f>
        <v>#N/A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73</v>
      </c>
      <c r="R2951" s="2" t="s">
        <v>28</v>
      </c>
      <c r="S2951" s="9">
        <f t="shared" si="229"/>
        <v>0.02</v>
      </c>
    </row>
    <row r="2952" spans="1:19" x14ac:dyDescent="0.3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e">
        <f>VLOOKUP('Customer Info'!B2944,'Customer Info'!B2944:B3443,1,0)</f>
        <v>#N/A</v>
      </c>
      <c r="H2952" s="6" t="e">
        <f>VLOOKUP('Customer Info'!C2944,'Customer Info'!C2944:C3443,1)</f>
        <v>#N/A</v>
      </c>
      <c r="I2952" s="6" t="e">
        <f>VLOOKUP('Customer Info'!E2944,'Customer Info'!E2944:E3443,1,0)</f>
        <v>#N/A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15</v>
      </c>
      <c r="R2952" s="2" t="s">
        <v>26</v>
      </c>
      <c r="S2952" s="9">
        <f t="shared" si="229"/>
        <v>0.02</v>
      </c>
    </row>
    <row r="2953" spans="1:19" x14ac:dyDescent="0.3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e">
        <f>VLOOKUP('Customer Info'!B2945,'Customer Info'!B2945:B3444,1,0)</f>
        <v>#N/A</v>
      </c>
      <c r="H2953" s="6" t="e">
        <f>VLOOKUP('Customer Info'!C2945,'Customer Info'!C2945:C3444,1)</f>
        <v>#N/A</v>
      </c>
      <c r="I2953" s="6" t="e">
        <f>VLOOKUP('Customer Info'!E2945,'Customer Info'!E2945:E3444,1,0)</f>
        <v>#N/A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20</v>
      </c>
      <c r="R2953" s="2" t="s">
        <v>50</v>
      </c>
      <c r="S2953" s="9">
        <f t="shared" si="229"/>
        <v>0.02</v>
      </c>
    </row>
    <row r="2954" spans="1:19" x14ac:dyDescent="0.3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e">
        <f>VLOOKUP('Customer Info'!B2946,'Customer Info'!B2946:B3445,1,0)</f>
        <v>#N/A</v>
      </c>
      <c r="H2954" s="6" t="e">
        <f>VLOOKUP('Customer Info'!C2946,'Customer Info'!C2946:C3445,1)</f>
        <v>#N/A</v>
      </c>
      <c r="I2954" s="6" t="e">
        <f>VLOOKUP('Customer Info'!E2946,'Customer Info'!E2946:E3445,1,0)</f>
        <v>#N/A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132</v>
      </c>
      <c r="R2954" s="2" t="s">
        <v>50</v>
      </c>
      <c r="S2954" s="9">
        <f t="shared" si="229"/>
        <v>0.02</v>
      </c>
    </row>
    <row r="2955" spans="1:19" x14ac:dyDescent="0.3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e">
        <f>VLOOKUP('Customer Info'!B2947,'Customer Info'!B2947:B3446,1,0)</f>
        <v>#N/A</v>
      </c>
      <c r="H2955" s="6" t="e">
        <f>VLOOKUP('Customer Info'!C2947,'Customer Info'!C2947:C3446,1)</f>
        <v>#N/A</v>
      </c>
      <c r="I2955" s="6" t="e">
        <f>VLOOKUP('Customer Info'!E2947,'Customer Info'!E2947:E3446,1,0)</f>
        <v>#N/A</v>
      </c>
      <c r="J2955" s="2">
        <v>520</v>
      </c>
      <c r="K2955" s="2">
        <v>477</v>
      </c>
      <c r="L2955" s="2">
        <v>4</v>
      </c>
      <c r="M2955" s="7">
        <f t="shared" ref="M2955:M3018" si="230">(K2955*L2955)</f>
        <v>1908</v>
      </c>
      <c r="N2955" s="7">
        <f t="shared" ref="N2955:N3018" si="231">(J2955*L2955)</f>
        <v>2080</v>
      </c>
      <c r="O2955" s="2">
        <v>72</v>
      </c>
      <c r="P2955" s="8">
        <f t="shared" ref="P2955:P3018" si="232">(N2955+O2955)</f>
        <v>2152</v>
      </c>
      <c r="Q2955" s="8">
        <f t="shared" ref="Q2955:Q3018" si="233">(N2955-M2955)</f>
        <v>172</v>
      </c>
      <c r="R2955" s="2" t="s">
        <v>50</v>
      </c>
      <c r="S2955" s="9">
        <f t="shared" ref="S2955:S3018" si="234">_xlfn.IFS(P2955&gt;250000,0.15,P2955&gt;100000,0.12,P2955&gt;50000,0.09,P2955&gt;25000,0.07,P2955&gt;5000,0.05,
 TRUE,0.02)</f>
        <v>0.02</v>
      </c>
    </row>
    <row r="2956" spans="1:19" x14ac:dyDescent="0.3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e">
        <f>VLOOKUP('Customer Info'!B2948,'Customer Info'!B2948:B3447,1,0)</f>
        <v>#N/A</v>
      </c>
      <c r="H2956" s="6" t="e">
        <f>VLOOKUP('Customer Info'!C2948,'Customer Info'!C2948:C3447,1)</f>
        <v>#N/A</v>
      </c>
      <c r="I2956" s="6" t="e">
        <f>VLOOKUP('Customer Info'!E2948,'Customer Info'!E2948:E3447,1,0)</f>
        <v>#N/A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875</v>
      </c>
      <c r="R2956" s="2" t="s">
        <v>28</v>
      </c>
      <c r="S2956" s="9">
        <f t="shared" si="234"/>
        <v>0.05</v>
      </c>
    </row>
    <row r="2957" spans="1:19" x14ac:dyDescent="0.3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e">
        <f>VLOOKUP('Customer Info'!B2949,'Customer Info'!B2949:B3448,1,0)</f>
        <v>#N/A</v>
      </c>
      <c r="H2957" s="6" t="e">
        <f>VLOOKUP('Customer Info'!C2949,'Customer Info'!C2949:C3448,1)</f>
        <v>#N/A</v>
      </c>
      <c r="I2957" s="6" t="e">
        <f>VLOOKUP('Customer Info'!E2949,'Customer Info'!E2949:E3448,1,0)</f>
        <v>#N/A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1665</v>
      </c>
      <c r="R2957" s="2" t="s">
        <v>56</v>
      </c>
      <c r="S2957" s="9">
        <f t="shared" si="234"/>
        <v>0.05</v>
      </c>
    </row>
    <row r="2958" spans="1:19" x14ac:dyDescent="0.3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e">
        <f>VLOOKUP('Customer Info'!B2950,'Customer Info'!B2950:B3449,1,0)</f>
        <v>#N/A</v>
      </c>
      <c r="H2958" s="6" t="e">
        <f>VLOOKUP('Customer Info'!C2950,'Customer Info'!C2950:C3449,1)</f>
        <v>#N/A</v>
      </c>
      <c r="I2958" s="6" t="e">
        <f>VLOOKUP('Customer Info'!E2950,'Customer Info'!E2950:E3449,1,0)</f>
        <v>#N/A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840</v>
      </c>
      <c r="R2958" s="2" t="s">
        <v>50</v>
      </c>
      <c r="S2958" s="9">
        <f t="shared" si="234"/>
        <v>0.05</v>
      </c>
    </row>
    <row r="2959" spans="1:19" x14ac:dyDescent="0.3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e">
        <f>VLOOKUP('Customer Info'!B2951,'Customer Info'!B2951:B3450,1,0)</f>
        <v>#N/A</v>
      </c>
      <c r="H2959" s="6" t="e">
        <f>VLOOKUP('Customer Info'!C2951,'Customer Info'!C2951:C3450,1)</f>
        <v>#N/A</v>
      </c>
      <c r="I2959" s="6" t="e">
        <f>VLOOKUP('Customer Info'!E2951,'Customer Info'!E2951:E3450,1,0)</f>
        <v>#N/A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105</v>
      </c>
      <c r="R2959" s="2" t="s">
        <v>50</v>
      </c>
      <c r="S2959" s="9">
        <f t="shared" si="234"/>
        <v>0.02</v>
      </c>
    </row>
    <row r="2960" spans="1:19" x14ac:dyDescent="0.3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e">
        <f>VLOOKUP('Customer Info'!B2952,'Customer Info'!B2952:B3451,1,0)</f>
        <v>#N/A</v>
      </c>
      <c r="H2960" s="6" t="e">
        <f>VLOOKUP('Customer Info'!C2952,'Customer Info'!C2952:C3451,1)</f>
        <v>#N/A</v>
      </c>
      <c r="I2960" s="6" t="e">
        <f>VLOOKUP('Customer Info'!E2952,'Customer Info'!E2952:E3451,1,0)</f>
        <v>#N/A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24</v>
      </c>
      <c r="R2960" s="2" t="s">
        <v>50</v>
      </c>
      <c r="S2960" s="9">
        <f t="shared" si="234"/>
        <v>0.02</v>
      </c>
    </row>
    <row r="2961" spans="1:19" x14ac:dyDescent="0.3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e">
        <f>VLOOKUP('Customer Info'!B2953,'Customer Info'!B2953:B3452,1,0)</f>
        <v>#N/A</v>
      </c>
      <c r="H2961" s="6" t="e">
        <f>VLOOKUP('Customer Info'!C2953,'Customer Info'!C2953:C3452,1)</f>
        <v>#N/A</v>
      </c>
      <c r="I2961" s="6" t="e">
        <f>VLOOKUP('Customer Info'!E2953,'Customer Info'!E2953:E3452,1,0)</f>
        <v>#N/A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588</v>
      </c>
      <c r="R2961" s="2" t="s">
        <v>28</v>
      </c>
      <c r="S2961" s="9">
        <f t="shared" si="234"/>
        <v>0.05</v>
      </c>
    </row>
    <row r="2962" spans="1:19" x14ac:dyDescent="0.3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e">
        <f>VLOOKUP('Customer Info'!B2954,'Customer Info'!B2954:B3453,1,0)</f>
        <v>#N/A</v>
      </c>
      <c r="H2962" s="6" t="e">
        <f>VLOOKUP('Customer Info'!C2954,'Customer Info'!C2954:C3453,1)</f>
        <v>#N/A</v>
      </c>
      <c r="I2962" s="6" t="e">
        <f>VLOOKUP('Customer Info'!E2954,'Customer Info'!E2954:E3453,1,0)</f>
        <v>#N/A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1083</v>
      </c>
      <c r="R2962" s="2" t="s">
        <v>50</v>
      </c>
      <c r="S2962" s="9">
        <f t="shared" si="234"/>
        <v>0.05</v>
      </c>
    </row>
    <row r="2963" spans="1:19" x14ac:dyDescent="0.3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e">
        <f>VLOOKUP('Customer Info'!B2955,'Customer Info'!B2955:B3454,1,0)</f>
        <v>#N/A</v>
      </c>
      <c r="H2963" s="6" t="e">
        <f>VLOOKUP('Customer Info'!C2955,'Customer Info'!C2955:C3454,1)</f>
        <v>#N/A</v>
      </c>
      <c r="I2963" s="6" t="e">
        <f>VLOOKUP('Customer Info'!E2955,'Customer Info'!E2955:E3454,1,0)</f>
        <v>#N/A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288</v>
      </c>
      <c r="R2963" s="2" t="s">
        <v>28</v>
      </c>
      <c r="S2963" s="9">
        <f t="shared" si="234"/>
        <v>0.02</v>
      </c>
    </row>
    <row r="2964" spans="1:19" x14ac:dyDescent="0.3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e">
        <f>VLOOKUP('Customer Info'!B2956,'Customer Info'!B2956:B3455,1,0)</f>
        <v>#N/A</v>
      </c>
      <c r="H2964" s="6" t="e">
        <f>VLOOKUP('Customer Info'!C2956,'Customer Info'!C2956:C3455,1)</f>
        <v>#N/A</v>
      </c>
      <c r="I2964" s="6" t="e">
        <f>VLOOKUP('Customer Info'!E2956,'Customer Info'!E2956:E3455,1,0)</f>
        <v>#N/A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56</v>
      </c>
      <c r="R2964" s="2" t="s">
        <v>56</v>
      </c>
      <c r="S2964" s="9">
        <f t="shared" si="234"/>
        <v>0.02</v>
      </c>
    </row>
    <row r="2965" spans="1:19" x14ac:dyDescent="0.3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e">
        <f>VLOOKUP('Customer Info'!B2957,'Customer Info'!B2957:B3456,1,0)</f>
        <v>#N/A</v>
      </c>
      <c r="H2965" s="6" t="e">
        <f>VLOOKUP('Customer Info'!C2957,'Customer Info'!C2957:C3456,1)</f>
        <v>#N/A</v>
      </c>
      <c r="I2965" s="6" t="e">
        <f>VLOOKUP('Customer Info'!E2957,'Customer Info'!E2957:E3456,1,0)</f>
        <v>#N/A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18675</v>
      </c>
      <c r="R2965" s="2" t="s">
        <v>28</v>
      </c>
      <c r="S2965" s="9">
        <f t="shared" si="234"/>
        <v>0.12</v>
      </c>
    </row>
    <row r="2966" spans="1:19" x14ac:dyDescent="0.3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e">
        <f>VLOOKUP('Customer Info'!B2958,'Customer Info'!B2958:B3457,1,0)</f>
        <v>#N/A</v>
      </c>
      <c r="H2966" s="6" t="e">
        <f>VLOOKUP('Customer Info'!C2958,'Customer Info'!C2958:C3457,1)</f>
        <v>#N/A</v>
      </c>
      <c r="I2966" s="6" t="e">
        <f>VLOOKUP('Customer Info'!E2958,'Customer Info'!E2958:E3457,1,0)</f>
        <v>#N/A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558</v>
      </c>
      <c r="R2966" s="2" t="s">
        <v>28</v>
      </c>
      <c r="S2966" s="9">
        <f t="shared" si="234"/>
        <v>0.05</v>
      </c>
    </row>
    <row r="2967" spans="1:19" x14ac:dyDescent="0.3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e">
        <f>VLOOKUP('Customer Info'!B2959,'Customer Info'!B2959:B3458,1,0)</f>
        <v>#N/A</v>
      </c>
      <c r="H2967" s="6" t="e">
        <f>VLOOKUP('Customer Info'!C2959,'Customer Info'!C2959:C3458,1)</f>
        <v>#N/A</v>
      </c>
      <c r="I2967" s="6" t="e">
        <f>VLOOKUP('Customer Info'!E2959,'Customer Info'!E2959:E3458,1,0)</f>
        <v>#N/A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441</v>
      </c>
      <c r="R2967" s="2" t="s">
        <v>50</v>
      </c>
      <c r="S2967" s="9">
        <f t="shared" si="234"/>
        <v>0.05</v>
      </c>
    </row>
    <row r="2968" spans="1:19" x14ac:dyDescent="0.3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e">
        <f>VLOOKUP('Customer Info'!B2960,'Customer Info'!B2960:B3459,1,0)</f>
        <v>#N/A</v>
      </c>
      <c r="H2968" s="6" t="e">
        <f>VLOOKUP('Customer Info'!C2960,'Customer Info'!C2960:C3459,1)</f>
        <v>#N/A</v>
      </c>
      <c r="I2968" s="6" t="e">
        <f>VLOOKUP('Customer Info'!E2960,'Customer Info'!E2960:E3459,1,0)</f>
        <v>#N/A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975</v>
      </c>
      <c r="R2968" s="2" t="s">
        <v>28</v>
      </c>
      <c r="S2968" s="9">
        <f t="shared" si="234"/>
        <v>0.05</v>
      </c>
    </row>
    <row r="2969" spans="1:19" x14ac:dyDescent="0.3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e">
        <f>VLOOKUP('Customer Info'!B2961,'Customer Info'!B2961:B3460,1,0)</f>
        <v>#N/A</v>
      </c>
      <c r="H2969" s="6" t="e">
        <f>VLOOKUP('Customer Info'!C2961,'Customer Info'!C2961:C3460,1)</f>
        <v>#N/A</v>
      </c>
      <c r="I2969" s="6" t="e">
        <f>VLOOKUP('Customer Info'!E2961,'Customer Info'!E2961:E3460,1,0)</f>
        <v>#N/A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96</v>
      </c>
      <c r="R2969" s="2" t="s">
        <v>28</v>
      </c>
      <c r="S2969" s="9">
        <f t="shared" si="234"/>
        <v>0.02</v>
      </c>
    </row>
    <row r="2970" spans="1:19" x14ac:dyDescent="0.3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e">
        <f>VLOOKUP('Customer Info'!B2962,'Customer Info'!B2962:B3461,1,0)</f>
        <v>#N/A</v>
      </c>
      <c r="H2970" s="6" t="e">
        <f>VLOOKUP('Customer Info'!C2962,'Customer Info'!C2962:C3461,1)</f>
        <v>#N/A</v>
      </c>
      <c r="I2970" s="6" t="e">
        <f>VLOOKUP('Customer Info'!E2962,'Customer Info'!E2962:E3461,1,0)</f>
        <v>#N/A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615</v>
      </c>
      <c r="R2970" s="2" t="s">
        <v>50</v>
      </c>
      <c r="S2970" s="9">
        <f t="shared" si="234"/>
        <v>0.05</v>
      </c>
    </row>
    <row r="2971" spans="1:19" x14ac:dyDescent="0.3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e">
        <f>VLOOKUP('Customer Info'!B2963,'Customer Info'!B2963:B3462,1,0)</f>
        <v>#N/A</v>
      </c>
      <c r="H2971" s="6" t="e">
        <f>VLOOKUP('Customer Info'!C2963,'Customer Info'!C2963:C3462,1)</f>
        <v>#N/A</v>
      </c>
      <c r="I2971" s="6" t="e">
        <f>VLOOKUP('Customer Info'!E2963,'Customer Info'!E2963:E3462,1,0)</f>
        <v>#N/A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5</v>
      </c>
      <c r="R2971" s="2" t="s">
        <v>28</v>
      </c>
      <c r="S2971" s="9">
        <f t="shared" si="234"/>
        <v>0.02</v>
      </c>
    </row>
    <row r="2972" spans="1:19" x14ac:dyDescent="0.3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e">
        <f>VLOOKUP('Customer Info'!B2964,'Customer Info'!B2964:B3463,1,0)</f>
        <v>#N/A</v>
      </c>
      <c r="H2972" s="6" t="e">
        <f>VLOOKUP('Customer Info'!C2964,'Customer Info'!C2964:C3463,1)</f>
        <v>#N/A</v>
      </c>
      <c r="I2972" s="6" t="e">
        <f>VLOOKUP('Customer Info'!E2964,'Customer Info'!E2964:E3463,1,0)</f>
        <v>#N/A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620</v>
      </c>
      <c r="R2972" s="2" t="s">
        <v>26</v>
      </c>
      <c r="S2972" s="9">
        <f t="shared" si="234"/>
        <v>0.05</v>
      </c>
    </row>
    <row r="2973" spans="1:19" x14ac:dyDescent="0.3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e">
        <f>VLOOKUP('Customer Info'!B2965,'Customer Info'!B2965:B3464,1,0)</f>
        <v>#N/A</v>
      </c>
      <c r="H2973" s="6" t="e">
        <f>VLOOKUP('Customer Info'!C2965,'Customer Info'!C2965:C3464,1)</f>
        <v>#N/A</v>
      </c>
      <c r="I2973" s="6" t="e">
        <f>VLOOKUP('Customer Info'!E2965,'Customer Info'!E2965:E3464,1,0)</f>
        <v>#N/A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602</v>
      </c>
      <c r="R2973" s="2" t="s">
        <v>50</v>
      </c>
      <c r="S2973" s="9">
        <f t="shared" si="234"/>
        <v>0.05</v>
      </c>
    </row>
    <row r="2974" spans="1:19" x14ac:dyDescent="0.3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e">
        <f>VLOOKUP('Customer Info'!B2966,'Customer Info'!B2966:B3465,1,0)</f>
        <v>#N/A</v>
      </c>
      <c r="H2974" s="6" t="e">
        <f>VLOOKUP('Customer Info'!C2966,'Customer Info'!C2966:C3465,1)</f>
        <v>#N/A</v>
      </c>
      <c r="I2974" s="6" t="e">
        <f>VLOOKUP('Customer Info'!E2966,'Customer Info'!E2966:E3465,1,0)</f>
        <v>#N/A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9</v>
      </c>
      <c r="R2974" s="2" t="s">
        <v>50</v>
      </c>
      <c r="S2974" s="9">
        <f t="shared" si="234"/>
        <v>0.02</v>
      </c>
    </row>
    <row r="2975" spans="1:19" x14ac:dyDescent="0.3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e">
        <f>VLOOKUP('Customer Info'!B2967,'Customer Info'!B2967:B3466,1,0)</f>
        <v>#N/A</v>
      </c>
      <c r="H2975" s="6" t="e">
        <f>VLOOKUP('Customer Info'!C2967,'Customer Info'!C2967:C3466,1)</f>
        <v>#N/A</v>
      </c>
      <c r="I2975" s="6" t="e">
        <f>VLOOKUP('Customer Info'!E2967,'Customer Info'!E2967:E3466,1,0)</f>
        <v>#N/A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198</v>
      </c>
      <c r="R2975" s="2" t="s">
        <v>50</v>
      </c>
      <c r="S2975" s="9">
        <f t="shared" si="234"/>
        <v>0.02</v>
      </c>
    </row>
    <row r="2976" spans="1:19" x14ac:dyDescent="0.3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e">
        <f>VLOOKUP('Customer Info'!B2968,'Customer Info'!B2968:B3467,1,0)</f>
        <v>#N/A</v>
      </c>
      <c r="H2976" s="6" t="e">
        <f>VLOOKUP('Customer Info'!C2968,'Customer Info'!C2968:C3467,1)</f>
        <v>#N/A</v>
      </c>
      <c r="I2976" s="6" t="e">
        <f>VLOOKUP('Customer Info'!E2968,'Customer Info'!E2968:E3467,1,0)</f>
        <v>#N/A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24</v>
      </c>
      <c r="R2976" s="2" t="s">
        <v>28</v>
      </c>
      <c r="S2976" s="9">
        <f t="shared" si="234"/>
        <v>0.02</v>
      </c>
    </row>
    <row r="2977" spans="1:19" x14ac:dyDescent="0.3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e">
        <f>VLOOKUP('Customer Info'!B2969,'Customer Info'!B2969:B3468,1,0)</f>
        <v>#N/A</v>
      </c>
      <c r="H2977" s="6" t="e">
        <f>VLOOKUP('Customer Info'!C2969,'Customer Info'!C2969:C3468,1)</f>
        <v>#N/A</v>
      </c>
      <c r="I2977" s="6" t="e">
        <f>VLOOKUP('Customer Info'!E2969,'Customer Info'!E2969:E3468,1,0)</f>
        <v>#N/A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96</v>
      </c>
      <c r="R2977" s="2" t="s">
        <v>50</v>
      </c>
      <c r="S2977" s="9">
        <f t="shared" si="234"/>
        <v>0.02</v>
      </c>
    </row>
    <row r="2978" spans="1:19" x14ac:dyDescent="0.3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e">
        <f>VLOOKUP('Customer Info'!B2970,'Customer Info'!B2970:B3469,1,0)</f>
        <v>#N/A</v>
      </c>
      <c r="H2978" s="6" t="e">
        <f>VLOOKUP('Customer Info'!C2970,'Customer Info'!C2970:C3469,1)</f>
        <v>#N/A</v>
      </c>
      <c r="I2978" s="6" t="e">
        <f>VLOOKUP('Customer Info'!E2970,'Customer Info'!E2970:E3469,1,0)</f>
        <v>#N/A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279</v>
      </c>
      <c r="R2978" s="2" t="s">
        <v>26</v>
      </c>
      <c r="S2978" s="9">
        <f t="shared" si="234"/>
        <v>0.05</v>
      </c>
    </row>
    <row r="2979" spans="1:19" x14ac:dyDescent="0.3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e">
        <f>VLOOKUP('Customer Info'!B2971,'Customer Info'!B2971:B3470,1,0)</f>
        <v>#N/A</v>
      </c>
      <c r="H2979" s="6" t="e">
        <f>VLOOKUP('Customer Info'!C2971,'Customer Info'!C2971:C3470,1)</f>
        <v>#N/A</v>
      </c>
      <c r="I2979" s="6" t="e">
        <f>VLOOKUP('Customer Info'!E2971,'Customer Info'!E2971:E3470,1,0)</f>
        <v>#N/A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1416</v>
      </c>
      <c r="R2979" s="2" t="s">
        <v>28</v>
      </c>
      <c r="S2979" s="9">
        <f t="shared" si="234"/>
        <v>0.05</v>
      </c>
    </row>
    <row r="2980" spans="1:19" x14ac:dyDescent="0.3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e">
        <f>VLOOKUP('Customer Info'!B2972,'Customer Info'!B2972:B3471,1,0)</f>
        <v>#N/A</v>
      </c>
      <c r="H2980" s="6" t="e">
        <f>VLOOKUP('Customer Info'!C2972,'Customer Info'!C2972:C3471,1)</f>
        <v>#N/A</v>
      </c>
      <c r="I2980" s="6" t="e">
        <f>VLOOKUP('Customer Info'!E2972,'Customer Info'!E2972:E3471,1,0)</f>
        <v>#N/A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28</v>
      </c>
      <c r="R2980" s="2" t="s">
        <v>50</v>
      </c>
      <c r="S2980" s="9">
        <f t="shared" si="234"/>
        <v>0.02</v>
      </c>
    </row>
    <row r="2981" spans="1:19" x14ac:dyDescent="0.3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e">
        <f>VLOOKUP('Customer Info'!B2973,'Customer Info'!B2973:B3472,1,0)</f>
        <v>#N/A</v>
      </c>
      <c r="H2981" s="6" t="e">
        <f>VLOOKUP('Customer Info'!C2973,'Customer Info'!C2973:C3472,1)</f>
        <v>#N/A</v>
      </c>
      <c r="I2981" s="6" t="e">
        <f>VLOOKUP('Customer Info'!E2973,'Customer Info'!E2973:E3472,1,0)</f>
        <v>#N/A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2574</v>
      </c>
      <c r="R2981" s="2" t="s">
        <v>26</v>
      </c>
      <c r="S2981" s="9">
        <f t="shared" si="234"/>
        <v>7.0000000000000007E-2</v>
      </c>
    </row>
    <row r="2982" spans="1:19" x14ac:dyDescent="0.3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e">
        <f>VLOOKUP('Customer Info'!B2974,'Customer Info'!B2974:B3473,1,0)</f>
        <v>#N/A</v>
      </c>
      <c r="H2982" s="6" t="e">
        <f>VLOOKUP('Customer Info'!C2974,'Customer Info'!C2974:C3473,1)</f>
        <v>#N/A</v>
      </c>
      <c r="I2982" s="6" t="e">
        <f>VLOOKUP('Customer Info'!E2974,'Customer Info'!E2974:E3473,1,0)</f>
        <v>#N/A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335</v>
      </c>
      <c r="R2982" s="2" t="s">
        <v>50</v>
      </c>
      <c r="S2982" s="9">
        <f t="shared" si="234"/>
        <v>0.05</v>
      </c>
    </row>
    <row r="2983" spans="1:19" x14ac:dyDescent="0.3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e">
        <f>VLOOKUP('Customer Info'!B2975,'Customer Info'!B2975:B3474,1,0)</f>
        <v>#N/A</v>
      </c>
      <c r="H2983" s="6" t="e">
        <f>VLOOKUP('Customer Info'!C2975,'Customer Info'!C2975:C3474,1)</f>
        <v>#N/A</v>
      </c>
      <c r="I2983" s="6" t="e">
        <f>VLOOKUP('Customer Info'!E2975,'Customer Info'!E2975:E3474,1,0)</f>
        <v>#N/A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30</v>
      </c>
      <c r="R2983" s="2" t="s">
        <v>56</v>
      </c>
      <c r="S2983" s="9">
        <f t="shared" si="234"/>
        <v>0.02</v>
      </c>
    </row>
    <row r="2984" spans="1:19" x14ac:dyDescent="0.3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e">
        <f>VLOOKUP('Customer Info'!B2976,'Customer Info'!B2976:B3475,1,0)</f>
        <v>#N/A</v>
      </c>
      <c r="H2984" s="6" t="e">
        <f>VLOOKUP('Customer Info'!C2976,'Customer Info'!C2976:C3475,1)</f>
        <v>#N/A</v>
      </c>
      <c r="I2984" s="6" t="e">
        <f>VLOOKUP('Customer Info'!E2976,'Customer Info'!E2976:E3475,1,0)</f>
        <v>#N/A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364</v>
      </c>
      <c r="R2984" s="2" t="s">
        <v>50</v>
      </c>
      <c r="S2984" s="9">
        <f t="shared" si="234"/>
        <v>0.05</v>
      </c>
    </row>
    <row r="2985" spans="1:19" x14ac:dyDescent="0.3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e">
        <f>VLOOKUP('Customer Info'!B2977,'Customer Info'!B2977:B3476,1,0)</f>
        <v>#N/A</v>
      </c>
      <c r="H2985" s="6" t="e">
        <f>VLOOKUP('Customer Info'!C2977,'Customer Info'!C2977:C3476,1)</f>
        <v>#N/A</v>
      </c>
      <c r="I2985" s="6" t="e">
        <f>VLOOKUP('Customer Info'!E2977,'Customer Info'!E2977:E3476,1,0)</f>
        <v>#N/A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1083</v>
      </c>
      <c r="R2985" s="2" t="s">
        <v>28</v>
      </c>
      <c r="S2985" s="9">
        <f t="shared" si="234"/>
        <v>0.05</v>
      </c>
    </row>
    <row r="2986" spans="1:19" x14ac:dyDescent="0.3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e">
        <f>VLOOKUP('Customer Info'!B2978,'Customer Info'!B2978:B3477,1,0)</f>
        <v>#N/A</v>
      </c>
      <c r="H2986" s="6" t="e">
        <f>VLOOKUP('Customer Info'!C2978,'Customer Info'!C2978:C3477,1)</f>
        <v>#N/A</v>
      </c>
      <c r="I2986" s="6" t="e">
        <f>VLOOKUP('Customer Info'!E2978,'Customer Info'!E2978:E3477,1,0)</f>
        <v>#N/A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294</v>
      </c>
      <c r="R2986" s="2" t="s">
        <v>50</v>
      </c>
      <c r="S2986" s="9">
        <f t="shared" si="234"/>
        <v>0.02</v>
      </c>
    </row>
    <row r="2987" spans="1:19" x14ac:dyDescent="0.3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e">
        <f>VLOOKUP('Customer Info'!B2979,'Customer Info'!B2979:B3478,1,0)</f>
        <v>#N/A</v>
      </c>
      <c r="H2987" s="6" t="e">
        <f>VLOOKUP('Customer Info'!C2979,'Customer Info'!C2979:C3478,1)</f>
        <v>#N/A</v>
      </c>
      <c r="I2987" s="6" t="e">
        <f>VLOOKUP('Customer Info'!E2979,'Customer Info'!E2979:E3478,1,0)</f>
        <v>#N/A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55</v>
      </c>
      <c r="R2987" s="2" t="s">
        <v>28</v>
      </c>
      <c r="S2987" s="9">
        <f t="shared" si="234"/>
        <v>0.02</v>
      </c>
    </row>
    <row r="2988" spans="1:19" x14ac:dyDescent="0.3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e">
        <f>VLOOKUP('Customer Info'!B2980,'Customer Info'!B2980:B3479,1,0)</f>
        <v>#N/A</v>
      </c>
      <c r="H2988" s="6" t="e">
        <f>VLOOKUP('Customer Info'!C2980,'Customer Info'!C2980:C3479,1)</f>
        <v>#N/A</v>
      </c>
      <c r="I2988" s="6" t="e">
        <f>VLOOKUP('Customer Info'!E2980,'Customer Info'!E2980:E3479,1,0)</f>
        <v>#N/A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1068</v>
      </c>
      <c r="R2988" s="2" t="s">
        <v>28</v>
      </c>
      <c r="S2988" s="9">
        <f t="shared" si="234"/>
        <v>0.05</v>
      </c>
    </row>
    <row r="2989" spans="1:19" x14ac:dyDescent="0.3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e">
        <f>VLOOKUP('Customer Info'!B2981,'Customer Info'!B2981:B3480,1,0)</f>
        <v>#N/A</v>
      </c>
      <c r="H2989" s="6" t="e">
        <f>VLOOKUP('Customer Info'!C2981,'Customer Info'!C2981:C3480,1)</f>
        <v>#N/A</v>
      </c>
      <c r="I2989" s="6" t="e">
        <f>VLOOKUP('Customer Info'!E2981,'Customer Info'!E2981:E3480,1,0)</f>
        <v>#N/A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64</v>
      </c>
      <c r="R2989" s="2" t="s">
        <v>26</v>
      </c>
      <c r="S2989" s="9">
        <f t="shared" si="234"/>
        <v>0.02</v>
      </c>
    </row>
    <row r="2990" spans="1:19" x14ac:dyDescent="0.3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e">
        <f>VLOOKUP('Customer Info'!B2982,'Customer Info'!B2982:B3481,1,0)</f>
        <v>#N/A</v>
      </c>
      <c r="H2990" s="6" t="e">
        <f>VLOOKUP('Customer Info'!C2982,'Customer Info'!C2982:C3481,1)</f>
        <v>#N/A</v>
      </c>
      <c r="I2990" s="6" t="e">
        <f>VLOOKUP('Customer Info'!E2982,'Customer Info'!E2982:E3481,1,0)</f>
        <v>#N/A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10038</v>
      </c>
      <c r="R2990" s="2" t="s">
        <v>50</v>
      </c>
      <c r="S2990" s="9">
        <f t="shared" si="234"/>
        <v>0.12</v>
      </c>
    </row>
    <row r="2991" spans="1:19" x14ac:dyDescent="0.3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e">
        <f>VLOOKUP('Customer Info'!B2983,'Customer Info'!B2983:B3482,1,0)</f>
        <v>#N/A</v>
      </c>
      <c r="H2991" s="6" t="e">
        <f>VLOOKUP('Customer Info'!C2983,'Customer Info'!C2983:C3482,1)</f>
        <v>#N/A</v>
      </c>
      <c r="I2991" s="6" t="e">
        <f>VLOOKUP('Customer Info'!E2983,'Customer Info'!E2983:E3482,1,0)</f>
        <v>#N/A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95</v>
      </c>
      <c r="R2991" s="2" t="s">
        <v>28</v>
      </c>
      <c r="S2991" s="9">
        <f t="shared" si="234"/>
        <v>0.02</v>
      </c>
    </row>
    <row r="2992" spans="1:19" x14ac:dyDescent="0.3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e">
        <f>VLOOKUP('Customer Info'!B2984,'Customer Info'!B2984:B3483,1,0)</f>
        <v>#N/A</v>
      </c>
      <c r="H2992" s="6" t="e">
        <f>VLOOKUP('Customer Info'!C2984,'Customer Info'!C2984:C3483,1)</f>
        <v>#N/A</v>
      </c>
      <c r="I2992" s="6" t="e">
        <f>VLOOKUP('Customer Info'!E2984,'Customer Info'!E2984:E3483,1,0)</f>
        <v>#N/A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657</v>
      </c>
      <c r="R2992" s="2" t="s">
        <v>50</v>
      </c>
      <c r="S2992" s="9">
        <f t="shared" si="234"/>
        <v>0.05</v>
      </c>
    </row>
    <row r="2993" spans="1:19" x14ac:dyDescent="0.3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e">
        <f>VLOOKUP('Customer Info'!B2985,'Customer Info'!B2985:B3484,1,0)</f>
        <v>#N/A</v>
      </c>
      <c r="H2993" s="6" t="e">
        <f>VLOOKUP('Customer Info'!C2985,'Customer Info'!C2985:C3484,1)</f>
        <v>#N/A</v>
      </c>
      <c r="I2993" s="6" t="e">
        <f>VLOOKUP('Customer Info'!E2985,'Customer Info'!E2985:E3484,1,0)</f>
        <v>#N/A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218</v>
      </c>
      <c r="R2993" s="2" t="s">
        <v>28</v>
      </c>
      <c r="S2993" s="9">
        <f t="shared" si="234"/>
        <v>0.02</v>
      </c>
    </row>
    <row r="2994" spans="1:19" x14ac:dyDescent="0.3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e">
        <f>VLOOKUP('Customer Info'!B2986,'Customer Info'!B2986:B3485,1,0)</f>
        <v>#N/A</v>
      </c>
      <c r="H2994" s="6" t="e">
        <f>VLOOKUP('Customer Info'!C2986,'Customer Info'!C2986:C3485,1)</f>
        <v>#N/A</v>
      </c>
      <c r="I2994" s="6" t="e">
        <f>VLOOKUP('Customer Info'!E2986,'Customer Info'!E2986:E3485,1,0)</f>
        <v>#N/A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441</v>
      </c>
      <c r="R2994" s="2" t="s">
        <v>28</v>
      </c>
      <c r="S2994" s="9">
        <f t="shared" si="234"/>
        <v>0.05</v>
      </c>
    </row>
    <row r="2995" spans="1:19" x14ac:dyDescent="0.3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e">
        <f>VLOOKUP('Customer Info'!B2987,'Customer Info'!B2987:B3486,1,0)</f>
        <v>#N/A</v>
      </c>
      <c r="H2995" s="6" t="e">
        <f>VLOOKUP('Customer Info'!C2987,'Customer Info'!C2987:C3486,1)</f>
        <v>#N/A</v>
      </c>
      <c r="I2995" s="6" t="e">
        <f>VLOOKUP('Customer Info'!E2987,'Customer Info'!E2987:E3486,1,0)</f>
        <v>#N/A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640</v>
      </c>
      <c r="R2995" s="2" t="s">
        <v>28</v>
      </c>
      <c r="S2995" s="9">
        <f t="shared" si="234"/>
        <v>0.05</v>
      </c>
    </row>
    <row r="2996" spans="1:19" x14ac:dyDescent="0.3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e">
        <f>VLOOKUP('Customer Info'!B2988,'Customer Info'!B2988:B3487,1,0)</f>
        <v>#N/A</v>
      </c>
      <c r="H2996" s="6" t="e">
        <f>VLOOKUP('Customer Info'!C2988,'Customer Info'!C2988:C3487,1)</f>
        <v>#N/A</v>
      </c>
      <c r="I2996" s="6" t="e">
        <f>VLOOKUP('Customer Info'!E2988,'Customer Info'!E2988:E3487,1,0)</f>
        <v>#N/A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12</v>
      </c>
      <c r="R2996" s="2" t="s">
        <v>28</v>
      </c>
      <c r="S2996" s="9">
        <f t="shared" si="234"/>
        <v>0.02</v>
      </c>
    </row>
    <row r="2997" spans="1:19" x14ac:dyDescent="0.3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e">
        <f>VLOOKUP('Customer Info'!B2989,'Customer Info'!B2989:B3488,1,0)</f>
        <v>#N/A</v>
      </c>
      <c r="H2997" s="6" t="e">
        <f>VLOOKUP('Customer Info'!C2989,'Customer Info'!C2989:C3488,1)</f>
        <v>#N/A</v>
      </c>
      <c r="I2997" s="6" t="e">
        <f>VLOOKUP('Customer Info'!E2989,'Customer Info'!E2989:E3488,1,0)</f>
        <v>#N/A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466</v>
      </c>
      <c r="R2997" s="2" t="s">
        <v>28</v>
      </c>
      <c r="S2997" s="9">
        <f t="shared" si="234"/>
        <v>0.05</v>
      </c>
    </row>
    <row r="2998" spans="1:19" x14ac:dyDescent="0.3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e">
        <f>VLOOKUP('Customer Info'!B2990,'Customer Info'!B2990:B3489,1,0)</f>
        <v>#N/A</v>
      </c>
      <c r="H2998" s="6" t="e">
        <f>VLOOKUP('Customer Info'!C2990,'Customer Info'!C2990:C3489,1)</f>
        <v>#N/A</v>
      </c>
      <c r="I2998" s="6" t="e">
        <f>VLOOKUP('Customer Info'!E2990,'Customer Info'!E2990:E3489,1,0)</f>
        <v>#N/A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24</v>
      </c>
      <c r="R2998" s="2" t="s">
        <v>50</v>
      </c>
      <c r="S2998" s="9">
        <f t="shared" si="234"/>
        <v>0.02</v>
      </c>
    </row>
    <row r="2999" spans="1:19" x14ac:dyDescent="0.3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e">
        <f>VLOOKUP('Customer Info'!B2991,'Customer Info'!B2991:B3490,1,0)</f>
        <v>#N/A</v>
      </c>
      <c r="H2999" s="6" t="e">
        <f>VLOOKUP('Customer Info'!C2991,'Customer Info'!C2991:C3490,1)</f>
        <v>#N/A</v>
      </c>
      <c r="I2999" s="6" t="e">
        <f>VLOOKUP('Customer Info'!E2991,'Customer Info'!E2991:E3490,1,0)</f>
        <v>#N/A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2328</v>
      </c>
      <c r="R2999" s="2" t="s">
        <v>28</v>
      </c>
      <c r="S2999" s="9">
        <f t="shared" si="234"/>
        <v>7.0000000000000007E-2</v>
      </c>
    </row>
    <row r="3000" spans="1:19" x14ac:dyDescent="0.3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e">
        <f>VLOOKUP('Customer Info'!B2992,'Customer Info'!B2992:B3491,1,0)</f>
        <v>#N/A</v>
      </c>
      <c r="H3000" s="6" t="e">
        <f>VLOOKUP('Customer Info'!C2992,'Customer Info'!C2992:C3491,1)</f>
        <v>#N/A</v>
      </c>
      <c r="I3000" s="6" t="e">
        <f>VLOOKUP('Customer Info'!E2992,'Customer Info'!E2992:E3491,1,0)</f>
        <v>#N/A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650</v>
      </c>
      <c r="R3000" s="2" t="s">
        <v>28</v>
      </c>
      <c r="S3000" s="9">
        <f t="shared" si="234"/>
        <v>0.05</v>
      </c>
    </row>
    <row r="3001" spans="1:19" x14ac:dyDescent="0.3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e">
        <f>VLOOKUP('Customer Info'!B2993,'Customer Info'!B2993:B3492,1,0)</f>
        <v>#N/A</v>
      </c>
      <c r="H3001" s="6" t="e">
        <f>VLOOKUP('Customer Info'!C2993,'Customer Info'!C2993:C3492,1)</f>
        <v>#N/A</v>
      </c>
      <c r="I3001" s="6" t="e">
        <f>VLOOKUP('Customer Info'!E2993,'Customer Info'!E2993:E3492,1,0)</f>
        <v>#N/A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408</v>
      </c>
      <c r="R3001" s="2" t="s">
        <v>26</v>
      </c>
      <c r="S3001" s="9">
        <f t="shared" si="234"/>
        <v>0.05</v>
      </c>
    </row>
    <row r="3002" spans="1:19" x14ac:dyDescent="0.3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e">
        <f>VLOOKUP('Customer Info'!B2994,'Customer Info'!B2994:B3493,1,0)</f>
        <v>#N/A</v>
      </c>
      <c r="H3002" s="6" t="e">
        <f>VLOOKUP('Customer Info'!C2994,'Customer Info'!C2994:C3493,1)</f>
        <v>#N/A</v>
      </c>
      <c r="I3002" s="6" t="e">
        <f>VLOOKUP('Customer Info'!E2994,'Customer Info'!E2994:E3493,1,0)</f>
        <v>#N/A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665</v>
      </c>
      <c r="R3002" s="2" t="s">
        <v>50</v>
      </c>
      <c r="S3002" s="9">
        <f t="shared" si="234"/>
        <v>0.05</v>
      </c>
    </row>
    <row r="3003" spans="1:19" x14ac:dyDescent="0.3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e">
        <f>VLOOKUP('Customer Info'!B2995,'Customer Info'!B2995:B3494,1,0)</f>
        <v>#N/A</v>
      </c>
      <c r="H3003" s="6" t="e">
        <f>VLOOKUP('Customer Info'!C2995,'Customer Info'!C2995:C3494,1)</f>
        <v>#N/A</v>
      </c>
      <c r="I3003" s="6" t="e">
        <f>VLOOKUP('Customer Info'!E2995,'Customer Info'!E2995:E3494,1,0)</f>
        <v>#N/A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219</v>
      </c>
      <c r="R3003" s="2" t="s">
        <v>28</v>
      </c>
      <c r="S3003" s="9">
        <f t="shared" si="234"/>
        <v>0.02</v>
      </c>
    </row>
    <row r="3004" spans="1:19" x14ac:dyDescent="0.3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e">
        <f>VLOOKUP('Customer Info'!B2996,'Customer Info'!B2996:B3495,1,0)</f>
        <v>#N/A</v>
      </c>
      <c r="H3004" s="6" t="e">
        <f>VLOOKUP('Customer Info'!C2996,'Customer Info'!C2996:C3495,1)</f>
        <v>#N/A</v>
      </c>
      <c r="I3004" s="6" t="e">
        <f>VLOOKUP('Customer Info'!E2996,'Customer Info'!E2996:E3495,1,0)</f>
        <v>#N/A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234</v>
      </c>
      <c r="R3004" s="2" t="s">
        <v>28</v>
      </c>
      <c r="S3004" s="9">
        <f t="shared" si="234"/>
        <v>0.02</v>
      </c>
    </row>
    <row r="3005" spans="1:19" x14ac:dyDescent="0.3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e">
        <f>VLOOKUP('Customer Info'!B2997,'Customer Info'!B2997:B3496,1,0)</f>
        <v>#N/A</v>
      </c>
      <c r="H3005" s="6" t="e">
        <f>VLOOKUP('Customer Info'!C2997,'Customer Info'!C2997:C3496,1)</f>
        <v>#N/A</v>
      </c>
      <c r="I3005" s="6" t="e">
        <f>VLOOKUP('Customer Info'!E2997,'Customer Info'!E2997:E3496,1,0)</f>
        <v>#N/A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504</v>
      </c>
      <c r="R3005" s="2" t="s">
        <v>50</v>
      </c>
      <c r="S3005" s="9">
        <f t="shared" si="234"/>
        <v>0.05</v>
      </c>
    </row>
    <row r="3006" spans="1:19" x14ac:dyDescent="0.3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e">
        <f>VLOOKUP('Customer Info'!B2998,'Customer Info'!B2998:B3497,1,0)</f>
        <v>#N/A</v>
      </c>
      <c r="H3006" s="6" t="e">
        <f>VLOOKUP('Customer Info'!C2998,'Customer Info'!C2998:C3497,1)</f>
        <v>#N/A</v>
      </c>
      <c r="I3006" s="6" t="e">
        <f>VLOOKUP('Customer Info'!E2998,'Customer Info'!E2998:E3497,1,0)</f>
        <v>#N/A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3080</v>
      </c>
      <c r="R3006" s="2" t="s">
        <v>28</v>
      </c>
      <c r="S3006" s="9">
        <f t="shared" si="234"/>
        <v>7.0000000000000007E-2</v>
      </c>
    </row>
    <row r="3007" spans="1:19" x14ac:dyDescent="0.3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e">
        <f>VLOOKUP('Customer Info'!B2999,'Customer Info'!B2999:B3498,1,0)</f>
        <v>#N/A</v>
      </c>
      <c r="H3007" s="6" t="e">
        <f>VLOOKUP('Customer Info'!C2999,'Customer Info'!C2999:C3498,1)</f>
        <v>#N/A</v>
      </c>
      <c r="I3007" s="6" t="e">
        <f>VLOOKUP('Customer Info'!E2999,'Customer Info'!E2999:E3498,1,0)</f>
        <v>#N/A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1592</v>
      </c>
      <c r="R3007" s="2" t="s">
        <v>28</v>
      </c>
      <c r="S3007" s="9">
        <f t="shared" si="234"/>
        <v>7.0000000000000007E-2</v>
      </c>
    </row>
    <row r="3008" spans="1:19" x14ac:dyDescent="0.3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e">
        <f>VLOOKUP('Customer Info'!B3000,'Customer Info'!B3000:B3499,1,0)</f>
        <v>#N/A</v>
      </c>
      <c r="H3008" s="6" t="e">
        <f>VLOOKUP('Customer Info'!C3000,'Customer Info'!C3000:C3499,1)</f>
        <v>#N/A</v>
      </c>
      <c r="I3008" s="6" t="e">
        <f>VLOOKUP('Customer Info'!E3000,'Customer Info'!E3000:E3499,1,0)</f>
        <v>#N/A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590</v>
      </c>
      <c r="R3008" s="2" t="s">
        <v>50</v>
      </c>
      <c r="S3008" s="9">
        <f t="shared" si="234"/>
        <v>0.05</v>
      </c>
    </row>
    <row r="3009" spans="1:19" x14ac:dyDescent="0.3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e">
        <f>VLOOKUP('Customer Info'!B3001,'Customer Info'!B3001:B3500,1,0)</f>
        <v>#N/A</v>
      </c>
      <c r="H3009" s="6" t="e">
        <f>VLOOKUP('Customer Info'!C3001,'Customer Info'!C3001:C3500,1)</f>
        <v>#N/A</v>
      </c>
      <c r="I3009" s="6" t="e">
        <f>VLOOKUP('Customer Info'!E3001,'Customer Info'!E3001:E3500,1,0)</f>
        <v>#N/A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6</v>
      </c>
      <c r="R3009" s="2" t="s">
        <v>28</v>
      </c>
      <c r="S3009" s="9">
        <f t="shared" si="234"/>
        <v>0.02</v>
      </c>
    </row>
    <row r="3010" spans="1:19" x14ac:dyDescent="0.3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e">
        <f>VLOOKUP('Customer Info'!B3002,'Customer Info'!B3002:B3501,1,0)</f>
        <v>#N/A</v>
      </c>
      <c r="H3010" s="6" t="e">
        <f>VLOOKUP('Customer Info'!C3002,'Customer Info'!C3002:C3501,1)</f>
        <v>#N/A</v>
      </c>
      <c r="I3010" s="6" t="e">
        <f>VLOOKUP('Customer Info'!E3002,'Customer Info'!E3002:E3501,1,0)</f>
        <v>#N/A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4820</v>
      </c>
      <c r="R3010" s="2" t="s">
        <v>28</v>
      </c>
      <c r="S3010" s="9">
        <f t="shared" si="234"/>
        <v>7.0000000000000007E-2</v>
      </c>
    </row>
    <row r="3011" spans="1:19" x14ac:dyDescent="0.3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e">
        <f>VLOOKUP('Customer Info'!B3003,'Customer Info'!B3003:B3502,1,0)</f>
        <v>#N/A</v>
      </c>
      <c r="H3011" s="6" t="e">
        <f>VLOOKUP('Customer Info'!C3003,'Customer Info'!C3003:C3502,1)</f>
        <v>#N/A</v>
      </c>
      <c r="I3011" s="6" t="e">
        <f>VLOOKUP('Customer Info'!E3003,'Customer Info'!E3003:E3502,1,0)</f>
        <v>#N/A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9</v>
      </c>
      <c r="R3011" s="2" t="s">
        <v>26</v>
      </c>
      <c r="S3011" s="9">
        <f t="shared" si="234"/>
        <v>0.02</v>
      </c>
    </row>
    <row r="3012" spans="1:19" x14ac:dyDescent="0.3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e">
        <f>VLOOKUP('Customer Info'!B3004,'Customer Info'!B3004:B3503,1,0)</f>
        <v>#N/A</v>
      </c>
      <c r="H3012" s="6" t="e">
        <f>VLOOKUP('Customer Info'!C3004,'Customer Info'!C3004:C3503,1)</f>
        <v>#N/A</v>
      </c>
      <c r="I3012" s="6" t="e">
        <f>VLOOKUP('Customer Info'!E3004,'Customer Info'!E3004:E3503,1,0)</f>
        <v>#N/A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686</v>
      </c>
      <c r="R3012" s="2" t="s">
        <v>28</v>
      </c>
      <c r="S3012" s="9">
        <f t="shared" si="234"/>
        <v>0.05</v>
      </c>
    </row>
    <row r="3013" spans="1:19" x14ac:dyDescent="0.3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e">
        <f>VLOOKUP('Customer Info'!B3005,'Customer Info'!B3005:B3504,1,0)</f>
        <v>#N/A</v>
      </c>
      <c r="H3013" s="6" t="e">
        <f>VLOOKUP('Customer Info'!C3005,'Customer Info'!C3005:C3504,1)</f>
        <v>#N/A</v>
      </c>
      <c r="I3013" s="6" t="e">
        <f>VLOOKUP('Customer Info'!E3005,'Customer Info'!E3005:E3504,1,0)</f>
        <v>#N/A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270</v>
      </c>
      <c r="R3013" s="2" t="s">
        <v>50</v>
      </c>
      <c r="S3013" s="9">
        <f t="shared" si="234"/>
        <v>0.02</v>
      </c>
    </row>
    <row r="3014" spans="1:19" x14ac:dyDescent="0.3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e">
        <f>VLOOKUP('Customer Info'!B3006,'Customer Info'!B3006:B3505,1,0)</f>
        <v>#N/A</v>
      </c>
      <c r="H3014" s="6" t="e">
        <f>VLOOKUP('Customer Info'!C3006,'Customer Info'!C3006:C3505,1)</f>
        <v>#N/A</v>
      </c>
      <c r="I3014" s="6" t="e">
        <f>VLOOKUP('Customer Info'!E3006,'Customer Info'!E3006:E3505,1,0)</f>
        <v>#N/A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404</v>
      </c>
      <c r="R3014" s="2" t="s">
        <v>50</v>
      </c>
      <c r="S3014" s="9">
        <f t="shared" si="234"/>
        <v>0.05</v>
      </c>
    </row>
    <row r="3015" spans="1:19" x14ac:dyDescent="0.3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e">
        <f>VLOOKUP('Customer Info'!B3007,'Customer Info'!B3007:B3506,1,0)</f>
        <v>#N/A</v>
      </c>
      <c r="H3015" s="6" t="e">
        <f>VLOOKUP('Customer Info'!C3007,'Customer Info'!C3007:C3506,1)</f>
        <v>#N/A</v>
      </c>
      <c r="I3015" s="6" t="e">
        <f>VLOOKUP('Customer Info'!E3007,'Customer Info'!E3007:E3506,1,0)</f>
        <v>#N/A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1782</v>
      </c>
      <c r="R3015" s="2" t="s">
        <v>28</v>
      </c>
      <c r="S3015" s="9">
        <f t="shared" si="234"/>
        <v>0.05</v>
      </c>
    </row>
    <row r="3016" spans="1:19" x14ac:dyDescent="0.3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e">
        <f>VLOOKUP('Customer Info'!B3008,'Customer Info'!B3008:B3507,1,0)</f>
        <v>#N/A</v>
      </c>
      <c r="H3016" s="6" t="e">
        <f>VLOOKUP('Customer Info'!C3008,'Customer Info'!C3008:C3507,1)</f>
        <v>#N/A</v>
      </c>
      <c r="I3016" s="6" t="e">
        <f>VLOOKUP('Customer Info'!E3008,'Customer Info'!E3008:E3507,1,0)</f>
        <v>#N/A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988</v>
      </c>
      <c r="R3016" s="2" t="s">
        <v>50</v>
      </c>
      <c r="S3016" s="9">
        <f t="shared" si="234"/>
        <v>0.05</v>
      </c>
    </row>
    <row r="3017" spans="1:19" x14ac:dyDescent="0.3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e">
        <f>VLOOKUP('Customer Info'!B3009,'Customer Info'!B3009:B3508,1,0)</f>
        <v>#N/A</v>
      </c>
      <c r="H3017" s="6" t="e">
        <f>VLOOKUP('Customer Info'!C3009,'Customer Info'!C3009:C3508,1)</f>
        <v>#N/A</v>
      </c>
      <c r="I3017" s="6" t="e">
        <f>VLOOKUP('Customer Info'!E3009,'Customer Info'!E3009:E3508,1,0)</f>
        <v>#N/A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105</v>
      </c>
      <c r="R3017" s="2" t="s">
        <v>28</v>
      </c>
      <c r="S3017" s="9">
        <f t="shared" si="234"/>
        <v>0.02</v>
      </c>
    </row>
    <row r="3018" spans="1:19" x14ac:dyDescent="0.3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e">
        <f>VLOOKUP('Customer Info'!B3010,'Customer Info'!B3010:B3509,1,0)</f>
        <v>#N/A</v>
      </c>
      <c r="H3018" s="6" t="e">
        <f>VLOOKUP('Customer Info'!C3010,'Customer Info'!C3010:C3509,1)</f>
        <v>#N/A</v>
      </c>
      <c r="I3018" s="6" t="e">
        <f>VLOOKUP('Customer Info'!E3010,'Customer Info'!E3010:E3509,1,0)</f>
        <v>#N/A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1038</v>
      </c>
      <c r="R3018" s="2" t="s">
        <v>28</v>
      </c>
      <c r="S3018" s="9">
        <f t="shared" si="234"/>
        <v>0.05</v>
      </c>
    </row>
    <row r="3019" spans="1:19" x14ac:dyDescent="0.3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e">
        <f>VLOOKUP('Customer Info'!B3011,'Customer Info'!B3011:B3510,1,0)</f>
        <v>#N/A</v>
      </c>
      <c r="H3019" s="6" t="e">
        <f>VLOOKUP('Customer Info'!C3011,'Customer Info'!C3011:C3510,1)</f>
        <v>#N/A</v>
      </c>
      <c r="I3019" s="6" t="e">
        <f>VLOOKUP('Customer Info'!E3011,'Customer Info'!E3011:E3510,1,0)</f>
        <v>#N/A</v>
      </c>
      <c r="J3019" s="2">
        <v>1545</v>
      </c>
      <c r="K3019" s="2">
        <v>1486</v>
      </c>
      <c r="L3019" s="2">
        <v>2</v>
      </c>
      <c r="M3019" s="7">
        <f t="shared" ref="M3019:M3082" si="235">(K3019*L3019)</f>
        <v>2972</v>
      </c>
      <c r="N3019" s="7">
        <f t="shared" ref="N3019:N3082" si="236">(J3019*L3019)</f>
        <v>3090</v>
      </c>
      <c r="O3019" s="2">
        <v>92</v>
      </c>
      <c r="P3019" s="8">
        <f t="shared" ref="P3019:P3082" si="237">(N3019+O3019)</f>
        <v>3182</v>
      </c>
      <c r="Q3019" s="8">
        <f t="shared" ref="Q3019:Q3082" si="238">(N3019-M3019)</f>
        <v>118</v>
      </c>
      <c r="R3019" s="2" t="s">
        <v>26</v>
      </c>
      <c r="S3019" s="9">
        <f t="shared" ref="S3019:S3082" si="239">_xlfn.IFS(P3019&gt;250000,0.15,P3019&gt;100000,0.12,P3019&gt;50000,0.09,P3019&gt;25000,0.07,P3019&gt;5000,0.05,
 TRUE,0.02)</f>
        <v>0.02</v>
      </c>
    </row>
    <row r="3020" spans="1:19" x14ac:dyDescent="0.3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e">
        <f>VLOOKUP('Customer Info'!B3012,'Customer Info'!B3012:B3511,1,0)</f>
        <v>#N/A</v>
      </c>
      <c r="H3020" s="6" t="e">
        <f>VLOOKUP('Customer Info'!C3012,'Customer Info'!C3012:C3511,1)</f>
        <v>#N/A</v>
      </c>
      <c r="I3020" s="6" t="e">
        <f>VLOOKUP('Customer Info'!E3012,'Customer Info'!E3012:E3511,1,0)</f>
        <v>#N/A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32</v>
      </c>
      <c r="R3020" s="2" t="s">
        <v>28</v>
      </c>
      <c r="S3020" s="9">
        <f t="shared" si="239"/>
        <v>0.02</v>
      </c>
    </row>
    <row r="3021" spans="1:19" x14ac:dyDescent="0.3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e">
        <f>VLOOKUP('Customer Info'!B3013,'Customer Info'!B3013:B3512,1,0)</f>
        <v>#N/A</v>
      </c>
      <c r="H3021" s="6" t="e">
        <f>VLOOKUP('Customer Info'!C3013,'Customer Info'!C3013:C3512,1)</f>
        <v>#N/A</v>
      </c>
      <c r="I3021" s="6" t="e">
        <f>VLOOKUP('Customer Info'!E3013,'Customer Info'!E3013:E3512,1,0)</f>
        <v>#N/A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182</v>
      </c>
      <c r="R3021" s="2" t="s">
        <v>28</v>
      </c>
      <c r="S3021" s="9">
        <f t="shared" si="239"/>
        <v>0.02</v>
      </c>
    </row>
    <row r="3022" spans="1:19" x14ac:dyDescent="0.3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e">
        <f>VLOOKUP('Customer Info'!B3014,'Customer Info'!B3014:B3513,1,0)</f>
        <v>#N/A</v>
      </c>
      <c r="H3022" s="6" t="e">
        <f>VLOOKUP('Customer Info'!C3014,'Customer Info'!C3014:C3513,1)</f>
        <v>#N/A</v>
      </c>
      <c r="I3022" s="6" t="e">
        <f>VLOOKUP('Customer Info'!E3014,'Customer Info'!E3014:E3513,1,0)</f>
        <v>#N/A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264</v>
      </c>
      <c r="R3022" s="2" t="s">
        <v>28</v>
      </c>
      <c r="S3022" s="9">
        <f t="shared" si="239"/>
        <v>0.05</v>
      </c>
    </row>
    <row r="3023" spans="1:19" x14ac:dyDescent="0.3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e">
        <f>VLOOKUP('Customer Info'!B3015,'Customer Info'!B3015:B3514,1,0)</f>
        <v>#N/A</v>
      </c>
      <c r="H3023" s="6" t="e">
        <f>VLOOKUP('Customer Info'!C3015,'Customer Info'!C3015:C3514,1)</f>
        <v>#N/A</v>
      </c>
      <c r="I3023" s="6" t="e">
        <f>VLOOKUP('Customer Info'!E3015,'Customer Info'!E3015:E3514,1,0)</f>
        <v>#N/A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4680</v>
      </c>
      <c r="R3023" s="2" t="s">
        <v>50</v>
      </c>
      <c r="S3023" s="9">
        <f t="shared" si="239"/>
        <v>0.09</v>
      </c>
    </row>
    <row r="3024" spans="1:19" x14ac:dyDescent="0.3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e">
        <f>VLOOKUP('Customer Info'!B3016,'Customer Info'!B3016:B3515,1,0)</f>
        <v>#N/A</v>
      </c>
      <c r="H3024" s="6" t="e">
        <f>VLOOKUP('Customer Info'!C3016,'Customer Info'!C3016:C3515,1)</f>
        <v>#N/A</v>
      </c>
      <c r="I3024" s="6" t="e">
        <f>VLOOKUP('Customer Info'!E3016,'Customer Info'!E3016:E3515,1,0)</f>
        <v>#N/A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234</v>
      </c>
      <c r="R3024" s="2" t="s">
        <v>28</v>
      </c>
      <c r="S3024" s="9">
        <f t="shared" si="239"/>
        <v>0.02</v>
      </c>
    </row>
    <row r="3025" spans="1:19" x14ac:dyDescent="0.3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e">
        <f>VLOOKUP('Customer Info'!B3017,'Customer Info'!B3017:B3516,1,0)</f>
        <v>#N/A</v>
      </c>
      <c r="H3025" s="6" t="e">
        <f>VLOOKUP('Customer Info'!C3017,'Customer Info'!C3017:C3516,1)</f>
        <v>#N/A</v>
      </c>
      <c r="I3025" s="6" t="e">
        <f>VLOOKUP('Customer Info'!E3017,'Customer Info'!E3017:E3516,1,0)</f>
        <v>#N/A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264</v>
      </c>
      <c r="R3025" s="2" t="s">
        <v>50</v>
      </c>
      <c r="S3025" s="9">
        <f t="shared" si="239"/>
        <v>0.05</v>
      </c>
    </row>
    <row r="3026" spans="1:19" x14ac:dyDescent="0.3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e">
        <f>VLOOKUP('Customer Info'!B3018,'Customer Info'!B3018:B3517,1,0)</f>
        <v>#N/A</v>
      </c>
      <c r="H3026" s="6" t="e">
        <f>VLOOKUP('Customer Info'!C3018,'Customer Info'!C3018:C3517,1)</f>
        <v>#N/A</v>
      </c>
      <c r="I3026" s="6" t="e">
        <f>VLOOKUP('Customer Info'!E3018,'Customer Info'!E3018:E3517,1,0)</f>
        <v>#N/A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2166</v>
      </c>
      <c r="R3026" s="2" t="s">
        <v>28</v>
      </c>
      <c r="S3026" s="9">
        <f t="shared" si="239"/>
        <v>7.0000000000000007E-2</v>
      </c>
    </row>
    <row r="3027" spans="1:19" x14ac:dyDescent="0.3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e">
        <f>VLOOKUP('Customer Info'!B3019,'Customer Info'!B3019:B3518,1,0)</f>
        <v>#N/A</v>
      </c>
      <c r="H3027" s="6" t="e">
        <f>VLOOKUP('Customer Info'!C3019,'Customer Info'!C3019:C3518,1)</f>
        <v>#N/A</v>
      </c>
      <c r="I3027" s="6" t="e">
        <f>VLOOKUP('Customer Info'!E3019,'Customer Info'!E3019:E3518,1,0)</f>
        <v>#N/A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24</v>
      </c>
      <c r="R3027" s="2" t="s">
        <v>28</v>
      </c>
      <c r="S3027" s="9">
        <f t="shared" si="239"/>
        <v>0.02</v>
      </c>
    </row>
    <row r="3028" spans="1:19" x14ac:dyDescent="0.3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e">
        <f>VLOOKUP('Customer Info'!B3020,'Customer Info'!B3020:B3519,1,0)</f>
        <v>#N/A</v>
      </c>
      <c r="H3028" s="6" t="e">
        <f>VLOOKUP('Customer Info'!C3020,'Customer Info'!C3020:C3519,1)</f>
        <v>#N/A</v>
      </c>
      <c r="I3028" s="6" t="e">
        <f>VLOOKUP('Customer Info'!E3020,'Customer Info'!E3020:E3519,1,0)</f>
        <v>#N/A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286</v>
      </c>
      <c r="R3028" s="2" t="s">
        <v>56</v>
      </c>
      <c r="S3028" s="9">
        <f t="shared" si="239"/>
        <v>0.05</v>
      </c>
    </row>
    <row r="3029" spans="1:19" x14ac:dyDescent="0.3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e">
        <f>VLOOKUP('Customer Info'!B3021,'Customer Info'!B3021:B3520,1,0)</f>
        <v>#N/A</v>
      </c>
      <c r="H3029" s="6" t="e">
        <f>VLOOKUP('Customer Info'!C3021,'Customer Info'!C3021:C3520,1)</f>
        <v>#N/A</v>
      </c>
      <c r="I3029" s="6" t="e">
        <f>VLOOKUP('Customer Info'!E3021,'Customer Info'!E3021:E3520,1,0)</f>
        <v>#N/A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7</v>
      </c>
      <c r="R3029" s="2" t="s">
        <v>28</v>
      </c>
      <c r="S3029" s="9">
        <f t="shared" si="239"/>
        <v>0.02</v>
      </c>
    </row>
    <row r="3030" spans="1:19" x14ac:dyDescent="0.3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e">
        <f>VLOOKUP('Customer Info'!B3022,'Customer Info'!B3022:B3521,1,0)</f>
        <v>#N/A</v>
      </c>
      <c r="H3030" s="6" t="e">
        <f>VLOOKUP('Customer Info'!C3022,'Customer Info'!C3022:C3521,1)</f>
        <v>#N/A</v>
      </c>
      <c r="I3030" s="6" t="e">
        <f>VLOOKUP('Customer Info'!E3022,'Customer Info'!E3022:E3521,1,0)</f>
        <v>#N/A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239</v>
      </c>
      <c r="R3030" s="2" t="s">
        <v>50</v>
      </c>
      <c r="S3030" s="9">
        <f t="shared" si="239"/>
        <v>0.02</v>
      </c>
    </row>
    <row r="3031" spans="1:19" x14ac:dyDescent="0.3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e">
        <f>VLOOKUP('Customer Info'!B3023,'Customer Info'!B3023:B3522,1,0)</f>
        <v>#N/A</v>
      </c>
      <c r="H3031" s="6" t="e">
        <f>VLOOKUP('Customer Info'!C3023,'Customer Info'!C3023:C3522,1)</f>
        <v>#N/A</v>
      </c>
      <c r="I3031" s="6" t="e">
        <f>VLOOKUP('Customer Info'!E3023,'Customer Info'!E3023:E3522,1,0)</f>
        <v>#N/A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184</v>
      </c>
      <c r="R3031" s="2" t="s">
        <v>56</v>
      </c>
      <c r="S3031" s="9">
        <f t="shared" si="239"/>
        <v>0.05</v>
      </c>
    </row>
    <row r="3032" spans="1:19" x14ac:dyDescent="0.3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e">
        <f>VLOOKUP('Customer Info'!B3024,'Customer Info'!B3024:B3523,1,0)</f>
        <v>#N/A</v>
      </c>
      <c r="H3032" s="6" t="e">
        <f>VLOOKUP('Customer Info'!C3024,'Customer Info'!C3024:C3523,1)</f>
        <v>#N/A</v>
      </c>
      <c r="I3032" s="6" t="e">
        <f>VLOOKUP('Customer Info'!E3024,'Customer Info'!E3024:E3523,1,0)</f>
        <v>#N/A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4</v>
      </c>
      <c r="R3032" s="2" t="s">
        <v>50</v>
      </c>
      <c r="S3032" s="9">
        <f t="shared" si="239"/>
        <v>0.02</v>
      </c>
    </row>
    <row r="3033" spans="1:19" x14ac:dyDescent="0.3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e">
        <f>VLOOKUP('Customer Info'!B3025,'Customer Info'!B3025:B3524,1,0)</f>
        <v>#N/A</v>
      </c>
      <c r="H3033" s="6" t="e">
        <f>VLOOKUP('Customer Info'!C3025,'Customer Info'!C3025:C3524,1)</f>
        <v>#N/A</v>
      </c>
      <c r="I3033" s="6" t="e">
        <f>VLOOKUP('Customer Info'!E3025,'Customer Info'!E3025:E3524,1,0)</f>
        <v>#N/A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1024</v>
      </c>
      <c r="R3033" s="2" t="s">
        <v>26</v>
      </c>
      <c r="S3033" s="9">
        <f t="shared" si="239"/>
        <v>7.0000000000000007E-2</v>
      </c>
    </row>
    <row r="3034" spans="1:19" x14ac:dyDescent="0.3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e">
        <f>VLOOKUP('Customer Info'!B3026,'Customer Info'!B3026:B3525,1,0)</f>
        <v>#N/A</v>
      </c>
      <c r="H3034" s="6" t="e">
        <f>VLOOKUP('Customer Info'!C3026,'Customer Info'!C3026:C3525,1)</f>
        <v>#N/A</v>
      </c>
      <c r="I3034" s="6" t="e">
        <f>VLOOKUP('Customer Info'!E3026,'Customer Info'!E3026:E3525,1,0)</f>
        <v>#N/A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8577</v>
      </c>
      <c r="R3034" s="2" t="s">
        <v>28</v>
      </c>
      <c r="S3034" s="9">
        <f t="shared" si="239"/>
        <v>0.09</v>
      </c>
    </row>
    <row r="3035" spans="1:19" x14ac:dyDescent="0.3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e">
        <f>VLOOKUP('Customer Info'!B3027,'Customer Info'!B3027:B3526,1,0)</f>
        <v>#N/A</v>
      </c>
      <c r="H3035" s="6" t="e">
        <f>VLOOKUP('Customer Info'!C3027,'Customer Info'!C3027:C3526,1)</f>
        <v>#N/A</v>
      </c>
      <c r="I3035" s="6" t="e">
        <f>VLOOKUP('Customer Info'!E3027,'Customer Info'!E3027:E3526,1,0)</f>
        <v>#N/A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636</v>
      </c>
      <c r="R3035" s="2" t="s">
        <v>56</v>
      </c>
      <c r="S3035" s="9">
        <f t="shared" si="239"/>
        <v>0.05</v>
      </c>
    </row>
    <row r="3036" spans="1:19" x14ac:dyDescent="0.3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e">
        <f>VLOOKUP('Customer Info'!B3028,'Customer Info'!B3028:B3527,1,0)</f>
        <v>#N/A</v>
      </c>
      <c r="H3036" s="6" t="e">
        <f>VLOOKUP('Customer Info'!C3028,'Customer Info'!C3028:C3527,1)</f>
        <v>#N/A</v>
      </c>
      <c r="I3036" s="6" t="e">
        <f>VLOOKUP('Customer Info'!E3028,'Customer Info'!E3028:E3527,1,0)</f>
        <v>#N/A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5472</v>
      </c>
      <c r="R3036" s="2" t="s">
        <v>28</v>
      </c>
      <c r="S3036" s="9">
        <f t="shared" si="239"/>
        <v>0.09</v>
      </c>
    </row>
    <row r="3037" spans="1:19" x14ac:dyDescent="0.3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e">
        <f>VLOOKUP('Customer Info'!B3029,'Customer Info'!B3029:B3528,1,0)</f>
        <v>#N/A</v>
      </c>
      <c r="H3037" s="6" t="e">
        <f>VLOOKUP('Customer Info'!C3029,'Customer Info'!C3029:C3528,1)</f>
        <v>#N/A</v>
      </c>
      <c r="I3037" s="6" t="e">
        <f>VLOOKUP('Customer Info'!E3029,'Customer Info'!E3029:E3528,1,0)</f>
        <v>#N/A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2600</v>
      </c>
      <c r="R3037" s="2" t="s">
        <v>28</v>
      </c>
      <c r="S3037" s="9">
        <f t="shared" si="239"/>
        <v>7.0000000000000007E-2</v>
      </c>
    </row>
    <row r="3038" spans="1:19" x14ac:dyDescent="0.3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e">
        <f>VLOOKUP('Customer Info'!B3030,'Customer Info'!B3030:B3529,1,0)</f>
        <v>#N/A</v>
      </c>
      <c r="H3038" s="6" t="e">
        <f>VLOOKUP('Customer Info'!C3030,'Customer Info'!C3030:C3529,1)</f>
        <v>#N/A</v>
      </c>
      <c r="I3038" s="6" t="e">
        <f>VLOOKUP('Customer Info'!E3030,'Customer Info'!E3030:E3529,1,0)</f>
        <v>#N/A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12</v>
      </c>
      <c r="R3038" s="2" t="s">
        <v>28</v>
      </c>
      <c r="S3038" s="9">
        <f t="shared" si="239"/>
        <v>0.02</v>
      </c>
    </row>
    <row r="3039" spans="1:19" x14ac:dyDescent="0.3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e">
        <f>VLOOKUP('Customer Info'!B3031,'Customer Info'!B3031:B3530,1,0)</f>
        <v>#N/A</v>
      </c>
      <c r="H3039" s="6" t="e">
        <f>VLOOKUP('Customer Info'!C3031,'Customer Info'!C3031:C3530,1)</f>
        <v>#N/A</v>
      </c>
      <c r="I3039" s="6" t="e">
        <f>VLOOKUP('Customer Info'!E3031,'Customer Info'!E3031:E3530,1,0)</f>
        <v>#N/A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1080</v>
      </c>
      <c r="R3039" s="2" t="s">
        <v>28</v>
      </c>
      <c r="S3039" s="9">
        <f t="shared" si="239"/>
        <v>0.05</v>
      </c>
    </row>
    <row r="3040" spans="1:19" x14ac:dyDescent="0.3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e">
        <f>VLOOKUP('Customer Info'!B3032,'Customer Info'!B3032:B3531,1,0)</f>
        <v>#N/A</v>
      </c>
      <c r="H3040" s="6" t="e">
        <f>VLOOKUP('Customer Info'!C3032,'Customer Info'!C3032:C3531,1)</f>
        <v>#N/A</v>
      </c>
      <c r="I3040" s="6" t="e">
        <f>VLOOKUP('Customer Info'!E3032,'Customer Info'!E3032:E3531,1,0)</f>
        <v>#N/A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120</v>
      </c>
      <c r="R3040" s="2" t="s">
        <v>28</v>
      </c>
      <c r="S3040" s="9">
        <f t="shared" si="239"/>
        <v>0.02</v>
      </c>
    </row>
    <row r="3041" spans="1:19" x14ac:dyDescent="0.3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e">
        <f>VLOOKUP('Customer Info'!B3033,'Customer Info'!B3033:B3532,1,0)</f>
        <v>#N/A</v>
      </c>
      <c r="H3041" s="6" t="e">
        <f>VLOOKUP('Customer Info'!C3033,'Customer Info'!C3033:C3532,1)</f>
        <v>#N/A</v>
      </c>
      <c r="I3041" s="6" t="e">
        <f>VLOOKUP('Customer Info'!E3033,'Customer Info'!E3033:E3532,1,0)</f>
        <v>#N/A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480</v>
      </c>
      <c r="R3041" s="2" t="s">
        <v>50</v>
      </c>
      <c r="S3041" s="9">
        <f t="shared" si="239"/>
        <v>7.0000000000000007E-2</v>
      </c>
    </row>
    <row r="3042" spans="1:19" x14ac:dyDescent="0.3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e">
        <f>VLOOKUP('Customer Info'!B3034,'Customer Info'!B3034:B3533,1,0)</f>
        <v>#N/A</v>
      </c>
      <c r="H3042" s="6" t="e">
        <f>VLOOKUP('Customer Info'!C3034,'Customer Info'!C3034:C3533,1)</f>
        <v>#N/A</v>
      </c>
      <c r="I3042" s="6" t="e">
        <f>VLOOKUP('Customer Info'!E3034,'Customer Info'!E3034:E3533,1,0)</f>
        <v>#N/A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285</v>
      </c>
      <c r="R3042" s="2" t="s">
        <v>28</v>
      </c>
      <c r="S3042" s="9">
        <f t="shared" si="239"/>
        <v>0.05</v>
      </c>
    </row>
    <row r="3043" spans="1:19" x14ac:dyDescent="0.3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e">
        <f>VLOOKUP('Customer Info'!B3035,'Customer Info'!B3035:B3534,1,0)</f>
        <v>#N/A</v>
      </c>
      <c r="H3043" s="6" t="e">
        <f>VLOOKUP('Customer Info'!C3035,'Customer Info'!C3035:C3534,1)</f>
        <v>#N/A</v>
      </c>
      <c r="I3043" s="6" t="e">
        <f>VLOOKUP('Customer Info'!E3035,'Customer Info'!E3035:E3534,1,0)</f>
        <v>#N/A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762</v>
      </c>
      <c r="R3043" s="2" t="s">
        <v>50</v>
      </c>
      <c r="S3043" s="9">
        <f t="shared" si="239"/>
        <v>0.05</v>
      </c>
    </row>
    <row r="3044" spans="1:19" x14ac:dyDescent="0.3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e">
        <f>VLOOKUP('Customer Info'!B3036,'Customer Info'!B3036:B3535,1,0)</f>
        <v>#N/A</v>
      </c>
      <c r="H3044" s="6" t="e">
        <f>VLOOKUP('Customer Info'!C3036,'Customer Info'!C3036:C3535,1)</f>
        <v>#N/A</v>
      </c>
      <c r="I3044" s="6" t="e">
        <f>VLOOKUP('Customer Info'!E3036,'Customer Info'!E3036:E3535,1,0)</f>
        <v>#N/A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64</v>
      </c>
      <c r="R3044" s="2" t="s">
        <v>28</v>
      </c>
      <c r="S3044" s="9">
        <f t="shared" si="239"/>
        <v>0.02</v>
      </c>
    </row>
    <row r="3045" spans="1:19" x14ac:dyDescent="0.3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e">
        <f>VLOOKUP('Customer Info'!B3037,'Customer Info'!B3037:B3536,1,0)</f>
        <v>#N/A</v>
      </c>
      <c r="H3045" s="6" t="e">
        <f>VLOOKUP('Customer Info'!C3037,'Customer Info'!C3037:C3536,1)</f>
        <v>#N/A</v>
      </c>
      <c r="I3045" s="6" t="e">
        <f>VLOOKUP('Customer Info'!E3037,'Customer Info'!E3037:E3536,1,0)</f>
        <v>#N/A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5400</v>
      </c>
      <c r="R3045" s="2" t="s">
        <v>50</v>
      </c>
      <c r="S3045" s="9">
        <f t="shared" si="239"/>
        <v>0.09</v>
      </c>
    </row>
    <row r="3046" spans="1:19" x14ac:dyDescent="0.3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e">
        <f>VLOOKUP('Customer Info'!B3038,'Customer Info'!B3038:B3537,1,0)</f>
        <v>#N/A</v>
      </c>
      <c r="H3046" s="6" t="e">
        <f>VLOOKUP('Customer Info'!C3038,'Customer Info'!C3038:C3537,1)</f>
        <v>#N/A</v>
      </c>
      <c r="I3046" s="6" t="e">
        <f>VLOOKUP('Customer Info'!E3038,'Customer Info'!E3038:E3537,1,0)</f>
        <v>#N/A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782</v>
      </c>
      <c r="R3046" s="2" t="s">
        <v>50</v>
      </c>
      <c r="S3046" s="9">
        <f t="shared" si="239"/>
        <v>0.05</v>
      </c>
    </row>
    <row r="3047" spans="1:19" x14ac:dyDescent="0.3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e">
        <f>VLOOKUP('Customer Info'!B3039,'Customer Info'!B3039:B3538,1,0)</f>
        <v>#N/A</v>
      </c>
      <c r="H3047" s="6" t="e">
        <f>VLOOKUP('Customer Info'!C3039,'Customer Info'!C3039:C3538,1)</f>
        <v>#N/A</v>
      </c>
      <c r="I3047" s="6" t="e">
        <f>VLOOKUP('Customer Info'!E3039,'Customer Info'!E3039:E3538,1,0)</f>
        <v>#N/A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186</v>
      </c>
      <c r="R3047" s="2" t="s">
        <v>28</v>
      </c>
      <c r="S3047" s="9">
        <f t="shared" si="239"/>
        <v>0.02</v>
      </c>
    </row>
    <row r="3048" spans="1:19" x14ac:dyDescent="0.3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e">
        <f>VLOOKUP('Customer Info'!B3040,'Customer Info'!B3040:B3539,1,0)</f>
        <v>#N/A</v>
      </c>
      <c r="H3048" s="6" t="e">
        <f>VLOOKUP('Customer Info'!C3040,'Customer Info'!C3040:C3539,1)</f>
        <v>#N/A</v>
      </c>
      <c r="I3048" s="6" t="e">
        <f>VLOOKUP('Customer Info'!E3040,'Customer Info'!E3040:E3539,1,0)</f>
        <v>#N/A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1572</v>
      </c>
      <c r="R3048" s="2" t="s">
        <v>50</v>
      </c>
      <c r="S3048" s="9">
        <f t="shared" si="239"/>
        <v>0.05</v>
      </c>
    </row>
    <row r="3049" spans="1:19" x14ac:dyDescent="0.3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e">
        <f>VLOOKUP('Customer Info'!B3041,'Customer Info'!B3041:B3540,1,0)</f>
        <v>#N/A</v>
      </c>
      <c r="H3049" s="6" t="e">
        <f>VLOOKUP('Customer Info'!C3041,'Customer Info'!C3041:C3540,1)</f>
        <v>#N/A</v>
      </c>
      <c r="I3049" s="6" t="e">
        <f>VLOOKUP('Customer Info'!E3041,'Customer Info'!E3041:E3540,1,0)</f>
        <v>#N/A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4</v>
      </c>
      <c r="R3049" s="2" t="s">
        <v>28</v>
      </c>
      <c r="S3049" s="9">
        <f t="shared" si="239"/>
        <v>0.02</v>
      </c>
    </row>
    <row r="3050" spans="1:19" x14ac:dyDescent="0.3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e">
        <f>VLOOKUP('Customer Info'!B3042,'Customer Info'!B3042:B3541,1,0)</f>
        <v>#N/A</v>
      </c>
      <c r="H3050" s="6" t="e">
        <f>VLOOKUP('Customer Info'!C3042,'Customer Info'!C3042:C3541,1)</f>
        <v>#N/A</v>
      </c>
      <c r="I3050" s="6" t="e">
        <f>VLOOKUP('Customer Info'!E3042,'Customer Info'!E3042:E3541,1,0)</f>
        <v>#N/A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352</v>
      </c>
      <c r="R3050" s="2" t="s">
        <v>28</v>
      </c>
      <c r="S3050" s="9">
        <f t="shared" si="239"/>
        <v>0.02</v>
      </c>
    </row>
    <row r="3051" spans="1:19" x14ac:dyDescent="0.3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e">
        <f>VLOOKUP('Customer Info'!B3043,'Customer Info'!B3043:B3542,1,0)</f>
        <v>#N/A</v>
      </c>
      <c r="H3051" s="6" t="e">
        <f>VLOOKUP('Customer Info'!C3043,'Customer Info'!C3043:C3542,1)</f>
        <v>#N/A</v>
      </c>
      <c r="I3051" s="6" t="e">
        <f>VLOOKUP('Customer Info'!E3043,'Customer Info'!E3043:E3542,1,0)</f>
        <v>#N/A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14966</v>
      </c>
      <c r="R3051" s="2" t="s">
        <v>28</v>
      </c>
      <c r="S3051" s="9">
        <f t="shared" si="239"/>
        <v>0.12</v>
      </c>
    </row>
    <row r="3052" spans="1:19" x14ac:dyDescent="0.3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e">
        <f>VLOOKUP('Customer Info'!B3044,'Customer Info'!B3044:B3543,1,0)</f>
        <v>#N/A</v>
      </c>
      <c r="H3052" s="6" t="e">
        <f>VLOOKUP('Customer Info'!C3044,'Customer Info'!C3044:C3543,1)</f>
        <v>#N/A</v>
      </c>
      <c r="I3052" s="6" t="e">
        <f>VLOOKUP('Customer Info'!E3044,'Customer Info'!E3044:E3543,1,0)</f>
        <v>#N/A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77</v>
      </c>
      <c r="R3052" s="2" t="s">
        <v>50</v>
      </c>
      <c r="S3052" s="9">
        <f t="shared" si="239"/>
        <v>0.02</v>
      </c>
    </row>
    <row r="3053" spans="1:19" x14ac:dyDescent="0.3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e">
        <f>VLOOKUP('Customer Info'!B3045,'Customer Info'!B3045:B3544,1,0)</f>
        <v>#N/A</v>
      </c>
      <c r="H3053" s="6" t="e">
        <f>VLOOKUP('Customer Info'!C3045,'Customer Info'!C3045:C3544,1)</f>
        <v>#N/A</v>
      </c>
      <c r="I3053" s="6" t="e">
        <f>VLOOKUP('Customer Info'!E3045,'Customer Info'!E3045:E3544,1,0)</f>
        <v>#N/A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320</v>
      </c>
      <c r="R3053" s="2" t="s">
        <v>28</v>
      </c>
      <c r="S3053" s="9">
        <f t="shared" si="239"/>
        <v>0.02</v>
      </c>
    </row>
    <row r="3054" spans="1:19" x14ac:dyDescent="0.3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e">
        <f>VLOOKUP('Customer Info'!B3046,'Customer Info'!B3046:B3545,1,0)</f>
        <v>#N/A</v>
      </c>
      <c r="H3054" s="6" t="e">
        <f>VLOOKUP('Customer Info'!C3046,'Customer Info'!C3046:C3545,1)</f>
        <v>#N/A</v>
      </c>
      <c r="I3054" s="6" t="e">
        <f>VLOOKUP('Customer Info'!E3046,'Customer Info'!E3046:E3545,1,0)</f>
        <v>#N/A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5</v>
      </c>
      <c r="R3054" s="2" t="s">
        <v>28</v>
      </c>
      <c r="S3054" s="9">
        <f t="shared" si="239"/>
        <v>0.02</v>
      </c>
    </row>
    <row r="3055" spans="1:19" x14ac:dyDescent="0.3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e">
        <f>VLOOKUP('Customer Info'!B3047,'Customer Info'!B3047:B3546,1,0)</f>
        <v>#N/A</v>
      </c>
      <c r="H3055" s="6" t="e">
        <f>VLOOKUP('Customer Info'!C3047,'Customer Info'!C3047:C3546,1)</f>
        <v>#N/A</v>
      </c>
      <c r="I3055" s="6" t="e">
        <f>VLOOKUP('Customer Info'!E3047,'Customer Info'!E3047:E3546,1,0)</f>
        <v>#N/A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28</v>
      </c>
      <c r="R3055" s="2" t="s">
        <v>28</v>
      </c>
      <c r="S3055" s="9">
        <f t="shared" si="239"/>
        <v>0.02</v>
      </c>
    </row>
    <row r="3056" spans="1:19" x14ac:dyDescent="0.3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e">
        <f>VLOOKUP('Customer Info'!B3048,'Customer Info'!B3048:B3547,1,0)</f>
        <v>#N/A</v>
      </c>
      <c r="H3056" s="6" t="e">
        <f>VLOOKUP('Customer Info'!C3048,'Customer Info'!C3048:C3547,1)</f>
        <v>#N/A</v>
      </c>
      <c r="I3056" s="6" t="e">
        <f>VLOOKUP('Customer Info'!E3048,'Customer Info'!E3048:E3547,1,0)</f>
        <v>#N/A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132</v>
      </c>
      <c r="R3056" s="2" t="s">
        <v>28</v>
      </c>
      <c r="S3056" s="9">
        <f t="shared" si="239"/>
        <v>0.02</v>
      </c>
    </row>
    <row r="3057" spans="1:19" x14ac:dyDescent="0.3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e">
        <f>VLOOKUP('Customer Info'!B3049,'Customer Info'!B3049:B3548,1,0)</f>
        <v>#N/A</v>
      </c>
      <c r="H3057" s="6" t="e">
        <f>VLOOKUP('Customer Info'!C3049,'Customer Info'!C3049:C3548,1)</f>
        <v>#N/A</v>
      </c>
      <c r="I3057" s="6" t="e">
        <f>VLOOKUP('Customer Info'!E3049,'Customer Info'!E3049:E3548,1,0)</f>
        <v>#N/A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686</v>
      </c>
      <c r="R3057" s="2" t="s">
        <v>50</v>
      </c>
      <c r="S3057" s="9">
        <f t="shared" si="239"/>
        <v>0.05</v>
      </c>
    </row>
    <row r="3058" spans="1:19" x14ac:dyDescent="0.3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e">
        <f>VLOOKUP('Customer Info'!B3050,'Customer Info'!B3050:B3549,1,0)</f>
        <v>#N/A</v>
      </c>
      <c r="H3058" s="6" t="e">
        <f>VLOOKUP('Customer Info'!C3050,'Customer Info'!C3050:C3549,1)</f>
        <v>#N/A</v>
      </c>
      <c r="I3058" s="6" t="e">
        <f>VLOOKUP('Customer Info'!E3050,'Customer Info'!E3050:E3549,1,0)</f>
        <v>#N/A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12</v>
      </c>
      <c r="R3058" s="2" t="s">
        <v>28</v>
      </c>
      <c r="S3058" s="9">
        <f t="shared" si="239"/>
        <v>0.02</v>
      </c>
    </row>
    <row r="3059" spans="1:19" x14ac:dyDescent="0.3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e">
        <f>VLOOKUP('Customer Info'!B3051,'Customer Info'!B3051:B3550,1,0)</f>
        <v>#N/A</v>
      </c>
      <c r="H3059" s="6" t="e">
        <f>VLOOKUP('Customer Info'!C3051,'Customer Info'!C3051:C3550,1)</f>
        <v>#N/A</v>
      </c>
      <c r="I3059" s="6" t="e">
        <f>VLOOKUP('Customer Info'!E3051,'Customer Info'!E3051:E3550,1,0)</f>
        <v>#N/A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336</v>
      </c>
      <c r="R3059" s="2" t="s">
        <v>28</v>
      </c>
      <c r="S3059" s="9">
        <f t="shared" si="239"/>
        <v>0.05</v>
      </c>
    </row>
    <row r="3060" spans="1:19" x14ac:dyDescent="0.3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e">
        <f>VLOOKUP('Customer Info'!B3052,'Customer Info'!B3052:B3551,1,0)</f>
        <v>#N/A</v>
      </c>
      <c r="H3060" s="6" t="e">
        <f>VLOOKUP('Customer Info'!C3052,'Customer Info'!C3052:C3551,1)</f>
        <v>#N/A</v>
      </c>
      <c r="I3060" s="6" t="e">
        <f>VLOOKUP('Customer Info'!E3052,'Customer Info'!E3052:E3551,1,0)</f>
        <v>#N/A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33</v>
      </c>
      <c r="R3060" s="2" t="s">
        <v>50</v>
      </c>
      <c r="S3060" s="9">
        <f t="shared" si="239"/>
        <v>0.02</v>
      </c>
    </row>
    <row r="3061" spans="1:19" x14ac:dyDescent="0.3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e">
        <f>VLOOKUP('Customer Info'!B3053,'Customer Info'!B3053:B3552,1,0)</f>
        <v>#N/A</v>
      </c>
      <c r="H3061" s="6" t="e">
        <f>VLOOKUP('Customer Info'!C3053,'Customer Info'!C3053:C3552,1)</f>
        <v>#N/A</v>
      </c>
      <c r="I3061" s="6" t="e">
        <f>VLOOKUP('Customer Info'!E3053,'Customer Info'!E3053:E3552,1,0)</f>
        <v>#N/A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12</v>
      </c>
      <c r="R3061" s="2" t="s">
        <v>50</v>
      </c>
      <c r="S3061" s="9">
        <f t="shared" si="239"/>
        <v>0.02</v>
      </c>
    </row>
    <row r="3062" spans="1:19" x14ac:dyDescent="0.3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e">
        <f>VLOOKUP('Customer Info'!B3054,'Customer Info'!B3054:B3553,1,0)</f>
        <v>#N/A</v>
      </c>
      <c r="H3062" s="6" t="e">
        <f>VLOOKUP('Customer Info'!C3054,'Customer Info'!C3054:C3553,1)</f>
        <v>#N/A</v>
      </c>
      <c r="I3062" s="6" t="e">
        <f>VLOOKUP('Customer Info'!E3054,'Customer Info'!E3054:E3553,1,0)</f>
        <v>#N/A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776</v>
      </c>
      <c r="R3062" s="2" t="s">
        <v>26</v>
      </c>
      <c r="S3062" s="9">
        <f t="shared" si="239"/>
        <v>0.05</v>
      </c>
    </row>
    <row r="3063" spans="1:19" x14ac:dyDescent="0.3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e">
        <f>VLOOKUP('Customer Info'!B3055,'Customer Info'!B3055:B3554,1,0)</f>
        <v>#N/A</v>
      </c>
      <c r="H3063" s="6" t="e">
        <f>VLOOKUP('Customer Info'!C3055,'Customer Info'!C3055:C3554,1)</f>
        <v>#N/A</v>
      </c>
      <c r="I3063" s="6" t="e">
        <f>VLOOKUP('Customer Info'!E3055,'Customer Info'!E3055:E3554,1,0)</f>
        <v>#N/A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39</v>
      </c>
      <c r="R3063" s="2" t="s">
        <v>28</v>
      </c>
      <c r="S3063" s="9">
        <f t="shared" si="239"/>
        <v>0.02</v>
      </c>
    </row>
    <row r="3064" spans="1:19" x14ac:dyDescent="0.3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e">
        <f>VLOOKUP('Customer Info'!B3056,'Customer Info'!B3056:B3555,1,0)</f>
        <v>#N/A</v>
      </c>
      <c r="H3064" s="6" t="e">
        <f>VLOOKUP('Customer Info'!C3056,'Customer Info'!C3056:C3555,1)</f>
        <v>#N/A</v>
      </c>
      <c r="I3064" s="6" t="e">
        <f>VLOOKUP('Customer Info'!E3056,'Customer Info'!E3056:E3555,1,0)</f>
        <v>#N/A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12</v>
      </c>
      <c r="R3064" s="2" t="s">
        <v>28</v>
      </c>
      <c r="S3064" s="9">
        <f t="shared" si="239"/>
        <v>0.02</v>
      </c>
    </row>
    <row r="3065" spans="1:19" x14ac:dyDescent="0.3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e">
        <f>VLOOKUP('Customer Info'!B3057,'Customer Info'!B3057:B3556,1,0)</f>
        <v>#N/A</v>
      </c>
      <c r="H3065" s="6" t="e">
        <f>VLOOKUP('Customer Info'!C3057,'Customer Info'!C3057:C3556,1)</f>
        <v>#N/A</v>
      </c>
      <c r="I3065" s="6" t="e">
        <f>VLOOKUP('Customer Info'!E3057,'Customer Info'!E3057:E3556,1,0)</f>
        <v>#N/A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42</v>
      </c>
      <c r="R3065" s="2" t="s">
        <v>28</v>
      </c>
      <c r="S3065" s="9">
        <f t="shared" si="239"/>
        <v>0.02</v>
      </c>
    </row>
    <row r="3066" spans="1:19" x14ac:dyDescent="0.3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e">
        <f>VLOOKUP('Customer Info'!B3058,'Customer Info'!B3058:B3557,1,0)</f>
        <v>#N/A</v>
      </c>
      <c r="H3066" s="6" t="e">
        <f>VLOOKUP('Customer Info'!C3058,'Customer Info'!C3058:C3557,1)</f>
        <v>#N/A</v>
      </c>
      <c r="I3066" s="6" t="e">
        <f>VLOOKUP('Customer Info'!E3058,'Customer Info'!E3058:E3557,1,0)</f>
        <v>#N/A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1140</v>
      </c>
      <c r="R3066" s="2" t="s">
        <v>56</v>
      </c>
      <c r="S3066" s="9">
        <f t="shared" si="239"/>
        <v>0.05</v>
      </c>
    </row>
    <row r="3067" spans="1:19" x14ac:dyDescent="0.3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e">
        <f>VLOOKUP('Customer Info'!B3059,'Customer Info'!B3059:B3558,1,0)</f>
        <v>#N/A</v>
      </c>
      <c r="H3067" s="6" t="e">
        <f>VLOOKUP('Customer Info'!C3059,'Customer Info'!C3059:C3558,1)</f>
        <v>#N/A</v>
      </c>
      <c r="I3067" s="6" t="e">
        <f>VLOOKUP('Customer Info'!E3059,'Customer Info'!E3059:E3558,1,0)</f>
        <v>#N/A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144</v>
      </c>
      <c r="R3067" s="2" t="s">
        <v>28</v>
      </c>
      <c r="S3067" s="9">
        <f t="shared" si="239"/>
        <v>0.02</v>
      </c>
    </row>
    <row r="3068" spans="1:19" x14ac:dyDescent="0.3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e">
        <f>VLOOKUP('Customer Info'!B3060,'Customer Info'!B3060:B3559,1,0)</f>
        <v>#N/A</v>
      </c>
      <c r="H3068" s="6" t="e">
        <f>VLOOKUP('Customer Info'!C3060,'Customer Info'!C3060:C3559,1)</f>
        <v>#N/A</v>
      </c>
      <c r="I3068" s="6" t="e">
        <f>VLOOKUP('Customer Info'!E3060,'Customer Info'!E3060:E3559,1,0)</f>
        <v>#N/A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69</v>
      </c>
      <c r="R3068" s="2" t="s">
        <v>50</v>
      </c>
      <c r="S3068" s="9">
        <f t="shared" si="239"/>
        <v>0.02</v>
      </c>
    </row>
    <row r="3069" spans="1:19" x14ac:dyDescent="0.3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e">
        <f>VLOOKUP('Customer Info'!B3061,'Customer Info'!B3061:B3560,1,0)</f>
        <v>#N/A</v>
      </c>
      <c r="H3069" s="6" t="e">
        <f>VLOOKUP('Customer Info'!C3061,'Customer Info'!C3061:C3560,1)</f>
        <v>#N/A</v>
      </c>
      <c r="I3069" s="6" t="e">
        <f>VLOOKUP('Customer Info'!E3061,'Customer Info'!E3061:E3560,1,0)</f>
        <v>#N/A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7800</v>
      </c>
      <c r="R3069" s="2" t="s">
        <v>50</v>
      </c>
      <c r="S3069" s="9">
        <f t="shared" si="239"/>
        <v>0.09</v>
      </c>
    </row>
    <row r="3070" spans="1:19" x14ac:dyDescent="0.3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e">
        <f>VLOOKUP('Customer Info'!B3062,'Customer Info'!B3062:B3561,1,0)</f>
        <v>#N/A</v>
      </c>
      <c r="H3070" s="6" t="e">
        <f>VLOOKUP('Customer Info'!C3062,'Customer Info'!C3062:C3561,1)</f>
        <v>#N/A</v>
      </c>
      <c r="I3070" s="6" t="e">
        <f>VLOOKUP('Customer Info'!E3062,'Customer Info'!E3062:E3561,1,0)</f>
        <v>#N/A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95</v>
      </c>
      <c r="R3070" s="2" t="s">
        <v>50</v>
      </c>
      <c r="S3070" s="9">
        <f t="shared" si="239"/>
        <v>0.02</v>
      </c>
    </row>
    <row r="3071" spans="1:19" x14ac:dyDescent="0.3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e">
        <f>VLOOKUP('Customer Info'!B3063,'Customer Info'!B3063:B3562,1,0)</f>
        <v>#N/A</v>
      </c>
      <c r="H3071" s="6" t="e">
        <f>VLOOKUP('Customer Info'!C3063,'Customer Info'!C3063:C3562,1)</f>
        <v>#N/A</v>
      </c>
      <c r="I3071" s="6" t="e">
        <f>VLOOKUP('Customer Info'!E3063,'Customer Info'!E3063:E3562,1,0)</f>
        <v>#N/A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146</v>
      </c>
      <c r="R3071" s="2" t="s">
        <v>26</v>
      </c>
      <c r="S3071" s="9">
        <f t="shared" si="239"/>
        <v>0.02</v>
      </c>
    </row>
    <row r="3072" spans="1:19" x14ac:dyDescent="0.3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e">
        <f>VLOOKUP('Customer Info'!B3064,'Customer Info'!B3064:B3563,1,0)</f>
        <v>#N/A</v>
      </c>
      <c r="H3072" s="6" t="e">
        <f>VLOOKUP('Customer Info'!C3064,'Customer Info'!C3064:C3563,1)</f>
        <v>#N/A</v>
      </c>
      <c r="I3072" s="6" t="e">
        <f>VLOOKUP('Customer Info'!E3064,'Customer Info'!E3064:E3563,1,0)</f>
        <v>#N/A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2124</v>
      </c>
      <c r="R3072" s="2" t="s">
        <v>28</v>
      </c>
      <c r="S3072" s="9">
        <f t="shared" si="239"/>
        <v>7.0000000000000007E-2</v>
      </c>
    </row>
    <row r="3073" spans="1:19" x14ac:dyDescent="0.3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e">
        <f>VLOOKUP('Customer Info'!B3065,'Customer Info'!B3065:B3564,1,0)</f>
        <v>#N/A</v>
      </c>
      <c r="H3073" s="6" t="e">
        <f>VLOOKUP('Customer Info'!C3065,'Customer Info'!C3065:C3564,1)</f>
        <v>#N/A</v>
      </c>
      <c r="I3073" s="6" t="e">
        <f>VLOOKUP('Customer Info'!E3065,'Customer Info'!E3065:E3564,1,0)</f>
        <v>#N/A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27</v>
      </c>
      <c r="R3073" s="2" t="s">
        <v>26</v>
      </c>
      <c r="S3073" s="9">
        <f t="shared" si="239"/>
        <v>0.02</v>
      </c>
    </row>
    <row r="3074" spans="1:19" x14ac:dyDescent="0.3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e">
        <f>VLOOKUP('Customer Info'!B3066,'Customer Info'!B3066:B3565,1,0)</f>
        <v>#N/A</v>
      </c>
      <c r="H3074" s="6" t="e">
        <f>VLOOKUP('Customer Info'!C3066,'Customer Info'!C3066:C3565,1)</f>
        <v>#N/A</v>
      </c>
      <c r="I3074" s="6" t="e">
        <f>VLOOKUP('Customer Info'!E3066,'Customer Info'!E3066:E3565,1,0)</f>
        <v>#N/A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29</v>
      </c>
      <c r="R3074" s="2" t="s">
        <v>28</v>
      </c>
      <c r="S3074" s="9">
        <f t="shared" si="239"/>
        <v>0.02</v>
      </c>
    </row>
    <row r="3075" spans="1:19" x14ac:dyDescent="0.3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e">
        <f>VLOOKUP('Customer Info'!B3067,'Customer Info'!B3067:B3566,1,0)</f>
        <v>#N/A</v>
      </c>
      <c r="H3075" s="6" t="e">
        <f>VLOOKUP('Customer Info'!C3067,'Customer Info'!C3067:C3566,1)</f>
        <v>#N/A</v>
      </c>
      <c r="I3075" s="6" t="e">
        <f>VLOOKUP('Customer Info'!E3067,'Customer Info'!E3067:E3566,1,0)</f>
        <v>#N/A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11</v>
      </c>
      <c r="R3075" s="2" t="s">
        <v>50</v>
      </c>
      <c r="S3075" s="9">
        <f t="shared" si="239"/>
        <v>0.02</v>
      </c>
    </row>
    <row r="3076" spans="1:19" x14ac:dyDescent="0.3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e">
        <f>VLOOKUP('Customer Info'!B3068,'Customer Info'!B3068:B3567,1,0)</f>
        <v>#N/A</v>
      </c>
      <c r="H3076" s="6" t="e">
        <f>VLOOKUP('Customer Info'!C3068,'Customer Info'!C3068:C3567,1)</f>
        <v>#N/A</v>
      </c>
      <c r="I3076" s="6" t="e">
        <f>VLOOKUP('Customer Info'!E3068,'Customer Info'!E3068:E3567,1,0)</f>
        <v>#N/A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1716</v>
      </c>
      <c r="R3076" s="2" t="s">
        <v>50</v>
      </c>
      <c r="S3076" s="9">
        <f t="shared" si="239"/>
        <v>7.0000000000000007E-2</v>
      </c>
    </row>
    <row r="3077" spans="1:19" x14ac:dyDescent="0.3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e">
        <f>VLOOKUP('Customer Info'!B3069,'Customer Info'!B3069:B3568,1,0)</f>
        <v>#N/A</v>
      </c>
      <c r="H3077" s="6" t="e">
        <f>VLOOKUP('Customer Info'!C3069,'Customer Info'!C3069:C3568,1)</f>
        <v>#N/A</v>
      </c>
      <c r="I3077" s="6" t="e">
        <f>VLOOKUP('Customer Info'!E3069,'Customer Info'!E3069:E3568,1,0)</f>
        <v>#N/A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570</v>
      </c>
      <c r="R3077" s="2" t="s">
        <v>28</v>
      </c>
      <c r="S3077" s="9">
        <f t="shared" si="239"/>
        <v>0.05</v>
      </c>
    </row>
    <row r="3078" spans="1:19" x14ac:dyDescent="0.3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e">
        <f>VLOOKUP('Customer Info'!B3070,'Customer Info'!B3070:B3569,1,0)</f>
        <v>#N/A</v>
      </c>
      <c r="H3078" s="6" t="e">
        <f>VLOOKUP('Customer Info'!C3070,'Customer Info'!C3070:C3569,1)</f>
        <v>#N/A</v>
      </c>
      <c r="I3078" s="6" t="e">
        <f>VLOOKUP('Customer Info'!E3070,'Customer Info'!E3070:E3569,1,0)</f>
        <v>#N/A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22</v>
      </c>
      <c r="R3078" s="2" t="s">
        <v>26</v>
      </c>
      <c r="S3078" s="9">
        <f t="shared" si="239"/>
        <v>0.02</v>
      </c>
    </row>
    <row r="3079" spans="1:19" x14ac:dyDescent="0.3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e">
        <f>VLOOKUP('Customer Info'!B3071,'Customer Info'!B3071:B3570,1,0)</f>
        <v>#N/A</v>
      </c>
      <c r="H3079" s="6" t="e">
        <f>VLOOKUP('Customer Info'!C3071,'Customer Info'!C3071:C3570,1)</f>
        <v>#N/A</v>
      </c>
      <c r="I3079" s="6" t="e">
        <f>VLOOKUP('Customer Info'!E3071,'Customer Info'!E3071:E3570,1,0)</f>
        <v>#N/A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524</v>
      </c>
      <c r="R3079" s="2" t="s">
        <v>28</v>
      </c>
      <c r="S3079" s="9">
        <f t="shared" si="239"/>
        <v>0.05</v>
      </c>
    </row>
    <row r="3080" spans="1:19" x14ac:dyDescent="0.3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e">
        <f>VLOOKUP('Customer Info'!B3072,'Customer Info'!B3072:B3571,1,0)</f>
        <v>#N/A</v>
      </c>
      <c r="H3080" s="6" t="e">
        <f>VLOOKUP('Customer Info'!C3072,'Customer Info'!C3072:C3571,1)</f>
        <v>#N/A</v>
      </c>
      <c r="I3080" s="6" t="e">
        <f>VLOOKUP('Customer Info'!E3072,'Customer Info'!E3072:E3571,1,0)</f>
        <v>#N/A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364</v>
      </c>
      <c r="R3080" s="2" t="s">
        <v>28</v>
      </c>
      <c r="S3080" s="9">
        <f t="shared" si="239"/>
        <v>0.02</v>
      </c>
    </row>
    <row r="3081" spans="1:19" x14ac:dyDescent="0.3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e">
        <f>VLOOKUP('Customer Info'!B3073,'Customer Info'!B3073:B3572,1,0)</f>
        <v>#N/A</v>
      </c>
      <c r="H3081" s="6" t="e">
        <f>VLOOKUP('Customer Info'!C3073,'Customer Info'!C3073:C3572,1)</f>
        <v>#N/A</v>
      </c>
      <c r="I3081" s="6" t="e">
        <f>VLOOKUP('Customer Info'!E3073,'Customer Info'!E3073:E3572,1,0)</f>
        <v>#N/A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3804</v>
      </c>
      <c r="R3081" s="2" t="s">
        <v>28</v>
      </c>
      <c r="S3081" s="9">
        <f t="shared" si="239"/>
        <v>7.0000000000000007E-2</v>
      </c>
    </row>
    <row r="3082" spans="1:19" x14ac:dyDescent="0.3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e">
        <f>VLOOKUP('Customer Info'!B3074,'Customer Info'!B3074:B3573,1,0)</f>
        <v>#N/A</v>
      </c>
      <c r="H3082" s="6" t="e">
        <f>VLOOKUP('Customer Info'!C3074,'Customer Info'!C3074:C3573,1)</f>
        <v>#N/A</v>
      </c>
      <c r="I3082" s="6" t="e">
        <f>VLOOKUP('Customer Info'!E3074,'Customer Info'!E3074:E3573,1,0)</f>
        <v>#N/A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90</v>
      </c>
      <c r="R3082" s="2" t="s">
        <v>50</v>
      </c>
      <c r="S3082" s="9">
        <f t="shared" si="239"/>
        <v>0.02</v>
      </c>
    </row>
    <row r="3083" spans="1:19" x14ac:dyDescent="0.3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e">
        <f>VLOOKUP('Customer Info'!B3075,'Customer Info'!B3075:B3574,1,0)</f>
        <v>#N/A</v>
      </c>
      <c r="H3083" s="6" t="e">
        <f>VLOOKUP('Customer Info'!C3075,'Customer Info'!C3075:C3574,1)</f>
        <v>#N/A</v>
      </c>
      <c r="I3083" s="6" t="e">
        <f>VLOOKUP('Customer Info'!E3075,'Customer Info'!E3075:E3574,1,0)</f>
        <v>#N/A</v>
      </c>
      <c r="J3083" s="2">
        <v>2602</v>
      </c>
      <c r="K3083" s="2">
        <v>2363</v>
      </c>
      <c r="L3083" s="2">
        <v>7</v>
      </c>
      <c r="M3083" s="7">
        <f t="shared" ref="M3083:M3146" si="240">(K3083*L3083)</f>
        <v>16541</v>
      </c>
      <c r="N3083" s="7">
        <f t="shared" ref="N3083:N3146" si="241">(J3083*L3083)</f>
        <v>18214</v>
      </c>
      <c r="O3083" s="2">
        <v>73</v>
      </c>
      <c r="P3083" s="8">
        <f t="shared" ref="P3083:P3146" si="242">(N3083+O3083)</f>
        <v>18287</v>
      </c>
      <c r="Q3083" s="8">
        <f t="shared" ref="Q3083:Q3146" si="243">(N3083-M3083)</f>
        <v>1673</v>
      </c>
      <c r="R3083" s="2" t="s">
        <v>28</v>
      </c>
      <c r="S3083" s="9">
        <f t="shared" ref="S3083:S3146" si="244">_xlfn.IFS(P3083&gt;250000,0.15,P3083&gt;100000,0.12,P3083&gt;50000,0.09,P3083&gt;25000,0.07,P3083&gt;5000,0.05,
 TRUE,0.02)</f>
        <v>0.05</v>
      </c>
    </row>
    <row r="3084" spans="1:19" x14ac:dyDescent="0.3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e">
        <f>VLOOKUP('Customer Info'!B3076,'Customer Info'!B3076:B3575,1,0)</f>
        <v>#N/A</v>
      </c>
      <c r="H3084" s="6" t="e">
        <f>VLOOKUP('Customer Info'!C3076,'Customer Info'!C3076:C3575,1)</f>
        <v>#N/A</v>
      </c>
      <c r="I3084" s="6" t="e">
        <f>VLOOKUP('Customer Info'!E3076,'Customer Info'!E3076:E3575,1,0)</f>
        <v>#N/A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320</v>
      </c>
      <c r="R3084" s="2" t="s">
        <v>28</v>
      </c>
      <c r="S3084" s="9">
        <f t="shared" si="244"/>
        <v>0.02</v>
      </c>
    </row>
    <row r="3085" spans="1:19" x14ac:dyDescent="0.3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e">
        <f>VLOOKUP('Customer Info'!B3077,'Customer Info'!B3077:B3576,1,0)</f>
        <v>#N/A</v>
      </c>
      <c r="H3085" s="6" t="e">
        <f>VLOOKUP('Customer Info'!C3077,'Customer Info'!C3077:C3576,1)</f>
        <v>#N/A</v>
      </c>
      <c r="I3085" s="6" t="e">
        <f>VLOOKUP('Customer Info'!E3077,'Customer Info'!E3077:E3576,1,0)</f>
        <v>#N/A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1816</v>
      </c>
      <c r="R3085" s="2" t="s">
        <v>56</v>
      </c>
      <c r="S3085" s="9">
        <f t="shared" si="244"/>
        <v>7.0000000000000007E-2</v>
      </c>
    </row>
    <row r="3086" spans="1:19" x14ac:dyDescent="0.3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e">
        <f>VLOOKUP('Customer Info'!B3078,'Customer Info'!B3078:B3577,1,0)</f>
        <v>#N/A</v>
      </c>
      <c r="H3086" s="6" t="e">
        <f>VLOOKUP('Customer Info'!C3078,'Customer Info'!C3078:C3577,1)</f>
        <v>#N/A</v>
      </c>
      <c r="I3086" s="6" t="e">
        <f>VLOOKUP('Customer Info'!E3078,'Customer Info'!E3078:E3577,1,0)</f>
        <v>#N/A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126</v>
      </c>
      <c r="R3086" s="2" t="s">
        <v>28</v>
      </c>
      <c r="S3086" s="9">
        <f t="shared" si="244"/>
        <v>0.02</v>
      </c>
    </row>
    <row r="3087" spans="1:19" x14ac:dyDescent="0.3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e">
        <f>VLOOKUP('Customer Info'!B3079,'Customer Info'!B3079:B3578,1,0)</f>
        <v>#N/A</v>
      </c>
      <c r="H3087" s="6" t="e">
        <f>VLOOKUP('Customer Info'!C3079,'Customer Info'!C3079:C3578,1)</f>
        <v>#N/A</v>
      </c>
      <c r="I3087" s="6" t="e">
        <f>VLOOKUP('Customer Info'!E3079,'Customer Info'!E3079:E3578,1,0)</f>
        <v>#N/A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156</v>
      </c>
      <c r="R3087" s="2" t="s">
        <v>28</v>
      </c>
      <c r="S3087" s="9">
        <f t="shared" si="244"/>
        <v>0.02</v>
      </c>
    </row>
    <row r="3088" spans="1:19" x14ac:dyDescent="0.3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e">
        <f>VLOOKUP('Customer Info'!B3080,'Customer Info'!B3080:B3579,1,0)</f>
        <v>#N/A</v>
      </c>
      <c r="H3088" s="6" t="e">
        <f>VLOOKUP('Customer Info'!C3080,'Customer Info'!C3080:C3579,1)</f>
        <v>#N/A</v>
      </c>
      <c r="I3088" s="6" t="e">
        <f>VLOOKUP('Customer Info'!E3080,'Customer Info'!E3080:E3579,1,0)</f>
        <v>#N/A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5</v>
      </c>
      <c r="R3088" s="2" t="s">
        <v>28</v>
      </c>
      <c r="S3088" s="9">
        <f t="shared" si="244"/>
        <v>0.02</v>
      </c>
    </row>
    <row r="3089" spans="1:19" x14ac:dyDescent="0.3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e">
        <f>VLOOKUP('Customer Info'!B3081,'Customer Info'!B3081:B3580,1,0)</f>
        <v>#N/A</v>
      </c>
      <c r="H3089" s="6" t="e">
        <f>VLOOKUP('Customer Info'!C3081,'Customer Info'!C3081:C3580,1)</f>
        <v>#N/A</v>
      </c>
      <c r="I3089" s="6" t="e">
        <f>VLOOKUP('Customer Info'!E3081,'Customer Info'!E3081:E3580,1,0)</f>
        <v>#N/A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335</v>
      </c>
      <c r="R3089" s="2" t="s">
        <v>56</v>
      </c>
      <c r="S3089" s="9">
        <f t="shared" si="244"/>
        <v>0.05</v>
      </c>
    </row>
    <row r="3090" spans="1:19" x14ac:dyDescent="0.3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e">
        <f>VLOOKUP('Customer Info'!B3082,'Customer Info'!B3082:B3581,1,0)</f>
        <v>#N/A</v>
      </c>
      <c r="H3090" s="6" t="e">
        <f>VLOOKUP('Customer Info'!C3082,'Customer Info'!C3082:C3581,1)</f>
        <v>#N/A</v>
      </c>
      <c r="I3090" s="6" t="e">
        <f>VLOOKUP('Customer Info'!E3082,'Customer Info'!E3082:E3581,1,0)</f>
        <v>#N/A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807</v>
      </c>
      <c r="R3090" s="2" t="s">
        <v>50</v>
      </c>
      <c r="S3090" s="9">
        <f t="shared" si="244"/>
        <v>0.05</v>
      </c>
    </row>
    <row r="3091" spans="1:19" x14ac:dyDescent="0.3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e">
        <f>VLOOKUP('Customer Info'!B3083,'Customer Info'!B3083:B3582,1,0)</f>
        <v>#N/A</v>
      </c>
      <c r="H3091" s="6" t="e">
        <f>VLOOKUP('Customer Info'!C3083,'Customer Info'!C3083:C3582,1)</f>
        <v>#N/A</v>
      </c>
      <c r="I3091" s="6" t="e">
        <f>VLOOKUP('Customer Info'!E3083,'Customer Info'!E3083:E3582,1,0)</f>
        <v>#N/A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34</v>
      </c>
      <c r="R3091" s="2" t="s">
        <v>28</v>
      </c>
      <c r="S3091" s="9">
        <f t="shared" si="244"/>
        <v>0.02</v>
      </c>
    </row>
    <row r="3092" spans="1:19" x14ac:dyDescent="0.3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e">
        <f>VLOOKUP('Customer Info'!B3084,'Customer Info'!B3084:B3583,1,0)</f>
        <v>#N/A</v>
      </c>
      <c r="H3092" s="6" t="e">
        <f>VLOOKUP('Customer Info'!C3084,'Customer Info'!C3084:C3583,1)</f>
        <v>#N/A</v>
      </c>
      <c r="I3092" s="6" t="e">
        <f>VLOOKUP('Customer Info'!E3084,'Customer Info'!E3084:E3583,1,0)</f>
        <v>#N/A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65</v>
      </c>
      <c r="R3092" s="2" t="s">
        <v>50</v>
      </c>
      <c r="S3092" s="9">
        <f t="shared" si="244"/>
        <v>0.02</v>
      </c>
    </row>
    <row r="3093" spans="1:19" x14ac:dyDescent="0.3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e">
        <f>VLOOKUP('Customer Info'!B3085,'Customer Info'!B3085:B3584,1,0)</f>
        <v>#N/A</v>
      </c>
      <c r="H3093" s="6" t="e">
        <f>VLOOKUP('Customer Info'!C3085,'Customer Info'!C3085:C3584,1)</f>
        <v>#N/A</v>
      </c>
      <c r="I3093" s="6" t="e">
        <f>VLOOKUP('Customer Info'!E3085,'Customer Info'!E3085:E3584,1,0)</f>
        <v>#N/A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584</v>
      </c>
      <c r="R3093" s="2" t="s">
        <v>50</v>
      </c>
      <c r="S3093" s="9">
        <f t="shared" si="244"/>
        <v>0.05</v>
      </c>
    </row>
    <row r="3094" spans="1:19" x14ac:dyDescent="0.3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e">
        <f>VLOOKUP('Customer Info'!B3086,'Customer Info'!B3086:B3585,1,0)</f>
        <v>#N/A</v>
      </c>
      <c r="H3094" s="6" t="e">
        <f>VLOOKUP('Customer Info'!C3086,'Customer Info'!C3086:C3585,1)</f>
        <v>#N/A</v>
      </c>
      <c r="I3094" s="6" t="e">
        <f>VLOOKUP('Customer Info'!E3086,'Customer Info'!E3086:E3585,1,0)</f>
        <v>#N/A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79</v>
      </c>
      <c r="R3094" s="2" t="s">
        <v>28</v>
      </c>
      <c r="S3094" s="9">
        <f t="shared" si="244"/>
        <v>0.02</v>
      </c>
    </row>
    <row r="3095" spans="1:19" x14ac:dyDescent="0.3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e">
        <f>VLOOKUP('Customer Info'!B3087,'Customer Info'!B3087:B3586,1,0)</f>
        <v>#N/A</v>
      </c>
      <c r="H3095" s="6" t="e">
        <f>VLOOKUP('Customer Info'!C3087,'Customer Info'!C3087:C3586,1)</f>
        <v>#N/A</v>
      </c>
      <c r="I3095" s="6" t="e">
        <f>VLOOKUP('Customer Info'!E3087,'Customer Info'!E3087:E3586,1,0)</f>
        <v>#N/A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36</v>
      </c>
      <c r="R3095" s="2" t="s">
        <v>50</v>
      </c>
      <c r="S3095" s="9">
        <f t="shared" si="244"/>
        <v>0.02</v>
      </c>
    </row>
    <row r="3096" spans="1:19" x14ac:dyDescent="0.3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e">
        <f>VLOOKUP('Customer Info'!B3088,'Customer Info'!B3088:B3587,1,0)</f>
        <v>#N/A</v>
      </c>
      <c r="H3096" s="6" t="e">
        <f>VLOOKUP('Customer Info'!C3088,'Customer Info'!C3088:C3587,1)</f>
        <v>#N/A</v>
      </c>
      <c r="I3096" s="6" t="e">
        <f>VLOOKUP('Customer Info'!E3088,'Customer Info'!E3088:E3587,1,0)</f>
        <v>#N/A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48</v>
      </c>
      <c r="R3096" s="2" t="s">
        <v>28</v>
      </c>
      <c r="S3096" s="9">
        <f t="shared" si="244"/>
        <v>0.02</v>
      </c>
    </row>
    <row r="3097" spans="1:19" x14ac:dyDescent="0.3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e">
        <f>VLOOKUP('Customer Info'!B3089,'Customer Info'!B3089:B3588,1,0)</f>
        <v>#N/A</v>
      </c>
      <c r="H3097" s="6" t="e">
        <f>VLOOKUP('Customer Info'!C3089,'Customer Info'!C3089:C3588,1)</f>
        <v>#N/A</v>
      </c>
      <c r="I3097" s="6" t="e">
        <f>VLOOKUP('Customer Info'!E3089,'Customer Info'!E3089:E3588,1,0)</f>
        <v>#N/A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386</v>
      </c>
      <c r="R3097" s="2" t="s">
        <v>28</v>
      </c>
      <c r="S3097" s="9">
        <f t="shared" si="244"/>
        <v>0.05</v>
      </c>
    </row>
    <row r="3098" spans="1:19" x14ac:dyDescent="0.3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e">
        <f>VLOOKUP('Customer Info'!B3090,'Customer Info'!B3090:B3589,1,0)</f>
        <v>#N/A</v>
      </c>
      <c r="H3098" s="6" t="e">
        <f>VLOOKUP('Customer Info'!C3090,'Customer Info'!C3090:C3589,1)</f>
        <v>#N/A</v>
      </c>
      <c r="I3098" s="6" t="e">
        <f>VLOOKUP('Customer Info'!E3090,'Customer Info'!E3090:E3589,1,0)</f>
        <v>#N/A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1264</v>
      </c>
      <c r="R3098" s="2" t="s">
        <v>50</v>
      </c>
      <c r="S3098" s="9">
        <f t="shared" si="244"/>
        <v>0.05</v>
      </c>
    </row>
    <row r="3099" spans="1:19" x14ac:dyDescent="0.3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e">
        <f>VLOOKUP('Customer Info'!B3091,'Customer Info'!B3091:B3590,1,0)</f>
        <v>#N/A</v>
      </c>
      <c r="H3099" s="6" t="e">
        <f>VLOOKUP('Customer Info'!C3091,'Customer Info'!C3091:C3590,1)</f>
        <v>#N/A</v>
      </c>
      <c r="I3099" s="6" t="e">
        <f>VLOOKUP('Customer Info'!E3091,'Customer Info'!E3091:E3590,1,0)</f>
        <v>#N/A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324</v>
      </c>
      <c r="R3099" s="2" t="s">
        <v>28</v>
      </c>
      <c r="S3099" s="9">
        <f t="shared" si="244"/>
        <v>0.05</v>
      </c>
    </row>
    <row r="3100" spans="1:19" x14ac:dyDescent="0.3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e">
        <f>VLOOKUP('Customer Info'!B3092,'Customer Info'!B3092:B3591,1,0)</f>
        <v>#N/A</v>
      </c>
      <c r="H3100" s="6" t="e">
        <f>VLOOKUP('Customer Info'!C3092,'Customer Info'!C3092:C3591,1)</f>
        <v>#N/A</v>
      </c>
      <c r="I3100" s="6" t="e">
        <f>VLOOKUP('Customer Info'!E3092,'Customer Info'!E3092:E3591,1,0)</f>
        <v>#N/A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330</v>
      </c>
      <c r="R3100" s="2" t="s">
        <v>26</v>
      </c>
      <c r="S3100" s="9">
        <f t="shared" si="244"/>
        <v>0.05</v>
      </c>
    </row>
    <row r="3101" spans="1:19" x14ac:dyDescent="0.3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e">
        <f>VLOOKUP('Customer Info'!B3093,'Customer Info'!B3093:B3592,1,0)</f>
        <v>#N/A</v>
      </c>
      <c r="H3101" s="6" t="e">
        <f>VLOOKUP('Customer Info'!C3093,'Customer Info'!C3093:C3592,1)</f>
        <v>#N/A</v>
      </c>
      <c r="I3101" s="6" t="e">
        <f>VLOOKUP('Customer Info'!E3093,'Customer Info'!E3093:E3592,1,0)</f>
        <v>#N/A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177</v>
      </c>
      <c r="R3101" s="2" t="s">
        <v>28</v>
      </c>
      <c r="S3101" s="9">
        <f t="shared" si="244"/>
        <v>0.02</v>
      </c>
    </row>
    <row r="3102" spans="1:19" x14ac:dyDescent="0.3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e">
        <f>VLOOKUP('Customer Info'!B3094,'Customer Info'!B3094:B3593,1,0)</f>
        <v>#N/A</v>
      </c>
      <c r="H3102" s="6" t="e">
        <f>VLOOKUP('Customer Info'!C3094,'Customer Info'!C3094:C3593,1)</f>
        <v>#N/A</v>
      </c>
      <c r="I3102" s="6" t="e">
        <f>VLOOKUP('Customer Info'!E3094,'Customer Info'!E3094:E3593,1,0)</f>
        <v>#N/A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75</v>
      </c>
      <c r="R3102" s="2" t="s">
        <v>28</v>
      </c>
      <c r="S3102" s="9">
        <f t="shared" si="244"/>
        <v>0.02</v>
      </c>
    </row>
    <row r="3103" spans="1:19" x14ac:dyDescent="0.3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e">
        <f>VLOOKUP('Customer Info'!B3095,'Customer Info'!B3095:B3594,1,0)</f>
        <v>#N/A</v>
      </c>
      <c r="H3103" s="6" t="e">
        <f>VLOOKUP('Customer Info'!C3095,'Customer Info'!C3095:C3594,1)</f>
        <v>#N/A</v>
      </c>
      <c r="I3103" s="6" t="e">
        <f>VLOOKUP('Customer Info'!E3095,'Customer Info'!E3095:E3594,1,0)</f>
        <v>#N/A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872</v>
      </c>
      <c r="R3103" s="2" t="s">
        <v>28</v>
      </c>
      <c r="S3103" s="9">
        <f t="shared" si="244"/>
        <v>0.05</v>
      </c>
    </row>
    <row r="3104" spans="1:19" x14ac:dyDescent="0.3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e">
        <f>VLOOKUP('Customer Info'!B3096,'Customer Info'!B3096:B3595,1,0)</f>
        <v>#N/A</v>
      </c>
      <c r="H3104" s="6" t="e">
        <f>VLOOKUP('Customer Info'!C3096,'Customer Info'!C3096:C3595,1)</f>
        <v>#N/A</v>
      </c>
      <c r="I3104" s="6" t="e">
        <f>VLOOKUP('Customer Info'!E3096,'Customer Info'!E3096:E3595,1,0)</f>
        <v>#N/A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292</v>
      </c>
      <c r="R3104" s="2" t="s">
        <v>26</v>
      </c>
      <c r="S3104" s="9">
        <f t="shared" si="244"/>
        <v>0.02</v>
      </c>
    </row>
    <row r="3105" spans="1:19" x14ac:dyDescent="0.3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e">
        <f>VLOOKUP('Customer Info'!B3097,'Customer Info'!B3097:B3596,1,0)</f>
        <v>#N/A</v>
      </c>
      <c r="H3105" s="6" t="e">
        <f>VLOOKUP('Customer Info'!C3097,'Customer Info'!C3097:C3596,1)</f>
        <v>#N/A</v>
      </c>
      <c r="I3105" s="6" t="e">
        <f>VLOOKUP('Customer Info'!E3097,'Customer Info'!E3097:E3596,1,0)</f>
        <v>#N/A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182</v>
      </c>
      <c r="R3105" s="2" t="s">
        <v>50</v>
      </c>
      <c r="S3105" s="9">
        <f t="shared" si="244"/>
        <v>0.02</v>
      </c>
    </row>
    <row r="3106" spans="1:19" x14ac:dyDescent="0.3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e">
        <f>VLOOKUP('Customer Info'!B3098,'Customer Info'!B3098:B3597,1,0)</f>
        <v>#N/A</v>
      </c>
      <c r="H3106" s="6" t="e">
        <f>VLOOKUP('Customer Info'!C3098,'Customer Info'!C3098:C3597,1)</f>
        <v>#N/A</v>
      </c>
      <c r="I3106" s="6" t="e">
        <f>VLOOKUP('Customer Info'!E3098,'Customer Info'!E3098:E3597,1,0)</f>
        <v>#N/A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18</v>
      </c>
      <c r="R3106" s="2" t="s">
        <v>50</v>
      </c>
      <c r="S3106" s="9">
        <f t="shared" si="244"/>
        <v>0.02</v>
      </c>
    </row>
    <row r="3107" spans="1:19" x14ac:dyDescent="0.3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e">
        <f>VLOOKUP('Customer Info'!B3099,'Customer Info'!B3099:B3598,1,0)</f>
        <v>#N/A</v>
      </c>
      <c r="H3107" s="6" t="e">
        <f>VLOOKUP('Customer Info'!C3099,'Customer Info'!C3099:C3598,1)</f>
        <v>#N/A</v>
      </c>
      <c r="I3107" s="6" t="e">
        <f>VLOOKUP('Customer Info'!E3099,'Customer Info'!E3099:E3598,1,0)</f>
        <v>#N/A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282</v>
      </c>
      <c r="R3107" s="2" t="s">
        <v>28</v>
      </c>
      <c r="S3107" s="9">
        <f t="shared" si="244"/>
        <v>0.02</v>
      </c>
    </row>
    <row r="3108" spans="1:19" x14ac:dyDescent="0.3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e">
        <f>VLOOKUP('Customer Info'!B3100,'Customer Info'!B3100:B3599,1,0)</f>
        <v>#N/A</v>
      </c>
      <c r="H3108" s="6" t="e">
        <f>VLOOKUP('Customer Info'!C3100,'Customer Info'!C3100:C3599,1)</f>
        <v>#N/A</v>
      </c>
      <c r="I3108" s="6" t="e">
        <f>VLOOKUP('Customer Info'!E3100,'Customer Info'!E3100:E3599,1,0)</f>
        <v>#N/A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64</v>
      </c>
      <c r="R3108" s="2" t="s">
        <v>28</v>
      </c>
      <c r="S3108" s="9">
        <f t="shared" si="244"/>
        <v>0.02</v>
      </c>
    </row>
    <row r="3109" spans="1:19" x14ac:dyDescent="0.3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e">
        <f>VLOOKUP('Customer Info'!B3101,'Customer Info'!B3101:B3600,1,0)</f>
        <v>#N/A</v>
      </c>
      <c r="H3109" s="6" t="e">
        <f>VLOOKUP('Customer Info'!C3101,'Customer Info'!C3101:C3600,1)</f>
        <v>#N/A</v>
      </c>
      <c r="I3109" s="6" t="e">
        <f>VLOOKUP('Customer Info'!E3101,'Customer Info'!E3101:E3600,1,0)</f>
        <v>#N/A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480</v>
      </c>
      <c r="R3109" s="2" t="s">
        <v>50</v>
      </c>
      <c r="S3109" s="9">
        <f t="shared" si="244"/>
        <v>0.05</v>
      </c>
    </row>
    <row r="3110" spans="1:19" x14ac:dyDescent="0.3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e">
        <f>VLOOKUP('Customer Info'!B3102,'Customer Info'!B3102:B3601,1,0)</f>
        <v>#N/A</v>
      </c>
      <c r="H3110" s="6" t="e">
        <f>VLOOKUP('Customer Info'!C3102,'Customer Info'!C3102:C3601,1)</f>
        <v>#N/A</v>
      </c>
      <c r="I3110" s="6" t="e">
        <f>VLOOKUP('Customer Info'!E3102,'Customer Info'!E3102:E3601,1,0)</f>
        <v>#N/A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2140</v>
      </c>
      <c r="R3110" s="2" t="s">
        <v>50</v>
      </c>
      <c r="S3110" s="9">
        <f t="shared" si="244"/>
        <v>7.0000000000000007E-2</v>
      </c>
    </row>
    <row r="3111" spans="1:19" x14ac:dyDescent="0.3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e">
        <f>VLOOKUP('Customer Info'!B3103,'Customer Info'!B3103:B3602,1,0)</f>
        <v>#N/A</v>
      </c>
      <c r="H3111" s="6" t="e">
        <f>VLOOKUP('Customer Info'!C3103,'Customer Info'!C3103:C3602,1)</f>
        <v>#N/A</v>
      </c>
      <c r="I3111" s="6" t="e">
        <f>VLOOKUP('Customer Info'!E3103,'Customer Info'!E3103:E3602,1,0)</f>
        <v>#N/A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654</v>
      </c>
      <c r="R3111" s="2" t="s">
        <v>28</v>
      </c>
      <c r="S3111" s="9">
        <f t="shared" si="244"/>
        <v>0.05</v>
      </c>
    </row>
    <row r="3112" spans="1:19" x14ac:dyDescent="0.3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e">
        <f>VLOOKUP('Customer Info'!B3104,'Customer Info'!B3104:B3603,1,0)</f>
        <v>#N/A</v>
      </c>
      <c r="H3112" s="6" t="e">
        <f>VLOOKUP('Customer Info'!C3104,'Customer Info'!C3104:C3603,1)</f>
        <v>#N/A</v>
      </c>
      <c r="I3112" s="6" t="e">
        <f>VLOOKUP('Customer Info'!E3104,'Customer Info'!E3104:E3603,1,0)</f>
        <v>#N/A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110</v>
      </c>
      <c r="R3112" s="2" t="s">
        <v>28</v>
      </c>
      <c r="S3112" s="9">
        <f t="shared" si="244"/>
        <v>0.02</v>
      </c>
    </row>
    <row r="3113" spans="1:19" x14ac:dyDescent="0.3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e">
        <f>VLOOKUP('Customer Info'!B3105,'Customer Info'!B3105:B3604,1,0)</f>
        <v>#N/A</v>
      </c>
      <c r="H3113" s="6" t="e">
        <f>VLOOKUP('Customer Info'!C3105,'Customer Info'!C3105:C3604,1)</f>
        <v>#N/A</v>
      </c>
      <c r="I3113" s="6" t="e">
        <f>VLOOKUP('Customer Info'!E3105,'Customer Info'!E3105:E3604,1,0)</f>
        <v>#N/A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194</v>
      </c>
      <c r="R3113" s="2" t="s">
        <v>28</v>
      </c>
      <c r="S3113" s="9">
        <f t="shared" si="244"/>
        <v>0.02</v>
      </c>
    </row>
    <row r="3114" spans="1:19" x14ac:dyDescent="0.3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e">
        <f>VLOOKUP('Customer Info'!B3106,'Customer Info'!B3106:B3605,1,0)</f>
        <v>#N/A</v>
      </c>
      <c r="H3114" s="6" t="e">
        <f>VLOOKUP('Customer Info'!C3106,'Customer Info'!C3106:C3605,1)</f>
        <v>#N/A</v>
      </c>
      <c r="I3114" s="6" t="e">
        <f>VLOOKUP('Customer Info'!E3106,'Customer Info'!E3106:E3605,1,0)</f>
        <v>#N/A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240</v>
      </c>
      <c r="R3114" s="2" t="s">
        <v>28</v>
      </c>
      <c r="S3114" s="9">
        <f t="shared" si="244"/>
        <v>0.05</v>
      </c>
    </row>
    <row r="3115" spans="1:19" x14ac:dyDescent="0.3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e">
        <f>VLOOKUP('Customer Info'!B3107,'Customer Info'!B3107:B3606,1,0)</f>
        <v>#N/A</v>
      </c>
      <c r="H3115" s="6" t="e">
        <f>VLOOKUP('Customer Info'!C3107,'Customer Info'!C3107:C3606,1)</f>
        <v>#N/A</v>
      </c>
      <c r="I3115" s="6" t="e">
        <f>VLOOKUP('Customer Info'!E3107,'Customer Info'!E3107:E3606,1,0)</f>
        <v>#N/A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815</v>
      </c>
      <c r="R3115" s="2" t="s">
        <v>50</v>
      </c>
      <c r="S3115" s="9">
        <f t="shared" si="244"/>
        <v>0.05</v>
      </c>
    </row>
    <row r="3116" spans="1:19" x14ac:dyDescent="0.3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e">
        <f>VLOOKUP('Customer Info'!B3108,'Customer Info'!B3108:B3607,1,0)</f>
        <v>#N/A</v>
      </c>
      <c r="H3116" s="6" t="e">
        <f>VLOOKUP('Customer Info'!C3108,'Customer Info'!C3108:C3607,1)</f>
        <v>#N/A</v>
      </c>
      <c r="I3116" s="6" t="e">
        <f>VLOOKUP('Customer Info'!E3108,'Customer Info'!E3108:E3607,1,0)</f>
        <v>#N/A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96</v>
      </c>
      <c r="R3116" s="2" t="s">
        <v>28</v>
      </c>
      <c r="S3116" s="9">
        <f t="shared" si="244"/>
        <v>0.02</v>
      </c>
    </row>
    <row r="3117" spans="1:19" x14ac:dyDescent="0.3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e">
        <f>VLOOKUP('Customer Info'!B3109,'Customer Info'!B3109:B3608,1,0)</f>
        <v>#N/A</v>
      </c>
      <c r="H3117" s="6" t="e">
        <f>VLOOKUP('Customer Info'!C3109,'Customer Info'!C3109:C3608,1)</f>
        <v>#N/A</v>
      </c>
      <c r="I3117" s="6" t="e">
        <f>VLOOKUP('Customer Info'!E3109,'Customer Info'!E3109:E3608,1,0)</f>
        <v>#N/A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158</v>
      </c>
      <c r="R3117" s="2" t="s">
        <v>28</v>
      </c>
      <c r="S3117" s="9">
        <f t="shared" si="244"/>
        <v>0.02</v>
      </c>
    </row>
    <row r="3118" spans="1:19" x14ac:dyDescent="0.3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e">
        <f>VLOOKUP('Customer Info'!B3110,'Customer Info'!B3110:B3609,1,0)</f>
        <v>#N/A</v>
      </c>
      <c r="H3118" s="6" t="e">
        <f>VLOOKUP('Customer Info'!C3110,'Customer Info'!C3110:C3609,1)</f>
        <v>#N/A</v>
      </c>
      <c r="I3118" s="6" t="e">
        <f>VLOOKUP('Customer Info'!E3110,'Customer Info'!E3110:E3609,1,0)</f>
        <v>#N/A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6</v>
      </c>
      <c r="R3118" s="2" t="s">
        <v>50</v>
      </c>
      <c r="S3118" s="9">
        <f t="shared" si="244"/>
        <v>0.02</v>
      </c>
    </row>
    <row r="3119" spans="1:19" x14ac:dyDescent="0.3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e">
        <f>VLOOKUP('Customer Info'!B3111,'Customer Info'!B3111:B3610,1,0)</f>
        <v>#N/A</v>
      </c>
      <c r="H3119" s="6" t="e">
        <f>VLOOKUP('Customer Info'!C3111,'Customer Info'!C3111:C3610,1)</f>
        <v>#N/A</v>
      </c>
      <c r="I3119" s="6" t="e">
        <f>VLOOKUP('Customer Info'!E3111,'Customer Info'!E3111:E3610,1,0)</f>
        <v>#N/A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539</v>
      </c>
      <c r="R3119" s="2" t="s">
        <v>50</v>
      </c>
      <c r="S3119" s="9">
        <f t="shared" si="244"/>
        <v>0.05</v>
      </c>
    </row>
    <row r="3120" spans="1:19" x14ac:dyDescent="0.3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e">
        <f>VLOOKUP('Customer Info'!B3112,'Customer Info'!B3112:B3611,1,0)</f>
        <v>#N/A</v>
      </c>
      <c r="H3120" s="6" t="e">
        <f>VLOOKUP('Customer Info'!C3112,'Customer Info'!C3112:C3611,1)</f>
        <v>#N/A</v>
      </c>
      <c r="I3120" s="6" t="e">
        <f>VLOOKUP('Customer Info'!E3112,'Customer Info'!E3112:E3611,1,0)</f>
        <v>#N/A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5</v>
      </c>
      <c r="R3120" s="2" t="s">
        <v>28</v>
      </c>
      <c r="S3120" s="9">
        <f t="shared" si="244"/>
        <v>0.02</v>
      </c>
    </row>
    <row r="3121" spans="1:19" x14ac:dyDescent="0.3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e">
        <f>VLOOKUP('Customer Info'!B3113,'Customer Info'!B3113:B3612,1,0)</f>
        <v>#N/A</v>
      </c>
      <c r="H3121" s="6" t="e">
        <f>VLOOKUP('Customer Info'!C3113,'Customer Info'!C3113:C3612,1)</f>
        <v>#N/A</v>
      </c>
      <c r="I3121" s="6" t="e">
        <f>VLOOKUP('Customer Info'!E3113,'Customer Info'!E3113:E3612,1,0)</f>
        <v>#N/A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51</v>
      </c>
      <c r="R3121" s="2" t="s">
        <v>28</v>
      </c>
      <c r="S3121" s="9">
        <f t="shared" si="244"/>
        <v>0.02</v>
      </c>
    </row>
    <row r="3122" spans="1:19" x14ac:dyDescent="0.3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e">
        <f>VLOOKUP('Customer Info'!B3114,'Customer Info'!B3114:B3613,1,0)</f>
        <v>#N/A</v>
      </c>
      <c r="H3122" s="6" t="e">
        <f>VLOOKUP('Customer Info'!C3114,'Customer Info'!C3114:C3613,1)</f>
        <v>#N/A</v>
      </c>
      <c r="I3122" s="6" t="e">
        <f>VLOOKUP('Customer Info'!E3114,'Customer Info'!E3114:E3613,1,0)</f>
        <v>#N/A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16232</v>
      </c>
      <c r="R3122" s="2" t="s">
        <v>26</v>
      </c>
      <c r="S3122" s="9">
        <f t="shared" si="244"/>
        <v>0.15</v>
      </c>
    </row>
    <row r="3123" spans="1:19" x14ac:dyDescent="0.3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e">
        <f>VLOOKUP('Customer Info'!B3115,'Customer Info'!B3115:B3614,1,0)</f>
        <v>#N/A</v>
      </c>
      <c r="H3123" s="6" t="e">
        <f>VLOOKUP('Customer Info'!C3115,'Customer Info'!C3115:C3614,1)</f>
        <v>#N/A</v>
      </c>
      <c r="I3123" s="6" t="e">
        <f>VLOOKUP('Customer Info'!E3115,'Customer Info'!E3115:E3614,1,0)</f>
        <v>#N/A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455</v>
      </c>
      <c r="R3123" s="2" t="s">
        <v>28</v>
      </c>
      <c r="S3123" s="9">
        <f t="shared" si="244"/>
        <v>0.05</v>
      </c>
    </row>
    <row r="3124" spans="1:19" x14ac:dyDescent="0.3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e">
        <f>VLOOKUP('Customer Info'!B3116,'Customer Info'!B3116:B3615,1,0)</f>
        <v>#N/A</v>
      </c>
      <c r="H3124" s="6" t="e">
        <f>VLOOKUP('Customer Info'!C3116,'Customer Info'!C3116:C3615,1)</f>
        <v>#N/A</v>
      </c>
      <c r="I3124" s="6" t="e">
        <f>VLOOKUP('Customer Info'!E3116,'Customer Info'!E3116:E3615,1,0)</f>
        <v>#N/A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483</v>
      </c>
      <c r="R3124" s="2" t="s">
        <v>26</v>
      </c>
      <c r="S3124" s="9">
        <f t="shared" si="244"/>
        <v>0.05</v>
      </c>
    </row>
    <row r="3125" spans="1:19" x14ac:dyDescent="0.3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e">
        <f>VLOOKUP('Customer Info'!B3117,'Customer Info'!B3117:B3616,1,0)</f>
        <v>#N/A</v>
      </c>
      <c r="H3125" s="6" t="e">
        <f>VLOOKUP('Customer Info'!C3117,'Customer Info'!C3117:C3616,1)</f>
        <v>#N/A</v>
      </c>
      <c r="I3125" s="6" t="e">
        <f>VLOOKUP('Customer Info'!E3117,'Customer Info'!E3117:E3616,1,0)</f>
        <v>#N/A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628</v>
      </c>
      <c r="R3125" s="2" t="s">
        <v>50</v>
      </c>
      <c r="S3125" s="9">
        <f t="shared" si="244"/>
        <v>0.05</v>
      </c>
    </row>
    <row r="3126" spans="1:19" x14ac:dyDescent="0.3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e">
        <f>VLOOKUP('Customer Info'!B3118,'Customer Info'!B3118:B3617,1,0)</f>
        <v>#N/A</v>
      </c>
      <c r="H3126" s="6" t="e">
        <f>VLOOKUP('Customer Info'!C3118,'Customer Info'!C3118:C3617,1)</f>
        <v>#N/A</v>
      </c>
      <c r="I3126" s="6" t="e">
        <f>VLOOKUP('Customer Info'!E3118,'Customer Info'!E3118:E3617,1,0)</f>
        <v>#N/A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24</v>
      </c>
      <c r="R3126" s="2" t="s">
        <v>50</v>
      </c>
      <c r="S3126" s="9">
        <f t="shared" si="244"/>
        <v>0.02</v>
      </c>
    </row>
    <row r="3127" spans="1:19" x14ac:dyDescent="0.3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e">
        <f>VLOOKUP('Customer Info'!B3119,'Customer Info'!B3119:B3618,1,0)</f>
        <v>#N/A</v>
      </c>
      <c r="H3127" s="6" t="e">
        <f>VLOOKUP('Customer Info'!C3119,'Customer Info'!C3119:C3618,1)</f>
        <v>#N/A</v>
      </c>
      <c r="I3127" s="6" t="e">
        <f>VLOOKUP('Customer Info'!E3119,'Customer Info'!E3119:E3618,1,0)</f>
        <v>#N/A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2584</v>
      </c>
      <c r="R3127" s="2" t="s">
        <v>28</v>
      </c>
      <c r="S3127" s="9">
        <f t="shared" si="244"/>
        <v>7.0000000000000007E-2</v>
      </c>
    </row>
    <row r="3128" spans="1:19" x14ac:dyDescent="0.3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e">
        <f>VLOOKUP('Customer Info'!B3120,'Customer Info'!B3120:B3619,1,0)</f>
        <v>#N/A</v>
      </c>
      <c r="H3128" s="6" t="e">
        <f>VLOOKUP('Customer Info'!C3120,'Customer Info'!C3120:C3619,1)</f>
        <v>#N/A</v>
      </c>
      <c r="I3128" s="6" t="e">
        <f>VLOOKUP('Customer Info'!E3120,'Customer Info'!E3120:E3619,1,0)</f>
        <v>#N/A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295</v>
      </c>
      <c r="R3128" s="2" t="s">
        <v>28</v>
      </c>
      <c r="S3128" s="9">
        <f t="shared" si="244"/>
        <v>0.05</v>
      </c>
    </row>
    <row r="3129" spans="1:19" x14ac:dyDescent="0.3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e">
        <f>VLOOKUP('Customer Info'!B3121,'Customer Info'!B3121:B3620,1,0)</f>
        <v>#N/A</v>
      </c>
      <c r="H3129" s="6" t="e">
        <f>VLOOKUP('Customer Info'!C3121,'Customer Info'!C3121:C3620,1)</f>
        <v>#N/A</v>
      </c>
      <c r="I3129" s="6" t="e">
        <f>VLOOKUP('Customer Info'!E3121,'Customer Info'!E3121:E3620,1,0)</f>
        <v>#N/A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676</v>
      </c>
      <c r="R3129" s="2" t="s">
        <v>28</v>
      </c>
      <c r="S3129" s="9">
        <f t="shared" si="244"/>
        <v>0.05</v>
      </c>
    </row>
    <row r="3130" spans="1:19" x14ac:dyDescent="0.3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e">
        <f>VLOOKUP('Customer Info'!B3122,'Customer Info'!B3122:B3621,1,0)</f>
        <v>#N/A</v>
      </c>
      <c r="H3130" s="6" t="e">
        <f>VLOOKUP('Customer Info'!C3122,'Customer Info'!C3122:C3621,1)</f>
        <v>#N/A</v>
      </c>
      <c r="I3130" s="6" t="e">
        <f>VLOOKUP('Customer Info'!E3122,'Customer Info'!E3122:E3621,1,0)</f>
        <v>#N/A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4</v>
      </c>
      <c r="R3130" s="2" t="s">
        <v>28</v>
      </c>
      <c r="S3130" s="9">
        <f t="shared" si="244"/>
        <v>0.02</v>
      </c>
    </row>
    <row r="3131" spans="1:19" x14ac:dyDescent="0.3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e">
        <f>VLOOKUP('Customer Info'!B3123,'Customer Info'!B3123:B3622,1,0)</f>
        <v>#N/A</v>
      </c>
      <c r="H3131" s="6" t="e">
        <f>VLOOKUP('Customer Info'!C3123,'Customer Info'!C3123:C3622,1)</f>
        <v>#N/A</v>
      </c>
      <c r="I3131" s="6" t="e">
        <f>VLOOKUP('Customer Info'!E3123,'Customer Info'!E3123:E3622,1,0)</f>
        <v>#N/A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160</v>
      </c>
      <c r="R3131" s="2" t="s">
        <v>50</v>
      </c>
      <c r="S3131" s="9">
        <f t="shared" si="244"/>
        <v>0.02</v>
      </c>
    </row>
    <row r="3132" spans="1:19" x14ac:dyDescent="0.3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e">
        <f>VLOOKUP('Customer Info'!B3124,'Customer Info'!B3124:B3623,1,0)</f>
        <v>#N/A</v>
      </c>
      <c r="H3132" s="6" t="e">
        <f>VLOOKUP('Customer Info'!C3124,'Customer Info'!C3124:C3623,1)</f>
        <v>#N/A</v>
      </c>
      <c r="I3132" s="6" t="e">
        <f>VLOOKUP('Customer Info'!E3124,'Customer Info'!E3124:E3623,1,0)</f>
        <v>#N/A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176</v>
      </c>
      <c r="R3132" s="2" t="s">
        <v>56</v>
      </c>
      <c r="S3132" s="9">
        <f t="shared" si="244"/>
        <v>0.02</v>
      </c>
    </row>
    <row r="3133" spans="1:19" x14ac:dyDescent="0.3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e">
        <f>VLOOKUP('Customer Info'!B3125,'Customer Info'!B3125:B3624,1,0)</f>
        <v>#N/A</v>
      </c>
      <c r="H3133" s="6" t="e">
        <f>VLOOKUP('Customer Info'!C3125,'Customer Info'!C3125:C3624,1)</f>
        <v>#N/A</v>
      </c>
      <c r="I3133" s="6" t="e">
        <f>VLOOKUP('Customer Info'!E3125,'Customer Info'!E3125:E3624,1,0)</f>
        <v>#N/A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5652</v>
      </c>
      <c r="R3133" s="2" t="s">
        <v>26</v>
      </c>
      <c r="S3133" s="9">
        <f t="shared" si="244"/>
        <v>0.09</v>
      </c>
    </row>
    <row r="3134" spans="1:19" x14ac:dyDescent="0.3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e">
        <f>VLOOKUP('Customer Info'!B3126,'Customer Info'!B3126:B3625,1,0)</f>
        <v>#N/A</v>
      </c>
      <c r="H3134" s="6" t="e">
        <f>VLOOKUP('Customer Info'!C3126,'Customer Info'!C3126:C3625,1)</f>
        <v>#N/A</v>
      </c>
      <c r="I3134" s="6" t="e">
        <f>VLOOKUP('Customer Info'!E3126,'Customer Info'!E3126:E3625,1,0)</f>
        <v>#N/A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152</v>
      </c>
      <c r="R3134" s="2" t="s">
        <v>50</v>
      </c>
      <c r="S3134" s="9">
        <f t="shared" si="244"/>
        <v>0.02</v>
      </c>
    </row>
    <row r="3135" spans="1:19" x14ac:dyDescent="0.3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e">
        <f>VLOOKUP('Customer Info'!B3127,'Customer Info'!B3127:B3626,1,0)</f>
        <v>#N/A</v>
      </c>
      <c r="H3135" s="6" t="e">
        <f>VLOOKUP('Customer Info'!C3127,'Customer Info'!C3127:C3626,1)</f>
        <v>#N/A</v>
      </c>
      <c r="I3135" s="6" t="e">
        <f>VLOOKUP('Customer Info'!E3127,'Customer Info'!E3127:E3626,1,0)</f>
        <v>#N/A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958</v>
      </c>
      <c r="R3135" s="2" t="s">
        <v>50</v>
      </c>
      <c r="S3135" s="9">
        <f t="shared" si="244"/>
        <v>0.05</v>
      </c>
    </row>
    <row r="3136" spans="1:19" x14ac:dyDescent="0.3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e">
        <f>VLOOKUP('Customer Info'!B3128,'Customer Info'!B3128:B3627,1,0)</f>
        <v>#N/A</v>
      </c>
      <c r="H3136" s="6" t="e">
        <f>VLOOKUP('Customer Info'!C3128,'Customer Info'!C3128:C3627,1)</f>
        <v>#N/A</v>
      </c>
      <c r="I3136" s="6" t="e">
        <f>VLOOKUP('Customer Info'!E3128,'Customer Info'!E3128:E3627,1,0)</f>
        <v>#N/A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264</v>
      </c>
      <c r="R3136" s="2" t="s">
        <v>28</v>
      </c>
      <c r="S3136" s="9">
        <f t="shared" si="244"/>
        <v>0.02</v>
      </c>
    </row>
    <row r="3137" spans="1:19" x14ac:dyDescent="0.3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e">
        <f>VLOOKUP('Customer Info'!B3129,'Customer Info'!B3129:B3628,1,0)</f>
        <v>#N/A</v>
      </c>
      <c r="H3137" s="6" t="e">
        <f>VLOOKUP('Customer Info'!C3129,'Customer Info'!C3129:C3628,1)</f>
        <v>#N/A</v>
      </c>
      <c r="I3137" s="6" t="e">
        <f>VLOOKUP('Customer Info'!E3129,'Customer Info'!E3129:E3628,1,0)</f>
        <v>#N/A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658</v>
      </c>
      <c r="R3137" s="2" t="s">
        <v>50</v>
      </c>
      <c r="S3137" s="9">
        <f t="shared" si="244"/>
        <v>0.05</v>
      </c>
    </row>
    <row r="3138" spans="1:19" x14ac:dyDescent="0.3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e">
        <f>VLOOKUP('Customer Info'!B3130,'Customer Info'!B3130:B3629,1,0)</f>
        <v>#N/A</v>
      </c>
      <c r="H3138" s="6" t="e">
        <f>VLOOKUP('Customer Info'!C3130,'Customer Info'!C3130:C3629,1)</f>
        <v>#N/A</v>
      </c>
      <c r="I3138" s="6" t="e">
        <f>VLOOKUP('Customer Info'!E3130,'Customer Info'!E3130:E3629,1,0)</f>
        <v>#N/A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215</v>
      </c>
      <c r="R3138" s="2" t="s">
        <v>50</v>
      </c>
      <c r="S3138" s="9">
        <f t="shared" si="244"/>
        <v>0.02</v>
      </c>
    </row>
    <row r="3139" spans="1:19" x14ac:dyDescent="0.3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e">
        <f>VLOOKUP('Customer Info'!B3131,'Customer Info'!B3131:B3630,1,0)</f>
        <v>#N/A</v>
      </c>
      <c r="H3139" s="6" t="e">
        <f>VLOOKUP('Customer Info'!C3131,'Customer Info'!C3131:C3630,1)</f>
        <v>#N/A</v>
      </c>
      <c r="I3139" s="6" t="e">
        <f>VLOOKUP('Customer Info'!E3131,'Customer Info'!E3131:E3630,1,0)</f>
        <v>#N/A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320</v>
      </c>
      <c r="R3139" s="2" t="s">
        <v>28</v>
      </c>
      <c r="S3139" s="9">
        <f t="shared" si="244"/>
        <v>0.02</v>
      </c>
    </row>
    <row r="3140" spans="1:19" x14ac:dyDescent="0.3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e">
        <f>VLOOKUP('Customer Info'!B3132,'Customer Info'!B3132:B3631,1,0)</f>
        <v>#N/A</v>
      </c>
      <c r="H3140" s="6" t="e">
        <f>VLOOKUP('Customer Info'!C3132,'Customer Info'!C3132:C3631,1)</f>
        <v>#N/A</v>
      </c>
      <c r="I3140" s="6" t="e">
        <f>VLOOKUP('Customer Info'!E3132,'Customer Info'!E3132:E3631,1,0)</f>
        <v>#N/A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470</v>
      </c>
      <c r="R3140" s="2" t="s">
        <v>50</v>
      </c>
      <c r="S3140" s="9">
        <f t="shared" si="244"/>
        <v>0.02</v>
      </c>
    </row>
    <row r="3141" spans="1:19" x14ac:dyDescent="0.3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e">
        <f>VLOOKUP('Customer Info'!B3133,'Customer Info'!B3133:B3632,1,0)</f>
        <v>#N/A</v>
      </c>
      <c r="H3141" s="6" t="e">
        <f>VLOOKUP('Customer Info'!C3133,'Customer Info'!C3133:C3632,1)</f>
        <v>#N/A</v>
      </c>
      <c r="I3141" s="6" t="e">
        <f>VLOOKUP('Customer Info'!E3133,'Customer Info'!E3133:E3632,1,0)</f>
        <v>#N/A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156</v>
      </c>
      <c r="R3141" s="2" t="s">
        <v>50</v>
      </c>
      <c r="S3141" s="9">
        <f t="shared" si="244"/>
        <v>0.02</v>
      </c>
    </row>
    <row r="3142" spans="1:19" x14ac:dyDescent="0.3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e">
        <f>VLOOKUP('Customer Info'!B3134,'Customer Info'!B3134:B3633,1,0)</f>
        <v>#N/A</v>
      </c>
      <c r="H3142" s="6" t="e">
        <f>VLOOKUP('Customer Info'!C3134,'Customer Info'!C3134:C3633,1)</f>
        <v>#N/A</v>
      </c>
      <c r="I3142" s="6" t="e">
        <f>VLOOKUP('Customer Info'!E3134,'Customer Info'!E3134:E3633,1,0)</f>
        <v>#N/A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318</v>
      </c>
      <c r="R3142" s="2" t="s">
        <v>50</v>
      </c>
      <c r="S3142" s="9">
        <f t="shared" si="244"/>
        <v>0.05</v>
      </c>
    </row>
    <row r="3143" spans="1:19" x14ac:dyDescent="0.3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e">
        <f>VLOOKUP('Customer Info'!B3135,'Customer Info'!B3135:B3634,1,0)</f>
        <v>#N/A</v>
      </c>
      <c r="H3143" s="6" t="e">
        <f>VLOOKUP('Customer Info'!C3135,'Customer Info'!C3135:C3634,1)</f>
        <v>#N/A</v>
      </c>
      <c r="I3143" s="6" t="e">
        <f>VLOOKUP('Customer Info'!E3135,'Customer Info'!E3135:E3634,1,0)</f>
        <v>#N/A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-4</v>
      </c>
      <c r="R3143" s="2" t="s">
        <v>28</v>
      </c>
      <c r="S3143" s="9">
        <f t="shared" si="244"/>
        <v>7.0000000000000007E-2</v>
      </c>
    </row>
    <row r="3144" spans="1:19" x14ac:dyDescent="0.3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e">
        <f>VLOOKUP('Customer Info'!B3136,'Customer Info'!B3136:B3635,1,0)</f>
        <v>#N/A</v>
      </c>
      <c r="H3144" s="6" t="e">
        <f>VLOOKUP('Customer Info'!C3136,'Customer Info'!C3136:C3635,1)</f>
        <v>#N/A</v>
      </c>
      <c r="I3144" s="6" t="e">
        <f>VLOOKUP('Customer Info'!E3136,'Customer Info'!E3136:E3635,1,0)</f>
        <v>#N/A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666</v>
      </c>
      <c r="R3144" s="2" t="s">
        <v>50</v>
      </c>
      <c r="S3144" s="9">
        <f t="shared" si="244"/>
        <v>0.05</v>
      </c>
    </row>
    <row r="3145" spans="1:19" x14ac:dyDescent="0.3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e">
        <f>VLOOKUP('Customer Info'!B3137,'Customer Info'!B3137:B3636,1,0)</f>
        <v>#N/A</v>
      </c>
      <c r="H3145" s="6" t="e">
        <f>VLOOKUP('Customer Info'!C3137,'Customer Info'!C3137:C3636,1)</f>
        <v>#N/A</v>
      </c>
      <c r="I3145" s="6" t="e">
        <f>VLOOKUP('Customer Info'!E3137,'Customer Info'!E3137:E3636,1,0)</f>
        <v>#N/A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1764</v>
      </c>
      <c r="R3145" s="2" t="s">
        <v>28</v>
      </c>
      <c r="S3145" s="9">
        <f t="shared" si="244"/>
        <v>0.05</v>
      </c>
    </row>
    <row r="3146" spans="1:19" x14ac:dyDescent="0.3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e">
        <f>VLOOKUP('Customer Info'!B3138,'Customer Info'!B3138:B3637,1,0)</f>
        <v>#N/A</v>
      </c>
      <c r="H3146" s="6" t="e">
        <f>VLOOKUP('Customer Info'!C3138,'Customer Info'!C3138:C3637,1)</f>
        <v>#N/A</v>
      </c>
      <c r="I3146" s="6" t="e">
        <f>VLOOKUP('Customer Info'!E3138,'Customer Info'!E3138:E3637,1,0)</f>
        <v>#N/A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903</v>
      </c>
      <c r="R3146" s="2" t="s">
        <v>50</v>
      </c>
      <c r="S3146" s="9">
        <f t="shared" si="244"/>
        <v>0.05</v>
      </c>
    </row>
    <row r="3147" spans="1:19" x14ac:dyDescent="0.3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e">
        <f>VLOOKUP('Customer Info'!B3139,'Customer Info'!B3139:B3638,1,0)</f>
        <v>#N/A</v>
      </c>
      <c r="H3147" s="6" t="e">
        <f>VLOOKUP('Customer Info'!C3139,'Customer Info'!C3139:C3638,1)</f>
        <v>#N/A</v>
      </c>
      <c r="I3147" s="6" t="e">
        <f>VLOOKUP('Customer Info'!E3139,'Customer Info'!E3139:E3638,1,0)</f>
        <v>#N/A</v>
      </c>
      <c r="J3147" s="2">
        <v>224</v>
      </c>
      <c r="K3147" s="2">
        <v>210</v>
      </c>
      <c r="L3147" s="2">
        <v>3</v>
      </c>
      <c r="M3147" s="7">
        <f t="shared" ref="M3147:M3210" si="245">(K3147*L3147)</f>
        <v>630</v>
      </c>
      <c r="N3147" s="7">
        <f t="shared" ref="N3147:N3210" si="246">(J3147*L3147)</f>
        <v>672</v>
      </c>
      <c r="O3147" s="2">
        <v>41</v>
      </c>
      <c r="P3147" s="8">
        <f t="shared" ref="P3147:P3210" si="247">(N3147+O3147)</f>
        <v>713</v>
      </c>
      <c r="Q3147" s="8">
        <f t="shared" ref="Q3147:Q3210" si="248">(N3147-M3147)</f>
        <v>42</v>
      </c>
      <c r="R3147" s="2" t="s">
        <v>26</v>
      </c>
      <c r="S3147" s="9">
        <f t="shared" ref="S3147:S3210" si="249">_xlfn.IFS(P3147&gt;250000,0.15,P3147&gt;100000,0.12,P3147&gt;50000,0.09,P3147&gt;25000,0.07,P3147&gt;5000,0.05,
 TRUE,0.02)</f>
        <v>0.02</v>
      </c>
    </row>
    <row r="3148" spans="1:19" x14ac:dyDescent="0.3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e">
        <f>VLOOKUP('Customer Info'!B3140,'Customer Info'!B3140:B3639,1,0)</f>
        <v>#N/A</v>
      </c>
      <c r="H3148" s="6" t="e">
        <f>VLOOKUP('Customer Info'!C3140,'Customer Info'!C3140:C3639,1)</f>
        <v>#N/A</v>
      </c>
      <c r="I3148" s="6" t="e">
        <f>VLOOKUP('Customer Info'!E3140,'Customer Info'!E3140:E3639,1,0)</f>
        <v>#N/A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16</v>
      </c>
      <c r="R3148" s="2" t="s">
        <v>28</v>
      </c>
      <c r="S3148" s="9">
        <f t="shared" si="249"/>
        <v>0.02</v>
      </c>
    </row>
    <row r="3149" spans="1:19" x14ac:dyDescent="0.3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e">
        <f>VLOOKUP('Customer Info'!B3141,'Customer Info'!B3141:B3640,1,0)</f>
        <v>#N/A</v>
      </c>
      <c r="H3149" s="6" t="e">
        <f>VLOOKUP('Customer Info'!C3141,'Customer Info'!C3141:C3640,1)</f>
        <v>#N/A</v>
      </c>
      <c r="I3149" s="6" t="e">
        <f>VLOOKUP('Customer Info'!E3141,'Customer Info'!E3141:E3640,1,0)</f>
        <v>#N/A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182</v>
      </c>
      <c r="R3149" s="2" t="s">
        <v>26</v>
      </c>
      <c r="S3149" s="9">
        <f t="shared" si="249"/>
        <v>0.02</v>
      </c>
    </row>
    <row r="3150" spans="1:19" x14ac:dyDescent="0.3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e">
        <f>VLOOKUP('Customer Info'!B3142,'Customer Info'!B3142:B3641,1,0)</f>
        <v>#N/A</v>
      </c>
      <c r="H3150" s="6" t="e">
        <f>VLOOKUP('Customer Info'!C3142,'Customer Info'!C3142:C3641,1)</f>
        <v>#N/A</v>
      </c>
      <c r="I3150" s="6" t="e">
        <f>VLOOKUP('Customer Info'!E3142,'Customer Info'!E3142:E3641,1,0)</f>
        <v>#N/A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17</v>
      </c>
      <c r="R3150" s="2" t="s">
        <v>28</v>
      </c>
      <c r="S3150" s="9">
        <f t="shared" si="249"/>
        <v>0.02</v>
      </c>
    </row>
    <row r="3151" spans="1:19" x14ac:dyDescent="0.3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e">
        <f>VLOOKUP('Customer Info'!B3143,'Customer Info'!B3143:B3642,1,0)</f>
        <v>#N/A</v>
      </c>
      <c r="H3151" s="6" t="e">
        <f>VLOOKUP('Customer Info'!C3143,'Customer Info'!C3143:C3642,1)</f>
        <v>#N/A</v>
      </c>
      <c r="I3151" s="6" t="e">
        <f>VLOOKUP('Customer Info'!E3143,'Customer Info'!E3143:E3642,1,0)</f>
        <v>#N/A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207</v>
      </c>
      <c r="R3151" s="2" t="s">
        <v>28</v>
      </c>
      <c r="S3151" s="9">
        <f t="shared" si="249"/>
        <v>0.02</v>
      </c>
    </row>
    <row r="3152" spans="1:19" x14ac:dyDescent="0.3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e">
        <f>VLOOKUP('Customer Info'!B3144,'Customer Info'!B3144:B3643,1,0)</f>
        <v>#N/A</v>
      </c>
      <c r="H3152" s="6" t="e">
        <f>VLOOKUP('Customer Info'!C3144,'Customer Info'!C3144:C3643,1)</f>
        <v>#N/A</v>
      </c>
      <c r="I3152" s="6" t="e">
        <f>VLOOKUP('Customer Info'!E3144,'Customer Info'!E3144:E3643,1,0)</f>
        <v>#N/A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118</v>
      </c>
      <c r="R3152" s="2" t="s">
        <v>28</v>
      </c>
      <c r="S3152" s="9">
        <f t="shared" si="249"/>
        <v>0.02</v>
      </c>
    </row>
    <row r="3153" spans="1:19" x14ac:dyDescent="0.3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e">
        <f>VLOOKUP('Customer Info'!B3145,'Customer Info'!B3145:B3644,1,0)</f>
        <v>#N/A</v>
      </c>
      <c r="H3153" s="6" t="e">
        <f>VLOOKUP('Customer Info'!C3145,'Customer Info'!C3145:C3644,1)</f>
        <v>#N/A</v>
      </c>
      <c r="I3153" s="6" t="e">
        <f>VLOOKUP('Customer Info'!E3145,'Customer Info'!E3145:E3644,1,0)</f>
        <v>#N/A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1434</v>
      </c>
      <c r="R3153" s="2" t="s">
        <v>28</v>
      </c>
      <c r="S3153" s="9">
        <f t="shared" si="249"/>
        <v>0.05</v>
      </c>
    </row>
    <row r="3154" spans="1:19" x14ac:dyDescent="0.3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e">
        <f>VLOOKUP('Customer Info'!B3146,'Customer Info'!B3146:B3645,1,0)</f>
        <v>#N/A</v>
      </c>
      <c r="H3154" s="6" t="e">
        <f>VLOOKUP('Customer Info'!C3146,'Customer Info'!C3146:C3645,1)</f>
        <v>#N/A</v>
      </c>
      <c r="I3154" s="6" t="e">
        <f>VLOOKUP('Customer Info'!E3146,'Customer Info'!E3146:E3645,1,0)</f>
        <v>#N/A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100</v>
      </c>
      <c r="R3154" s="2" t="s">
        <v>26</v>
      </c>
      <c r="S3154" s="9">
        <f t="shared" si="249"/>
        <v>0.02</v>
      </c>
    </row>
    <row r="3155" spans="1:19" x14ac:dyDescent="0.3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e">
        <f>VLOOKUP('Customer Info'!B3147,'Customer Info'!B3147:B3646,1,0)</f>
        <v>#N/A</v>
      </c>
      <c r="H3155" s="6" t="e">
        <f>VLOOKUP('Customer Info'!C3147,'Customer Info'!C3147:C3646,1)</f>
        <v>#N/A</v>
      </c>
      <c r="I3155" s="6" t="e">
        <f>VLOOKUP('Customer Info'!E3147,'Customer Info'!E3147:E3646,1,0)</f>
        <v>#N/A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86</v>
      </c>
      <c r="R3155" s="2" t="s">
        <v>50</v>
      </c>
      <c r="S3155" s="9">
        <f t="shared" si="249"/>
        <v>0.02</v>
      </c>
    </row>
    <row r="3156" spans="1:19" x14ac:dyDescent="0.3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e">
        <f>VLOOKUP('Customer Info'!B3148,'Customer Info'!B3148:B3647,1,0)</f>
        <v>#N/A</v>
      </c>
      <c r="H3156" s="6" t="e">
        <f>VLOOKUP('Customer Info'!C3148,'Customer Info'!C3148:C3647,1)</f>
        <v>#N/A</v>
      </c>
      <c r="I3156" s="6" t="e">
        <f>VLOOKUP('Customer Info'!E3148,'Customer Info'!E3148:E3647,1,0)</f>
        <v>#N/A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540</v>
      </c>
      <c r="R3156" s="2" t="s">
        <v>28</v>
      </c>
      <c r="S3156" s="9">
        <f t="shared" si="249"/>
        <v>0.02</v>
      </c>
    </row>
    <row r="3157" spans="1:19" x14ac:dyDescent="0.3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e">
        <f>VLOOKUP('Customer Info'!B3149,'Customer Info'!B3149:B3648,1,0)</f>
        <v>#N/A</v>
      </c>
      <c r="H3157" s="6" t="e">
        <f>VLOOKUP('Customer Info'!C3149,'Customer Info'!C3149:C3648,1)</f>
        <v>#N/A</v>
      </c>
      <c r="I3157" s="6" t="e">
        <f>VLOOKUP('Customer Info'!E3149,'Customer Info'!E3149:E3648,1,0)</f>
        <v>#N/A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1355</v>
      </c>
      <c r="R3157" s="2" t="s">
        <v>50</v>
      </c>
      <c r="S3157" s="9">
        <f t="shared" si="249"/>
        <v>0.05</v>
      </c>
    </row>
    <row r="3158" spans="1:19" x14ac:dyDescent="0.3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e">
        <f>VLOOKUP('Customer Info'!B3150,'Customer Info'!B3150:B3649,1,0)</f>
        <v>#N/A</v>
      </c>
      <c r="H3158" s="6" t="e">
        <f>VLOOKUP('Customer Info'!C3150,'Customer Info'!C3150:C3649,1)</f>
        <v>#N/A</v>
      </c>
      <c r="I3158" s="6" t="e">
        <f>VLOOKUP('Customer Info'!E3150,'Customer Info'!E3150:E3649,1,0)</f>
        <v>#N/A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256</v>
      </c>
      <c r="R3158" s="2" t="s">
        <v>28</v>
      </c>
      <c r="S3158" s="9">
        <f t="shared" si="249"/>
        <v>0.05</v>
      </c>
    </row>
    <row r="3159" spans="1:19" x14ac:dyDescent="0.3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e">
        <f>VLOOKUP('Customer Info'!B3151,'Customer Info'!B3151:B3650,1,0)</f>
        <v>#N/A</v>
      </c>
      <c r="H3159" s="6" t="e">
        <f>VLOOKUP('Customer Info'!C3151,'Customer Info'!C3151:C3650,1)</f>
        <v>#N/A</v>
      </c>
      <c r="I3159" s="6" t="e">
        <f>VLOOKUP('Customer Info'!E3151,'Customer Info'!E3151:E3650,1,0)</f>
        <v>#N/A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45</v>
      </c>
      <c r="R3159" s="2" t="s">
        <v>28</v>
      </c>
      <c r="S3159" s="9">
        <f t="shared" si="249"/>
        <v>0.02</v>
      </c>
    </row>
    <row r="3160" spans="1:19" x14ac:dyDescent="0.3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e">
        <f>VLOOKUP('Customer Info'!B3152,'Customer Info'!B3152:B3651,1,0)</f>
        <v>#N/A</v>
      </c>
      <c r="H3160" s="6" t="e">
        <f>VLOOKUP('Customer Info'!C3152,'Customer Info'!C3152:C3651,1)</f>
        <v>#N/A</v>
      </c>
      <c r="I3160" s="6" t="e">
        <f>VLOOKUP('Customer Info'!E3152,'Customer Info'!E3152:E3651,1,0)</f>
        <v>#N/A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34</v>
      </c>
      <c r="R3160" s="2" t="s">
        <v>26</v>
      </c>
      <c r="S3160" s="9">
        <f t="shared" si="249"/>
        <v>0.02</v>
      </c>
    </row>
    <row r="3161" spans="1:19" x14ac:dyDescent="0.3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e">
        <f>VLOOKUP('Customer Info'!B3153,'Customer Info'!B3153:B3652,1,0)</f>
        <v>#N/A</v>
      </c>
      <c r="H3161" s="6" t="e">
        <f>VLOOKUP('Customer Info'!C3153,'Customer Info'!C3153:C3652,1)</f>
        <v>#N/A</v>
      </c>
      <c r="I3161" s="6" t="e">
        <f>VLOOKUP('Customer Info'!E3153,'Customer Info'!E3153:E3652,1,0)</f>
        <v>#N/A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669</v>
      </c>
      <c r="R3161" s="2" t="s">
        <v>50</v>
      </c>
      <c r="S3161" s="9">
        <f t="shared" si="249"/>
        <v>0.05</v>
      </c>
    </row>
    <row r="3162" spans="1:19" x14ac:dyDescent="0.3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e">
        <f>VLOOKUP('Customer Info'!B3154,'Customer Info'!B3154:B3653,1,0)</f>
        <v>#N/A</v>
      </c>
      <c r="H3162" s="6" t="e">
        <f>VLOOKUP('Customer Info'!C3154,'Customer Info'!C3154:C3653,1)</f>
        <v>#N/A</v>
      </c>
      <c r="I3162" s="6" t="e">
        <f>VLOOKUP('Customer Info'!E3154,'Customer Info'!E3154:E3653,1,0)</f>
        <v>#N/A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57</v>
      </c>
      <c r="R3162" s="2" t="s">
        <v>28</v>
      </c>
      <c r="S3162" s="9">
        <f t="shared" si="249"/>
        <v>0.02</v>
      </c>
    </row>
    <row r="3163" spans="1:19" x14ac:dyDescent="0.3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e">
        <f>VLOOKUP('Customer Info'!B3155,'Customer Info'!B3155:B3654,1,0)</f>
        <v>#N/A</v>
      </c>
      <c r="H3163" s="6" t="e">
        <f>VLOOKUP('Customer Info'!C3155,'Customer Info'!C3155:C3654,1)</f>
        <v>#N/A</v>
      </c>
      <c r="I3163" s="6" t="e">
        <f>VLOOKUP('Customer Info'!E3155,'Customer Info'!E3155:E3654,1,0)</f>
        <v>#N/A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400</v>
      </c>
      <c r="R3163" s="2" t="s">
        <v>28</v>
      </c>
      <c r="S3163" s="9">
        <f t="shared" si="249"/>
        <v>0.05</v>
      </c>
    </row>
    <row r="3164" spans="1:19" x14ac:dyDescent="0.3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e">
        <f>VLOOKUP('Customer Info'!B3156,'Customer Info'!B3156:B3655,1,0)</f>
        <v>#N/A</v>
      </c>
      <c r="H3164" s="6" t="e">
        <f>VLOOKUP('Customer Info'!C3156,'Customer Info'!C3156:C3655,1)</f>
        <v>#N/A</v>
      </c>
      <c r="I3164" s="6" t="e">
        <f>VLOOKUP('Customer Info'!E3156,'Customer Info'!E3156:E3655,1,0)</f>
        <v>#N/A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4200</v>
      </c>
      <c r="R3164" s="2" t="s">
        <v>28</v>
      </c>
      <c r="S3164" s="9">
        <f t="shared" si="249"/>
        <v>7.0000000000000007E-2</v>
      </c>
    </row>
    <row r="3165" spans="1:19" x14ac:dyDescent="0.3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e">
        <f>VLOOKUP('Customer Info'!B3157,'Customer Info'!B3157:B3656,1,0)</f>
        <v>#N/A</v>
      </c>
      <c r="H3165" s="6" t="e">
        <f>VLOOKUP('Customer Info'!C3157,'Customer Info'!C3157:C3656,1)</f>
        <v>#N/A</v>
      </c>
      <c r="I3165" s="6" t="e">
        <f>VLOOKUP('Customer Info'!E3157,'Customer Info'!E3157:E3656,1,0)</f>
        <v>#N/A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116</v>
      </c>
      <c r="R3165" s="2" t="s">
        <v>50</v>
      </c>
      <c r="S3165" s="9">
        <f t="shared" si="249"/>
        <v>0.02</v>
      </c>
    </row>
    <row r="3166" spans="1:19" x14ac:dyDescent="0.3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e">
        <f>VLOOKUP('Customer Info'!B3158,'Customer Info'!B3158:B3657,1,0)</f>
        <v>#N/A</v>
      </c>
      <c r="H3166" s="6" t="e">
        <f>VLOOKUP('Customer Info'!C3158,'Customer Info'!C3158:C3657,1)</f>
        <v>#N/A</v>
      </c>
      <c r="I3166" s="6" t="e">
        <f>VLOOKUP('Customer Info'!E3158,'Customer Info'!E3158:E3657,1,0)</f>
        <v>#N/A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159</v>
      </c>
      <c r="R3166" s="2" t="s">
        <v>28</v>
      </c>
      <c r="S3166" s="9">
        <f t="shared" si="249"/>
        <v>0.02</v>
      </c>
    </row>
    <row r="3167" spans="1:19" x14ac:dyDescent="0.3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e">
        <f>VLOOKUP('Customer Info'!B3159,'Customer Info'!B3159:B3658,1,0)</f>
        <v>#N/A</v>
      </c>
      <c r="H3167" s="6" t="e">
        <f>VLOOKUP('Customer Info'!C3159,'Customer Info'!C3159:C3658,1)</f>
        <v>#N/A</v>
      </c>
      <c r="I3167" s="6" t="e">
        <f>VLOOKUP('Customer Info'!E3159,'Customer Info'!E3159:E3658,1,0)</f>
        <v>#N/A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16232</v>
      </c>
      <c r="R3167" s="2" t="s">
        <v>50</v>
      </c>
      <c r="S3167" s="9">
        <f t="shared" si="249"/>
        <v>0.15</v>
      </c>
    </row>
    <row r="3168" spans="1:19" x14ac:dyDescent="0.3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e">
        <f>VLOOKUP('Customer Info'!B3160,'Customer Info'!B3160:B3659,1,0)</f>
        <v>#N/A</v>
      </c>
      <c r="H3168" s="6" t="e">
        <f>VLOOKUP('Customer Info'!C3160,'Customer Info'!C3160:C3659,1)</f>
        <v>#N/A</v>
      </c>
      <c r="I3168" s="6" t="e">
        <f>VLOOKUP('Customer Info'!E3160,'Customer Info'!E3160:E3659,1,0)</f>
        <v>#N/A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135</v>
      </c>
      <c r="R3168" s="2" t="s">
        <v>28</v>
      </c>
      <c r="S3168" s="9">
        <f t="shared" si="249"/>
        <v>0.05</v>
      </c>
    </row>
    <row r="3169" spans="1:19" x14ac:dyDescent="0.3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e">
        <f>VLOOKUP('Customer Info'!B3161,'Customer Info'!B3161:B3660,1,0)</f>
        <v>#N/A</v>
      </c>
      <c r="H3169" s="6" t="e">
        <f>VLOOKUP('Customer Info'!C3161,'Customer Info'!C3161:C3660,1)</f>
        <v>#N/A</v>
      </c>
      <c r="I3169" s="6" t="e">
        <f>VLOOKUP('Customer Info'!E3161,'Customer Info'!E3161:E3660,1,0)</f>
        <v>#N/A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3160</v>
      </c>
      <c r="R3169" s="2" t="s">
        <v>50</v>
      </c>
      <c r="S3169" s="9">
        <f t="shared" si="249"/>
        <v>7.0000000000000007E-2</v>
      </c>
    </row>
    <row r="3170" spans="1:19" x14ac:dyDescent="0.3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e">
        <f>VLOOKUP('Customer Info'!B3162,'Customer Info'!B3162:B3661,1,0)</f>
        <v>#N/A</v>
      </c>
      <c r="H3170" s="6" t="e">
        <f>VLOOKUP('Customer Info'!C3162,'Customer Info'!C3162:C3661,1)</f>
        <v>#N/A</v>
      </c>
      <c r="I3170" s="6" t="e">
        <f>VLOOKUP('Customer Info'!E3162,'Customer Info'!E3162:E3661,1,0)</f>
        <v>#N/A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88</v>
      </c>
      <c r="R3170" s="2" t="s">
        <v>28</v>
      </c>
      <c r="S3170" s="9">
        <f t="shared" si="249"/>
        <v>0.02</v>
      </c>
    </row>
    <row r="3171" spans="1:19" x14ac:dyDescent="0.3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e">
        <f>VLOOKUP('Customer Info'!B3163,'Customer Info'!B3163:B3662,1,0)</f>
        <v>#N/A</v>
      </c>
      <c r="H3171" s="6" t="e">
        <f>VLOOKUP('Customer Info'!C3163,'Customer Info'!C3163:C3662,1)</f>
        <v>#N/A</v>
      </c>
      <c r="I3171" s="6" t="e">
        <f>VLOOKUP('Customer Info'!E3163,'Customer Info'!E3163:E3662,1,0)</f>
        <v>#N/A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448</v>
      </c>
      <c r="R3171" s="2" t="s">
        <v>28</v>
      </c>
      <c r="S3171" s="9">
        <f t="shared" si="249"/>
        <v>0.05</v>
      </c>
    </row>
    <row r="3172" spans="1:19" x14ac:dyDescent="0.3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e">
        <f>VLOOKUP('Customer Info'!B3164,'Customer Info'!B3164:B3663,1,0)</f>
        <v>#N/A</v>
      </c>
      <c r="H3172" s="6" t="e">
        <f>VLOOKUP('Customer Info'!C3164,'Customer Info'!C3164:C3663,1)</f>
        <v>#N/A</v>
      </c>
      <c r="I3172" s="6" t="e">
        <f>VLOOKUP('Customer Info'!E3164,'Customer Info'!E3164:E3663,1,0)</f>
        <v>#N/A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282</v>
      </c>
      <c r="R3172" s="2" t="s">
        <v>50</v>
      </c>
      <c r="S3172" s="9">
        <f t="shared" si="249"/>
        <v>0.02</v>
      </c>
    </row>
    <row r="3173" spans="1:19" x14ac:dyDescent="0.3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e">
        <f>VLOOKUP('Customer Info'!B3165,'Customer Info'!B3165:B3664,1,0)</f>
        <v>#N/A</v>
      </c>
      <c r="H3173" s="6" t="e">
        <f>VLOOKUP('Customer Info'!C3165,'Customer Info'!C3165:C3664,1)</f>
        <v>#N/A</v>
      </c>
      <c r="I3173" s="6" t="e">
        <f>VLOOKUP('Customer Info'!E3165,'Customer Info'!E3165:E3664,1,0)</f>
        <v>#N/A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44</v>
      </c>
      <c r="R3173" s="2" t="s">
        <v>28</v>
      </c>
      <c r="S3173" s="9">
        <f t="shared" si="249"/>
        <v>0.02</v>
      </c>
    </row>
    <row r="3174" spans="1:19" x14ac:dyDescent="0.3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e">
        <f>VLOOKUP('Customer Info'!B3166,'Customer Info'!B3166:B3665,1,0)</f>
        <v>#N/A</v>
      </c>
      <c r="H3174" s="6" t="e">
        <f>VLOOKUP('Customer Info'!C3166,'Customer Info'!C3166:C3665,1)</f>
        <v>#N/A</v>
      </c>
      <c r="I3174" s="6" t="e">
        <f>VLOOKUP('Customer Info'!E3166,'Customer Info'!E3166:E3665,1,0)</f>
        <v>#N/A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708</v>
      </c>
      <c r="R3174" s="2" t="s">
        <v>50</v>
      </c>
      <c r="S3174" s="9">
        <f t="shared" si="249"/>
        <v>0.05</v>
      </c>
    </row>
    <row r="3175" spans="1:19" x14ac:dyDescent="0.3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e">
        <f>VLOOKUP('Customer Info'!B3167,'Customer Info'!B3167:B3666,1,0)</f>
        <v>#N/A</v>
      </c>
      <c r="H3175" s="6" t="e">
        <f>VLOOKUP('Customer Info'!C3167,'Customer Info'!C3167:C3666,1)</f>
        <v>#N/A</v>
      </c>
      <c r="I3175" s="6" t="e">
        <f>VLOOKUP('Customer Info'!E3167,'Customer Info'!E3167:E3666,1,0)</f>
        <v>#N/A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36</v>
      </c>
      <c r="R3175" s="2" t="s">
        <v>50</v>
      </c>
      <c r="S3175" s="9">
        <f t="shared" si="249"/>
        <v>0.02</v>
      </c>
    </row>
    <row r="3176" spans="1:19" x14ac:dyDescent="0.3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e">
        <f>VLOOKUP('Customer Info'!B3168,'Customer Info'!B3168:B3667,1,0)</f>
        <v>#N/A</v>
      </c>
      <c r="H3176" s="6" t="e">
        <f>VLOOKUP('Customer Info'!C3168,'Customer Info'!C3168:C3667,1)</f>
        <v>#N/A</v>
      </c>
      <c r="I3176" s="6" t="e">
        <f>VLOOKUP('Customer Info'!E3168,'Customer Info'!E3168:E3667,1,0)</f>
        <v>#N/A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7</v>
      </c>
      <c r="R3176" s="2" t="s">
        <v>56</v>
      </c>
      <c r="S3176" s="9">
        <f t="shared" si="249"/>
        <v>0.02</v>
      </c>
    </row>
    <row r="3177" spans="1:19" x14ac:dyDescent="0.3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e">
        <f>VLOOKUP('Customer Info'!B3169,'Customer Info'!B3169:B3668,1,0)</f>
        <v>#N/A</v>
      </c>
      <c r="H3177" s="6" t="e">
        <f>VLOOKUP('Customer Info'!C3169,'Customer Info'!C3169:C3668,1)</f>
        <v>#N/A</v>
      </c>
      <c r="I3177" s="6" t="e">
        <f>VLOOKUP('Customer Info'!E3169,'Customer Info'!E3169:E3668,1,0)</f>
        <v>#N/A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300</v>
      </c>
      <c r="R3177" s="2" t="s">
        <v>50</v>
      </c>
      <c r="S3177" s="9">
        <f t="shared" si="249"/>
        <v>0.02</v>
      </c>
    </row>
    <row r="3178" spans="1:19" x14ac:dyDescent="0.3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e">
        <f>VLOOKUP('Customer Info'!B3170,'Customer Info'!B3170:B3669,1,0)</f>
        <v>#N/A</v>
      </c>
      <c r="H3178" s="6" t="e">
        <f>VLOOKUP('Customer Info'!C3170,'Customer Info'!C3170:C3669,1)</f>
        <v>#N/A</v>
      </c>
      <c r="I3178" s="6" t="e">
        <f>VLOOKUP('Customer Info'!E3170,'Customer Info'!E3170:E3669,1,0)</f>
        <v>#N/A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1440</v>
      </c>
      <c r="R3178" s="2" t="s">
        <v>50</v>
      </c>
      <c r="S3178" s="9">
        <f t="shared" si="249"/>
        <v>0.05</v>
      </c>
    </row>
    <row r="3179" spans="1:19" x14ac:dyDescent="0.3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e">
        <f>VLOOKUP('Customer Info'!B3171,'Customer Info'!B3171:B3670,1,0)</f>
        <v>#N/A</v>
      </c>
      <c r="H3179" s="6" t="e">
        <f>VLOOKUP('Customer Info'!C3171,'Customer Info'!C3171:C3670,1)</f>
        <v>#N/A</v>
      </c>
      <c r="I3179" s="6" t="e">
        <f>VLOOKUP('Customer Info'!E3171,'Customer Info'!E3171:E3670,1,0)</f>
        <v>#N/A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90</v>
      </c>
      <c r="R3179" s="2" t="s">
        <v>50</v>
      </c>
      <c r="S3179" s="9">
        <f t="shared" si="249"/>
        <v>0.02</v>
      </c>
    </row>
    <row r="3180" spans="1:19" x14ac:dyDescent="0.3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e">
        <f>VLOOKUP('Customer Info'!B3172,'Customer Info'!B3172:B3671,1,0)</f>
        <v>#N/A</v>
      </c>
      <c r="H3180" s="6" t="e">
        <f>VLOOKUP('Customer Info'!C3172,'Customer Info'!C3172:C3671,1)</f>
        <v>#N/A</v>
      </c>
      <c r="I3180" s="6" t="e">
        <f>VLOOKUP('Customer Info'!E3172,'Customer Info'!E3172:E3671,1,0)</f>
        <v>#N/A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810</v>
      </c>
      <c r="R3180" s="2" t="s">
        <v>28</v>
      </c>
      <c r="S3180" s="9">
        <f t="shared" si="249"/>
        <v>0.05</v>
      </c>
    </row>
    <row r="3181" spans="1:19" x14ac:dyDescent="0.3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e">
        <f>VLOOKUP('Customer Info'!B3173,'Customer Info'!B3173:B3672,1,0)</f>
        <v>#N/A</v>
      </c>
      <c r="H3181" s="6" t="e">
        <f>VLOOKUP('Customer Info'!C3173,'Customer Info'!C3173:C3672,1)</f>
        <v>#N/A</v>
      </c>
      <c r="I3181" s="6" t="e">
        <f>VLOOKUP('Customer Info'!E3173,'Customer Info'!E3173:E3672,1,0)</f>
        <v>#N/A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188</v>
      </c>
      <c r="R3181" s="2" t="s">
        <v>50</v>
      </c>
      <c r="S3181" s="9">
        <f t="shared" si="249"/>
        <v>0.05</v>
      </c>
    </row>
    <row r="3182" spans="1:19" x14ac:dyDescent="0.3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e">
        <f>VLOOKUP('Customer Info'!B3174,'Customer Info'!B3174:B3673,1,0)</f>
        <v>#N/A</v>
      </c>
      <c r="H3182" s="6" t="e">
        <f>VLOOKUP('Customer Info'!C3174,'Customer Info'!C3174:C3673,1)</f>
        <v>#N/A</v>
      </c>
      <c r="I3182" s="6" t="e">
        <f>VLOOKUP('Customer Info'!E3174,'Customer Info'!E3174:E3673,1,0)</f>
        <v>#N/A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72</v>
      </c>
      <c r="R3182" s="2" t="s">
        <v>50</v>
      </c>
      <c r="S3182" s="9">
        <f t="shared" si="249"/>
        <v>0.02</v>
      </c>
    </row>
    <row r="3183" spans="1:19" x14ac:dyDescent="0.3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e">
        <f>VLOOKUP('Customer Info'!B3175,'Customer Info'!B3175:B3674,1,0)</f>
        <v>#N/A</v>
      </c>
      <c r="H3183" s="6" t="e">
        <f>VLOOKUP('Customer Info'!C3175,'Customer Info'!C3175:C3674,1)</f>
        <v>#N/A</v>
      </c>
      <c r="I3183" s="6" t="e">
        <f>VLOOKUP('Customer Info'!E3175,'Customer Info'!E3175:E3674,1,0)</f>
        <v>#N/A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372</v>
      </c>
      <c r="R3183" s="2" t="s">
        <v>28</v>
      </c>
      <c r="S3183" s="9">
        <f t="shared" si="249"/>
        <v>0.05</v>
      </c>
    </row>
    <row r="3184" spans="1:19" x14ac:dyDescent="0.3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e">
        <f>VLOOKUP('Customer Info'!B3176,'Customer Info'!B3176:B3675,1,0)</f>
        <v>#N/A</v>
      </c>
      <c r="H3184" s="6" t="e">
        <f>VLOOKUP('Customer Info'!C3176,'Customer Info'!C3176:C3675,1)</f>
        <v>#N/A</v>
      </c>
      <c r="I3184" s="6" t="e">
        <f>VLOOKUP('Customer Info'!E3176,'Customer Info'!E3176:E3675,1,0)</f>
        <v>#N/A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30</v>
      </c>
      <c r="R3184" s="2" t="s">
        <v>50</v>
      </c>
      <c r="S3184" s="9">
        <f t="shared" si="249"/>
        <v>0.02</v>
      </c>
    </row>
    <row r="3185" spans="1:19" x14ac:dyDescent="0.3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e">
        <f>VLOOKUP('Customer Info'!B3177,'Customer Info'!B3177:B3676,1,0)</f>
        <v>#N/A</v>
      </c>
      <c r="H3185" s="6" t="e">
        <f>VLOOKUP('Customer Info'!C3177,'Customer Info'!C3177:C3676,1)</f>
        <v>#N/A</v>
      </c>
      <c r="I3185" s="6" t="e">
        <f>VLOOKUP('Customer Info'!E3177,'Customer Info'!E3177:E3676,1,0)</f>
        <v>#N/A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255</v>
      </c>
      <c r="R3185" s="2" t="s">
        <v>50</v>
      </c>
      <c r="S3185" s="9">
        <f t="shared" si="249"/>
        <v>0.02</v>
      </c>
    </row>
    <row r="3186" spans="1:19" x14ac:dyDescent="0.3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e">
        <f>VLOOKUP('Customer Info'!B3178,'Customer Info'!B3178:B3677,1,0)</f>
        <v>#N/A</v>
      </c>
      <c r="H3186" s="6" t="e">
        <f>VLOOKUP('Customer Info'!C3178,'Customer Info'!C3178:C3677,1)</f>
        <v>#N/A</v>
      </c>
      <c r="I3186" s="6" t="e">
        <f>VLOOKUP('Customer Info'!E3178,'Customer Info'!E3178:E3677,1,0)</f>
        <v>#N/A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8</v>
      </c>
      <c r="R3186" s="2" t="s">
        <v>56</v>
      </c>
      <c r="S3186" s="9">
        <f t="shared" si="249"/>
        <v>0.02</v>
      </c>
    </row>
    <row r="3187" spans="1:19" x14ac:dyDescent="0.3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e">
        <f>VLOOKUP('Customer Info'!B3179,'Customer Info'!B3179:B3678,1,0)</f>
        <v>#N/A</v>
      </c>
      <c r="H3187" s="6" t="e">
        <f>VLOOKUP('Customer Info'!C3179,'Customer Info'!C3179:C3678,1)</f>
        <v>#N/A</v>
      </c>
      <c r="I3187" s="6" t="e">
        <f>VLOOKUP('Customer Info'!E3179,'Customer Info'!E3179:E3678,1,0)</f>
        <v>#N/A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6</v>
      </c>
      <c r="R3187" s="2" t="s">
        <v>28</v>
      </c>
      <c r="S3187" s="9">
        <f t="shared" si="249"/>
        <v>0.02</v>
      </c>
    </row>
    <row r="3188" spans="1:19" x14ac:dyDescent="0.3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e">
        <f>VLOOKUP('Customer Info'!B3180,'Customer Info'!B3180:B3679,1,0)</f>
        <v>#N/A</v>
      </c>
      <c r="H3188" s="6" t="e">
        <f>VLOOKUP('Customer Info'!C3180,'Customer Info'!C3180:C3679,1)</f>
        <v>#N/A</v>
      </c>
      <c r="I3188" s="6" t="e">
        <f>VLOOKUP('Customer Info'!E3180,'Customer Info'!E3180:E3679,1,0)</f>
        <v>#N/A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685</v>
      </c>
      <c r="R3188" s="2" t="s">
        <v>28</v>
      </c>
      <c r="S3188" s="9">
        <f t="shared" si="249"/>
        <v>0.05</v>
      </c>
    </row>
    <row r="3189" spans="1:19" x14ac:dyDescent="0.3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e">
        <f>VLOOKUP('Customer Info'!B3181,'Customer Info'!B3181:B3680,1,0)</f>
        <v>#N/A</v>
      </c>
      <c r="H3189" s="6" t="e">
        <f>VLOOKUP('Customer Info'!C3181,'Customer Info'!C3181:C3680,1)</f>
        <v>#N/A</v>
      </c>
      <c r="I3189" s="6" t="e">
        <f>VLOOKUP('Customer Info'!E3181,'Customer Info'!E3181:E3680,1,0)</f>
        <v>#N/A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305</v>
      </c>
      <c r="R3189" s="2" t="s">
        <v>28</v>
      </c>
      <c r="S3189" s="9">
        <f t="shared" si="249"/>
        <v>0.05</v>
      </c>
    </row>
    <row r="3190" spans="1:19" x14ac:dyDescent="0.3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e">
        <f>VLOOKUP('Customer Info'!B3182,'Customer Info'!B3182:B3681,1,0)</f>
        <v>#N/A</v>
      </c>
      <c r="H3190" s="6" t="e">
        <f>VLOOKUP('Customer Info'!C3182,'Customer Info'!C3182:C3681,1)</f>
        <v>#N/A</v>
      </c>
      <c r="I3190" s="6" t="e">
        <f>VLOOKUP('Customer Info'!E3182,'Customer Info'!E3182:E3681,1,0)</f>
        <v>#N/A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30</v>
      </c>
      <c r="R3190" s="2" t="s">
        <v>28</v>
      </c>
      <c r="S3190" s="9">
        <f t="shared" si="249"/>
        <v>0.02</v>
      </c>
    </row>
    <row r="3191" spans="1:19" x14ac:dyDescent="0.3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e">
        <f>VLOOKUP('Customer Info'!B3183,'Customer Info'!B3183:B3682,1,0)</f>
        <v>#N/A</v>
      </c>
      <c r="H3191" s="6" t="e">
        <f>VLOOKUP('Customer Info'!C3183,'Customer Info'!C3183:C3682,1)</f>
        <v>#N/A</v>
      </c>
      <c r="I3191" s="6" t="e">
        <f>VLOOKUP('Customer Info'!E3183,'Customer Info'!E3183:E3682,1,0)</f>
        <v>#N/A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39</v>
      </c>
      <c r="R3191" s="2" t="s">
        <v>50</v>
      </c>
      <c r="S3191" s="9">
        <f t="shared" si="249"/>
        <v>0.02</v>
      </c>
    </row>
    <row r="3192" spans="1:19" x14ac:dyDescent="0.3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e">
        <f>VLOOKUP('Customer Info'!B3184,'Customer Info'!B3184:B3683,1,0)</f>
        <v>#N/A</v>
      </c>
      <c r="H3192" s="6" t="e">
        <f>VLOOKUP('Customer Info'!C3184,'Customer Info'!C3184:C3683,1)</f>
        <v>#N/A</v>
      </c>
      <c r="I3192" s="6" t="e">
        <f>VLOOKUP('Customer Info'!E3184,'Customer Info'!E3184:E3683,1,0)</f>
        <v>#N/A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616</v>
      </c>
      <c r="R3192" s="2" t="s">
        <v>28</v>
      </c>
      <c r="S3192" s="9">
        <f t="shared" si="249"/>
        <v>7.0000000000000007E-2</v>
      </c>
    </row>
    <row r="3193" spans="1:19" x14ac:dyDescent="0.3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e">
        <f>VLOOKUP('Customer Info'!B3185,'Customer Info'!B3185:B3684,1,0)</f>
        <v>#N/A</v>
      </c>
      <c r="H3193" s="6" t="e">
        <f>VLOOKUP('Customer Info'!C3185,'Customer Info'!C3185:C3684,1)</f>
        <v>#N/A</v>
      </c>
      <c r="I3193" s="6" t="e">
        <f>VLOOKUP('Customer Info'!E3185,'Customer Info'!E3185:E3684,1,0)</f>
        <v>#N/A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32</v>
      </c>
      <c r="R3193" s="2" t="s">
        <v>28</v>
      </c>
      <c r="S3193" s="9">
        <f t="shared" si="249"/>
        <v>0.02</v>
      </c>
    </row>
    <row r="3194" spans="1:19" x14ac:dyDescent="0.3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e">
        <f>VLOOKUP('Customer Info'!B3186,'Customer Info'!B3186:B3685,1,0)</f>
        <v>#N/A</v>
      </c>
      <c r="H3194" s="6" t="e">
        <f>VLOOKUP('Customer Info'!C3186,'Customer Info'!C3186:C3685,1)</f>
        <v>#N/A</v>
      </c>
      <c r="I3194" s="6" t="e">
        <f>VLOOKUP('Customer Info'!E3186,'Customer Info'!E3186:E3685,1,0)</f>
        <v>#N/A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597</v>
      </c>
      <c r="R3194" s="2" t="s">
        <v>50</v>
      </c>
      <c r="S3194" s="9">
        <f t="shared" si="249"/>
        <v>0.02</v>
      </c>
    </row>
    <row r="3195" spans="1:19" x14ac:dyDescent="0.3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e">
        <f>VLOOKUP('Customer Info'!B3187,'Customer Info'!B3187:B3686,1,0)</f>
        <v>#N/A</v>
      </c>
      <c r="H3195" s="6" t="e">
        <f>VLOOKUP('Customer Info'!C3187,'Customer Info'!C3187:C3686,1)</f>
        <v>#N/A</v>
      </c>
      <c r="I3195" s="6" t="e">
        <f>VLOOKUP('Customer Info'!E3187,'Customer Info'!E3187:E3686,1,0)</f>
        <v>#N/A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354</v>
      </c>
      <c r="R3195" s="2" t="s">
        <v>56</v>
      </c>
      <c r="S3195" s="9">
        <f t="shared" si="249"/>
        <v>0.02</v>
      </c>
    </row>
    <row r="3196" spans="1:19" x14ac:dyDescent="0.3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e">
        <f>VLOOKUP('Customer Info'!B3188,'Customer Info'!B3188:B3687,1,0)</f>
        <v>#N/A</v>
      </c>
      <c r="H3196" s="6" t="e">
        <f>VLOOKUP('Customer Info'!C3188,'Customer Info'!C3188:C3687,1)</f>
        <v>#N/A</v>
      </c>
      <c r="I3196" s="6" t="e">
        <f>VLOOKUP('Customer Info'!E3188,'Customer Info'!E3188:E3687,1,0)</f>
        <v>#N/A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130</v>
      </c>
      <c r="R3196" s="2" t="s">
        <v>26</v>
      </c>
      <c r="S3196" s="9">
        <f t="shared" si="249"/>
        <v>0.02</v>
      </c>
    </row>
    <row r="3197" spans="1:19" x14ac:dyDescent="0.3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e">
        <f>VLOOKUP('Customer Info'!B3189,'Customer Info'!B3189:B3688,1,0)</f>
        <v>#N/A</v>
      </c>
      <c r="H3197" s="6" t="e">
        <f>VLOOKUP('Customer Info'!C3189,'Customer Info'!C3189:C3688,1)</f>
        <v>#N/A</v>
      </c>
      <c r="I3197" s="6" t="e">
        <f>VLOOKUP('Customer Info'!E3189,'Customer Info'!E3189:E3688,1,0)</f>
        <v>#N/A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64</v>
      </c>
      <c r="R3197" s="2" t="s">
        <v>50</v>
      </c>
      <c r="S3197" s="9">
        <f t="shared" si="249"/>
        <v>0.02</v>
      </c>
    </row>
    <row r="3198" spans="1:19" x14ac:dyDescent="0.3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e">
        <f>VLOOKUP('Customer Info'!B3190,'Customer Info'!B3190:B3689,1,0)</f>
        <v>#N/A</v>
      </c>
      <c r="H3198" s="6" t="e">
        <f>VLOOKUP('Customer Info'!C3190,'Customer Info'!C3190:C3689,1)</f>
        <v>#N/A</v>
      </c>
      <c r="I3198" s="6" t="e">
        <f>VLOOKUP('Customer Info'!E3190,'Customer Info'!E3190:E3689,1,0)</f>
        <v>#N/A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198</v>
      </c>
      <c r="R3198" s="2" t="s">
        <v>26</v>
      </c>
      <c r="S3198" s="9">
        <f t="shared" si="249"/>
        <v>0.02</v>
      </c>
    </row>
    <row r="3199" spans="1:19" x14ac:dyDescent="0.3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e">
        <f>VLOOKUP('Customer Info'!B3191,'Customer Info'!B3191:B3690,1,0)</f>
        <v>#N/A</v>
      </c>
      <c r="H3199" s="6" t="e">
        <f>VLOOKUP('Customer Info'!C3191,'Customer Info'!C3191:C3690,1)</f>
        <v>#N/A</v>
      </c>
      <c r="I3199" s="6" t="e">
        <f>VLOOKUP('Customer Info'!E3191,'Customer Info'!E3191:E3690,1,0)</f>
        <v>#N/A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120</v>
      </c>
      <c r="R3199" s="2" t="s">
        <v>28</v>
      </c>
      <c r="S3199" s="9">
        <f t="shared" si="249"/>
        <v>0.05</v>
      </c>
    </row>
    <row r="3200" spans="1:19" x14ac:dyDescent="0.3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e">
        <f>VLOOKUP('Customer Info'!B3192,'Customer Info'!B3192:B3691,1,0)</f>
        <v>#N/A</v>
      </c>
      <c r="H3200" s="6" t="e">
        <f>VLOOKUP('Customer Info'!C3192,'Customer Info'!C3192:C3691,1)</f>
        <v>#N/A</v>
      </c>
      <c r="I3200" s="6" t="e">
        <f>VLOOKUP('Customer Info'!E3192,'Customer Info'!E3192:E3691,1,0)</f>
        <v>#N/A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360</v>
      </c>
      <c r="R3200" s="2" t="s">
        <v>26</v>
      </c>
      <c r="S3200" s="9">
        <f t="shared" si="249"/>
        <v>0.02</v>
      </c>
    </row>
    <row r="3201" spans="1:19" x14ac:dyDescent="0.3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e">
        <f>VLOOKUP('Customer Info'!B3193,'Customer Info'!B3193:B3692,1,0)</f>
        <v>#N/A</v>
      </c>
      <c r="H3201" s="6" t="e">
        <f>VLOOKUP('Customer Info'!C3193,'Customer Info'!C3193:C3692,1)</f>
        <v>#N/A</v>
      </c>
      <c r="I3201" s="6" t="e">
        <f>VLOOKUP('Customer Info'!E3193,'Customer Info'!E3193:E3692,1,0)</f>
        <v>#N/A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135</v>
      </c>
      <c r="R3201" s="2" t="s">
        <v>50</v>
      </c>
      <c r="S3201" s="9">
        <f t="shared" si="249"/>
        <v>0.02</v>
      </c>
    </row>
    <row r="3202" spans="1:19" x14ac:dyDescent="0.3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e">
        <f>VLOOKUP('Customer Info'!B3194,'Customer Info'!B3194:B3693,1,0)</f>
        <v>#N/A</v>
      </c>
      <c r="H3202" s="6" t="e">
        <f>VLOOKUP('Customer Info'!C3194,'Customer Info'!C3194:C3693,1)</f>
        <v>#N/A</v>
      </c>
      <c r="I3202" s="6" t="e">
        <f>VLOOKUP('Customer Info'!E3194,'Customer Info'!E3194:E3693,1,0)</f>
        <v>#N/A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121</v>
      </c>
      <c r="R3202" s="2" t="s">
        <v>28</v>
      </c>
      <c r="S3202" s="9">
        <f t="shared" si="249"/>
        <v>0.02</v>
      </c>
    </row>
    <row r="3203" spans="1:19" x14ac:dyDescent="0.3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e">
        <f>VLOOKUP('Customer Info'!B3195,'Customer Info'!B3195:B3694,1,0)</f>
        <v>#N/A</v>
      </c>
      <c r="H3203" s="6" t="e">
        <f>VLOOKUP('Customer Info'!C3195,'Customer Info'!C3195:C3694,1)</f>
        <v>#N/A</v>
      </c>
      <c r="I3203" s="6" t="e">
        <f>VLOOKUP('Customer Info'!E3195,'Customer Info'!E3195:E3694,1,0)</f>
        <v>#N/A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91</v>
      </c>
      <c r="R3203" s="2" t="s">
        <v>28</v>
      </c>
      <c r="S3203" s="9">
        <f t="shared" si="249"/>
        <v>0.02</v>
      </c>
    </row>
    <row r="3204" spans="1:19" x14ac:dyDescent="0.3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e">
        <f>VLOOKUP('Customer Info'!B3196,'Customer Info'!B3196:B3695,1,0)</f>
        <v>#N/A</v>
      </c>
      <c r="H3204" s="6" t="e">
        <f>VLOOKUP('Customer Info'!C3196,'Customer Info'!C3196:C3695,1)</f>
        <v>#N/A</v>
      </c>
      <c r="I3204" s="6" t="e">
        <f>VLOOKUP('Customer Info'!E3196,'Customer Info'!E3196:E3695,1,0)</f>
        <v>#N/A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102</v>
      </c>
      <c r="R3204" s="2" t="s">
        <v>28</v>
      </c>
      <c r="S3204" s="9">
        <f t="shared" si="249"/>
        <v>0.02</v>
      </c>
    </row>
    <row r="3205" spans="1:19" x14ac:dyDescent="0.3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e">
        <f>VLOOKUP('Customer Info'!B3197,'Customer Info'!B3197:B3696,1,0)</f>
        <v>#N/A</v>
      </c>
      <c r="H3205" s="6" t="e">
        <f>VLOOKUP('Customer Info'!C3197,'Customer Info'!C3197:C3696,1)</f>
        <v>#N/A</v>
      </c>
      <c r="I3205" s="6" t="e">
        <f>VLOOKUP('Customer Info'!E3197,'Customer Info'!E3197:E3696,1,0)</f>
        <v>#N/A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72</v>
      </c>
      <c r="R3205" s="2" t="s">
        <v>28</v>
      </c>
      <c r="S3205" s="9">
        <f t="shared" si="249"/>
        <v>0.02</v>
      </c>
    </row>
    <row r="3206" spans="1:19" x14ac:dyDescent="0.3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e">
        <f>VLOOKUP('Customer Info'!B3198,'Customer Info'!B3198:B3697,1,0)</f>
        <v>#N/A</v>
      </c>
      <c r="H3206" s="6" t="e">
        <f>VLOOKUP('Customer Info'!C3198,'Customer Info'!C3198:C3697,1)</f>
        <v>#N/A</v>
      </c>
      <c r="I3206" s="6" t="e">
        <f>VLOOKUP('Customer Info'!E3198,'Customer Info'!E3198:E3697,1,0)</f>
        <v>#N/A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10</v>
      </c>
      <c r="R3206" s="2" t="s">
        <v>26</v>
      </c>
      <c r="S3206" s="9">
        <f t="shared" si="249"/>
        <v>0.02</v>
      </c>
    </row>
    <row r="3207" spans="1:19" x14ac:dyDescent="0.3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e">
        <f>VLOOKUP('Customer Info'!B3199,'Customer Info'!B3199:B3698,1,0)</f>
        <v>#N/A</v>
      </c>
      <c r="H3207" s="6" t="e">
        <f>VLOOKUP('Customer Info'!C3199,'Customer Info'!C3199:C3698,1)</f>
        <v>#N/A</v>
      </c>
      <c r="I3207" s="6" t="e">
        <f>VLOOKUP('Customer Info'!E3199,'Customer Info'!E3199:E3698,1,0)</f>
        <v>#N/A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1524</v>
      </c>
      <c r="R3207" s="2" t="s">
        <v>28</v>
      </c>
      <c r="S3207" s="9">
        <f t="shared" si="249"/>
        <v>0.05</v>
      </c>
    </row>
    <row r="3208" spans="1:19" x14ac:dyDescent="0.3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e">
        <f>VLOOKUP('Customer Info'!B3200,'Customer Info'!B3200:B3699,1,0)</f>
        <v>#N/A</v>
      </c>
      <c r="H3208" s="6" t="e">
        <f>VLOOKUP('Customer Info'!C3200,'Customer Info'!C3200:C3699,1)</f>
        <v>#N/A</v>
      </c>
      <c r="I3208" s="6" t="e">
        <f>VLOOKUP('Customer Info'!E3200,'Customer Info'!E3200:E3699,1,0)</f>
        <v>#N/A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13112</v>
      </c>
      <c r="R3208" s="2" t="s">
        <v>28</v>
      </c>
      <c r="S3208" s="9">
        <f t="shared" si="249"/>
        <v>0.15</v>
      </c>
    </row>
    <row r="3209" spans="1:19" x14ac:dyDescent="0.3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e">
        <f>VLOOKUP('Customer Info'!B3201,'Customer Info'!B3201:B3700,1,0)</f>
        <v>#N/A</v>
      </c>
      <c r="H3209" s="6" t="e">
        <f>VLOOKUP('Customer Info'!C3201,'Customer Info'!C3201:C3700,1)</f>
        <v>#N/A</v>
      </c>
      <c r="I3209" s="6" t="e">
        <f>VLOOKUP('Customer Info'!E3201,'Customer Info'!E3201:E3700,1,0)</f>
        <v>#N/A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85</v>
      </c>
      <c r="R3209" s="2" t="s">
        <v>56</v>
      </c>
      <c r="S3209" s="9">
        <f t="shared" si="249"/>
        <v>0.02</v>
      </c>
    </row>
    <row r="3210" spans="1:19" x14ac:dyDescent="0.3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e">
        <f>VLOOKUP('Customer Info'!B3202,'Customer Info'!B3202:B3701,1,0)</f>
        <v>#N/A</v>
      </c>
      <c r="H3210" s="6" t="e">
        <f>VLOOKUP('Customer Info'!C3202,'Customer Info'!C3202:C3701,1)</f>
        <v>#N/A</v>
      </c>
      <c r="I3210" s="6" t="e">
        <f>VLOOKUP('Customer Info'!E3202,'Customer Info'!E3202:E3701,1,0)</f>
        <v>#N/A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492</v>
      </c>
      <c r="R3210" s="2" t="s">
        <v>50</v>
      </c>
      <c r="S3210" s="9">
        <f t="shared" si="249"/>
        <v>0.05</v>
      </c>
    </row>
    <row r="3211" spans="1:19" x14ac:dyDescent="0.3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e">
        <f>VLOOKUP('Customer Info'!B3203,'Customer Info'!B3203:B3702,1,0)</f>
        <v>#N/A</v>
      </c>
      <c r="H3211" s="6" t="e">
        <f>VLOOKUP('Customer Info'!C3203,'Customer Info'!C3203:C3702,1)</f>
        <v>#N/A</v>
      </c>
      <c r="I3211" s="6" t="e">
        <f>VLOOKUP('Customer Info'!E3203,'Customer Info'!E3203:E3702,1,0)</f>
        <v>#N/A</v>
      </c>
      <c r="J3211" s="2">
        <v>4443</v>
      </c>
      <c r="K3211" s="2">
        <v>4079</v>
      </c>
      <c r="L3211" s="2">
        <v>4</v>
      </c>
      <c r="M3211" s="7">
        <f t="shared" ref="M3211:M3274" si="250">(K3211*L3211)</f>
        <v>16316</v>
      </c>
      <c r="N3211" s="7">
        <f t="shared" ref="N3211:N3274" si="251">(J3211*L3211)</f>
        <v>17772</v>
      </c>
      <c r="O3211" s="2">
        <v>79</v>
      </c>
      <c r="P3211" s="8">
        <f t="shared" ref="P3211:P3274" si="252">(N3211+O3211)</f>
        <v>17851</v>
      </c>
      <c r="Q3211" s="8">
        <f t="shared" ref="Q3211:Q3274" si="253">(N3211-M3211)</f>
        <v>1456</v>
      </c>
      <c r="R3211" s="2" t="s">
        <v>28</v>
      </c>
      <c r="S3211" s="9">
        <f t="shared" ref="S3211:S3274" si="254">_xlfn.IFS(P3211&gt;250000,0.15,P3211&gt;100000,0.12,P3211&gt;50000,0.09,P3211&gt;25000,0.07,P3211&gt;5000,0.05,
 TRUE,0.02)</f>
        <v>0.05</v>
      </c>
    </row>
    <row r="3212" spans="1:19" x14ac:dyDescent="0.3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e">
        <f>VLOOKUP('Customer Info'!B3204,'Customer Info'!B3204:B3703,1,0)</f>
        <v>#N/A</v>
      </c>
      <c r="H3212" s="6" t="e">
        <f>VLOOKUP('Customer Info'!C3204,'Customer Info'!C3204:C3703,1)</f>
        <v>#N/A</v>
      </c>
      <c r="I3212" s="6" t="e">
        <f>VLOOKUP('Customer Info'!E3204,'Customer Info'!E3204:E3703,1,0)</f>
        <v>#N/A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268</v>
      </c>
      <c r="R3212" s="2" t="s">
        <v>28</v>
      </c>
      <c r="S3212" s="9">
        <f t="shared" si="254"/>
        <v>0.02</v>
      </c>
    </row>
    <row r="3213" spans="1:19" x14ac:dyDescent="0.3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e">
        <f>VLOOKUP('Customer Info'!B3205,'Customer Info'!B3205:B3704,1,0)</f>
        <v>#N/A</v>
      </c>
      <c r="H3213" s="6" t="e">
        <f>VLOOKUP('Customer Info'!C3205,'Customer Info'!C3205:C3704,1)</f>
        <v>#N/A</v>
      </c>
      <c r="I3213" s="6" t="e">
        <f>VLOOKUP('Customer Info'!E3205,'Customer Info'!E3205:E3704,1,0)</f>
        <v>#N/A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762</v>
      </c>
      <c r="R3213" s="2" t="s">
        <v>28</v>
      </c>
      <c r="S3213" s="9">
        <f t="shared" si="254"/>
        <v>0.05</v>
      </c>
    </row>
    <row r="3214" spans="1:19" x14ac:dyDescent="0.3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e">
        <f>VLOOKUP('Customer Info'!B3206,'Customer Info'!B3206:B3705,1,0)</f>
        <v>#N/A</v>
      </c>
      <c r="H3214" s="6" t="e">
        <f>VLOOKUP('Customer Info'!C3206,'Customer Info'!C3206:C3705,1)</f>
        <v>#N/A</v>
      </c>
      <c r="I3214" s="6" t="e">
        <f>VLOOKUP('Customer Info'!E3206,'Customer Info'!E3206:E3705,1,0)</f>
        <v>#N/A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590</v>
      </c>
      <c r="R3214" s="2" t="s">
        <v>50</v>
      </c>
      <c r="S3214" s="9">
        <f t="shared" si="254"/>
        <v>0.05</v>
      </c>
    </row>
    <row r="3215" spans="1:19" x14ac:dyDescent="0.3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e">
        <f>VLOOKUP('Customer Info'!B3207,'Customer Info'!B3207:B3706,1,0)</f>
        <v>#N/A</v>
      </c>
      <c r="H3215" s="6" t="e">
        <f>VLOOKUP('Customer Info'!C3207,'Customer Info'!C3207:C3706,1)</f>
        <v>#N/A</v>
      </c>
      <c r="I3215" s="6" t="e">
        <f>VLOOKUP('Customer Info'!E3207,'Customer Info'!E3207:E3706,1,0)</f>
        <v>#N/A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424</v>
      </c>
      <c r="R3215" s="2" t="s">
        <v>28</v>
      </c>
      <c r="S3215" s="9">
        <f t="shared" si="254"/>
        <v>0.05</v>
      </c>
    </row>
    <row r="3216" spans="1:19" x14ac:dyDescent="0.3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e">
        <f>VLOOKUP('Customer Info'!B3208,'Customer Info'!B3208:B3707,1,0)</f>
        <v>#N/A</v>
      </c>
      <c r="H3216" s="6" t="e">
        <f>VLOOKUP('Customer Info'!C3208,'Customer Info'!C3208:C3707,1)</f>
        <v>#N/A</v>
      </c>
      <c r="I3216" s="6" t="e">
        <f>VLOOKUP('Customer Info'!E3208,'Customer Info'!E3208:E3707,1,0)</f>
        <v>#N/A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1916</v>
      </c>
      <c r="R3216" s="2" t="s">
        <v>28</v>
      </c>
      <c r="S3216" s="9">
        <f t="shared" si="254"/>
        <v>7.0000000000000007E-2</v>
      </c>
    </row>
    <row r="3217" spans="1:19" x14ac:dyDescent="0.3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e">
        <f>VLOOKUP('Customer Info'!B3209,'Customer Info'!B3209:B3708,1,0)</f>
        <v>#N/A</v>
      </c>
      <c r="H3217" s="6" t="e">
        <f>VLOOKUP('Customer Info'!C3209,'Customer Info'!C3209:C3708,1)</f>
        <v>#N/A</v>
      </c>
      <c r="I3217" s="6" t="e">
        <f>VLOOKUP('Customer Info'!E3209,'Customer Info'!E3209:E3708,1,0)</f>
        <v>#N/A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108</v>
      </c>
      <c r="R3217" s="2" t="s">
        <v>26</v>
      </c>
      <c r="S3217" s="9">
        <f t="shared" si="254"/>
        <v>0.02</v>
      </c>
    </row>
    <row r="3218" spans="1:19" x14ac:dyDescent="0.3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e">
        <f>VLOOKUP('Customer Info'!B3210,'Customer Info'!B3210:B3709,1,0)</f>
        <v>#N/A</v>
      </c>
      <c r="H3218" s="6" t="e">
        <f>VLOOKUP('Customer Info'!C3210,'Customer Info'!C3210:C3709,1)</f>
        <v>#N/A</v>
      </c>
      <c r="I3218" s="6" t="e">
        <f>VLOOKUP('Customer Info'!E3210,'Customer Info'!E3210:E3709,1,0)</f>
        <v>#N/A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4150</v>
      </c>
      <c r="R3218" s="2" t="s">
        <v>26</v>
      </c>
      <c r="S3218" s="9">
        <f t="shared" si="254"/>
        <v>0.09</v>
      </c>
    </row>
    <row r="3219" spans="1:19" x14ac:dyDescent="0.3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e">
        <f>VLOOKUP('Customer Info'!B3211,'Customer Info'!B3211:B3710,1,0)</f>
        <v>#N/A</v>
      </c>
      <c r="H3219" s="6" t="e">
        <f>VLOOKUP('Customer Info'!C3211,'Customer Info'!C3211:C3710,1)</f>
        <v>#N/A</v>
      </c>
      <c r="I3219" s="6" t="e">
        <f>VLOOKUP('Customer Info'!E3211,'Customer Info'!E3211:E3710,1,0)</f>
        <v>#N/A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30</v>
      </c>
      <c r="R3219" s="2" t="s">
        <v>28</v>
      </c>
      <c r="S3219" s="9">
        <f t="shared" si="254"/>
        <v>0.02</v>
      </c>
    </row>
    <row r="3220" spans="1:19" x14ac:dyDescent="0.3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e">
        <f>VLOOKUP('Customer Info'!B3212,'Customer Info'!B3212:B3711,1,0)</f>
        <v>#N/A</v>
      </c>
      <c r="H3220" s="6" t="e">
        <f>VLOOKUP('Customer Info'!C3212,'Customer Info'!C3212:C3711,1)</f>
        <v>#N/A</v>
      </c>
      <c r="I3220" s="6" t="e">
        <f>VLOOKUP('Customer Info'!E3212,'Customer Info'!E3212:E3711,1,0)</f>
        <v>#N/A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59</v>
      </c>
      <c r="R3220" s="2" t="s">
        <v>50</v>
      </c>
      <c r="S3220" s="9">
        <f t="shared" si="254"/>
        <v>0.02</v>
      </c>
    </row>
    <row r="3221" spans="1:19" x14ac:dyDescent="0.3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e">
        <f>VLOOKUP('Customer Info'!B3213,'Customer Info'!B3213:B3712,1,0)</f>
        <v>#N/A</v>
      </c>
      <c r="H3221" s="6" t="e">
        <f>VLOOKUP('Customer Info'!C3213,'Customer Info'!C3213:C3712,1)</f>
        <v>#N/A</v>
      </c>
      <c r="I3221" s="6" t="e">
        <f>VLOOKUP('Customer Info'!E3213,'Customer Info'!E3213:E3712,1,0)</f>
        <v>#N/A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165</v>
      </c>
      <c r="R3221" s="2" t="s">
        <v>50</v>
      </c>
      <c r="S3221" s="9">
        <f t="shared" si="254"/>
        <v>0.02</v>
      </c>
    </row>
    <row r="3222" spans="1:19" x14ac:dyDescent="0.3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e">
        <f>VLOOKUP('Customer Info'!B3214,'Customer Info'!B3214:B3713,1,0)</f>
        <v>#N/A</v>
      </c>
      <c r="H3222" s="6" t="e">
        <f>VLOOKUP('Customer Info'!C3214,'Customer Info'!C3214:C3713,1)</f>
        <v>#N/A</v>
      </c>
      <c r="I3222" s="6" t="e">
        <f>VLOOKUP('Customer Info'!E3214,'Customer Info'!E3214:E3713,1,0)</f>
        <v>#N/A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711</v>
      </c>
      <c r="R3222" s="2" t="s">
        <v>28</v>
      </c>
      <c r="S3222" s="9">
        <f t="shared" si="254"/>
        <v>0.05</v>
      </c>
    </row>
    <row r="3223" spans="1:19" x14ac:dyDescent="0.3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e">
        <f>VLOOKUP('Customer Info'!B3215,'Customer Info'!B3215:B3714,1,0)</f>
        <v>#N/A</v>
      </c>
      <c r="H3223" s="6" t="e">
        <f>VLOOKUP('Customer Info'!C3215,'Customer Info'!C3215:C3714,1)</f>
        <v>#N/A</v>
      </c>
      <c r="I3223" s="6" t="e">
        <f>VLOOKUP('Customer Info'!E3215,'Customer Info'!E3215:E3714,1,0)</f>
        <v>#N/A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242</v>
      </c>
      <c r="R3223" s="2" t="s">
        <v>50</v>
      </c>
      <c r="S3223" s="9">
        <f t="shared" si="254"/>
        <v>0.02</v>
      </c>
    </row>
    <row r="3224" spans="1:19" x14ac:dyDescent="0.3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e">
        <f>VLOOKUP('Customer Info'!B3216,'Customer Info'!B3216:B3715,1,0)</f>
        <v>#N/A</v>
      </c>
      <c r="H3224" s="6" t="e">
        <f>VLOOKUP('Customer Info'!C3216,'Customer Info'!C3216:C3715,1)</f>
        <v>#N/A</v>
      </c>
      <c r="I3224" s="6" t="e">
        <f>VLOOKUP('Customer Info'!E3216,'Customer Info'!E3216:E3715,1,0)</f>
        <v>#N/A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2069</v>
      </c>
      <c r="R3224" s="2" t="s">
        <v>28</v>
      </c>
      <c r="S3224" s="9">
        <f t="shared" si="254"/>
        <v>7.0000000000000007E-2</v>
      </c>
    </row>
    <row r="3225" spans="1:19" x14ac:dyDescent="0.3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e">
        <f>VLOOKUP('Customer Info'!B3217,'Customer Info'!B3217:B3716,1,0)</f>
        <v>#N/A</v>
      </c>
      <c r="H3225" s="6" t="e">
        <f>VLOOKUP('Customer Info'!C3217,'Customer Info'!C3217:C3716,1)</f>
        <v>#N/A</v>
      </c>
      <c r="I3225" s="6" t="e">
        <f>VLOOKUP('Customer Info'!E3217,'Customer Info'!E3217:E3716,1,0)</f>
        <v>#N/A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1167</v>
      </c>
      <c r="R3225" s="2" t="s">
        <v>26</v>
      </c>
      <c r="S3225" s="9">
        <f t="shared" si="254"/>
        <v>0.05</v>
      </c>
    </row>
    <row r="3226" spans="1:19" x14ac:dyDescent="0.3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e">
        <f>VLOOKUP('Customer Info'!B3218,'Customer Info'!B3218:B3717,1,0)</f>
        <v>#N/A</v>
      </c>
      <c r="H3226" s="6" t="e">
        <f>VLOOKUP('Customer Info'!C3218,'Customer Info'!C3218:C3717,1)</f>
        <v>#N/A</v>
      </c>
      <c r="I3226" s="6" t="e">
        <f>VLOOKUP('Customer Info'!E3218,'Customer Info'!E3218:E3717,1,0)</f>
        <v>#N/A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756</v>
      </c>
      <c r="R3226" s="2" t="s">
        <v>26</v>
      </c>
      <c r="S3226" s="9">
        <f t="shared" si="254"/>
        <v>0.05</v>
      </c>
    </row>
    <row r="3227" spans="1:19" x14ac:dyDescent="0.3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e">
        <f>VLOOKUP('Customer Info'!B3219,'Customer Info'!B3219:B3718,1,0)</f>
        <v>#N/A</v>
      </c>
      <c r="H3227" s="6" t="e">
        <f>VLOOKUP('Customer Info'!C3219,'Customer Info'!C3219:C3718,1)</f>
        <v>#N/A</v>
      </c>
      <c r="I3227" s="6" t="e">
        <f>VLOOKUP('Customer Info'!E3219,'Customer Info'!E3219:E3718,1,0)</f>
        <v>#N/A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78</v>
      </c>
      <c r="R3227" s="2" t="s">
        <v>28</v>
      </c>
      <c r="S3227" s="9">
        <f t="shared" si="254"/>
        <v>0.02</v>
      </c>
    </row>
    <row r="3228" spans="1:19" x14ac:dyDescent="0.3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e">
        <f>VLOOKUP('Customer Info'!B3220,'Customer Info'!B3220:B3719,1,0)</f>
        <v>#N/A</v>
      </c>
      <c r="H3228" s="6" t="e">
        <f>VLOOKUP('Customer Info'!C3220,'Customer Info'!C3220:C3719,1)</f>
        <v>#N/A</v>
      </c>
      <c r="I3228" s="6" t="e">
        <f>VLOOKUP('Customer Info'!E3220,'Customer Info'!E3220:E3719,1,0)</f>
        <v>#N/A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954</v>
      </c>
      <c r="R3228" s="2" t="s">
        <v>50</v>
      </c>
      <c r="S3228" s="9">
        <f t="shared" si="254"/>
        <v>7.0000000000000007E-2</v>
      </c>
    </row>
    <row r="3229" spans="1:19" x14ac:dyDescent="0.3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e">
        <f>VLOOKUP('Customer Info'!B3221,'Customer Info'!B3221:B3720,1,0)</f>
        <v>#N/A</v>
      </c>
      <c r="H3229" s="6" t="e">
        <f>VLOOKUP('Customer Info'!C3221,'Customer Info'!C3221:C3720,1)</f>
        <v>#N/A</v>
      </c>
      <c r="I3229" s="6" t="e">
        <f>VLOOKUP('Customer Info'!E3221,'Customer Info'!E3221:E3720,1,0)</f>
        <v>#N/A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405</v>
      </c>
      <c r="R3229" s="2" t="s">
        <v>28</v>
      </c>
      <c r="S3229" s="9">
        <f t="shared" si="254"/>
        <v>0.05</v>
      </c>
    </row>
    <row r="3230" spans="1:19" x14ac:dyDescent="0.3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e">
        <f>VLOOKUP('Customer Info'!B3222,'Customer Info'!B3222:B3721,1,0)</f>
        <v>#N/A</v>
      </c>
      <c r="H3230" s="6" t="e">
        <f>VLOOKUP('Customer Info'!C3222,'Customer Info'!C3222:C3721,1)</f>
        <v>#N/A</v>
      </c>
      <c r="I3230" s="6" t="e">
        <f>VLOOKUP('Customer Info'!E3222,'Customer Info'!E3222:E3721,1,0)</f>
        <v>#N/A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1185</v>
      </c>
      <c r="R3230" s="2" t="s">
        <v>28</v>
      </c>
      <c r="S3230" s="9">
        <f t="shared" si="254"/>
        <v>0.05</v>
      </c>
    </row>
    <row r="3231" spans="1:19" x14ac:dyDescent="0.3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e">
        <f>VLOOKUP('Customer Info'!B3223,'Customer Info'!B3223:B3722,1,0)</f>
        <v>#N/A</v>
      </c>
      <c r="H3231" s="6" t="e">
        <f>VLOOKUP('Customer Info'!C3223,'Customer Info'!C3223:C3722,1)</f>
        <v>#N/A</v>
      </c>
      <c r="I3231" s="6" t="e">
        <f>VLOOKUP('Customer Info'!E3223,'Customer Info'!E3223:E3722,1,0)</f>
        <v>#N/A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59</v>
      </c>
      <c r="R3231" s="2" t="s">
        <v>28</v>
      </c>
      <c r="S3231" s="9">
        <f t="shared" si="254"/>
        <v>0.02</v>
      </c>
    </row>
    <row r="3232" spans="1:19" x14ac:dyDescent="0.3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e">
        <f>VLOOKUP('Customer Info'!B3224,'Customer Info'!B3224:B3723,1,0)</f>
        <v>#N/A</v>
      </c>
      <c r="H3232" s="6" t="e">
        <f>VLOOKUP('Customer Info'!C3224,'Customer Info'!C3224:C3723,1)</f>
        <v>#N/A</v>
      </c>
      <c r="I3232" s="6" t="e">
        <f>VLOOKUP('Customer Info'!E3224,'Customer Info'!E3224:E3723,1,0)</f>
        <v>#N/A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24</v>
      </c>
      <c r="R3232" s="2" t="s">
        <v>50</v>
      </c>
      <c r="S3232" s="9">
        <f t="shared" si="254"/>
        <v>0.02</v>
      </c>
    </row>
    <row r="3233" spans="1:19" x14ac:dyDescent="0.3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e">
        <f>VLOOKUP('Customer Info'!B3225,'Customer Info'!B3225:B3724,1,0)</f>
        <v>#N/A</v>
      </c>
      <c r="H3233" s="6" t="e">
        <f>VLOOKUP('Customer Info'!C3225,'Customer Info'!C3225:C3724,1)</f>
        <v>#N/A</v>
      </c>
      <c r="I3233" s="6" t="e">
        <f>VLOOKUP('Customer Info'!E3225,'Customer Info'!E3225:E3724,1,0)</f>
        <v>#N/A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1800</v>
      </c>
      <c r="R3233" s="2" t="s">
        <v>26</v>
      </c>
      <c r="S3233" s="9">
        <f t="shared" si="254"/>
        <v>0.05</v>
      </c>
    </row>
    <row r="3234" spans="1:19" x14ac:dyDescent="0.3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e">
        <f>VLOOKUP('Customer Info'!B3226,'Customer Info'!B3226:B3725,1,0)</f>
        <v>#N/A</v>
      </c>
      <c r="H3234" s="6" t="e">
        <f>VLOOKUP('Customer Info'!C3226,'Customer Info'!C3226:C3725,1)</f>
        <v>#N/A</v>
      </c>
      <c r="I3234" s="6" t="e">
        <f>VLOOKUP('Customer Info'!E3226,'Customer Info'!E3226:E3725,1,0)</f>
        <v>#N/A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1005</v>
      </c>
      <c r="R3234" s="2" t="s">
        <v>28</v>
      </c>
      <c r="S3234" s="9">
        <f t="shared" si="254"/>
        <v>0.05</v>
      </c>
    </row>
    <row r="3235" spans="1:19" x14ac:dyDescent="0.3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e">
        <f>VLOOKUP('Customer Info'!B3227,'Customer Info'!B3227:B3726,1,0)</f>
        <v>#N/A</v>
      </c>
      <c r="H3235" s="6" t="e">
        <f>VLOOKUP('Customer Info'!C3227,'Customer Info'!C3227:C3726,1)</f>
        <v>#N/A</v>
      </c>
      <c r="I3235" s="6" t="e">
        <f>VLOOKUP('Customer Info'!E3227,'Customer Info'!E3227:E3726,1,0)</f>
        <v>#N/A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24</v>
      </c>
      <c r="R3235" s="2" t="s">
        <v>50</v>
      </c>
      <c r="S3235" s="9">
        <f t="shared" si="254"/>
        <v>0.02</v>
      </c>
    </row>
    <row r="3236" spans="1:19" x14ac:dyDescent="0.3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e">
        <f>VLOOKUP('Customer Info'!B3228,'Customer Info'!B3228:B3727,1,0)</f>
        <v>#N/A</v>
      </c>
      <c r="H3236" s="6" t="e">
        <f>VLOOKUP('Customer Info'!C3228,'Customer Info'!C3228:C3727,1)</f>
        <v>#N/A</v>
      </c>
      <c r="I3236" s="6" t="e">
        <f>VLOOKUP('Customer Info'!E3228,'Customer Info'!E3228:E3727,1,0)</f>
        <v>#N/A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18</v>
      </c>
      <c r="R3236" s="2" t="s">
        <v>26</v>
      </c>
      <c r="S3236" s="9">
        <f t="shared" si="254"/>
        <v>0.02</v>
      </c>
    </row>
    <row r="3237" spans="1:19" x14ac:dyDescent="0.3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e">
        <f>VLOOKUP('Customer Info'!B3229,'Customer Info'!B3229:B3728,1,0)</f>
        <v>#N/A</v>
      </c>
      <c r="H3237" s="6" t="e">
        <f>VLOOKUP('Customer Info'!C3229,'Customer Info'!C3229:C3728,1)</f>
        <v>#N/A</v>
      </c>
      <c r="I3237" s="6" t="e">
        <f>VLOOKUP('Customer Info'!E3229,'Customer Info'!E3229:E3728,1,0)</f>
        <v>#N/A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236</v>
      </c>
      <c r="R3237" s="2" t="s">
        <v>28</v>
      </c>
      <c r="S3237" s="9">
        <f t="shared" si="254"/>
        <v>0.05</v>
      </c>
    </row>
    <row r="3238" spans="1:19" x14ac:dyDescent="0.3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e">
        <f>VLOOKUP('Customer Info'!B3230,'Customer Info'!B3230:B3729,1,0)</f>
        <v>#N/A</v>
      </c>
      <c r="H3238" s="6" t="e">
        <f>VLOOKUP('Customer Info'!C3230,'Customer Info'!C3230:C3729,1)</f>
        <v>#N/A</v>
      </c>
      <c r="I3238" s="6" t="e">
        <f>VLOOKUP('Customer Info'!E3230,'Customer Info'!E3230:E3729,1,0)</f>
        <v>#N/A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1214</v>
      </c>
      <c r="R3238" s="2" t="s">
        <v>28</v>
      </c>
      <c r="S3238" s="9">
        <f t="shared" si="254"/>
        <v>0.05</v>
      </c>
    </row>
    <row r="3239" spans="1:19" x14ac:dyDescent="0.3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e">
        <f>VLOOKUP('Customer Info'!B3231,'Customer Info'!B3231:B3730,1,0)</f>
        <v>#N/A</v>
      </c>
      <c r="H3239" s="6" t="e">
        <f>VLOOKUP('Customer Info'!C3231,'Customer Info'!C3231:C3730,1)</f>
        <v>#N/A</v>
      </c>
      <c r="I3239" s="6" t="e">
        <f>VLOOKUP('Customer Info'!E3231,'Customer Info'!E3231:E3730,1,0)</f>
        <v>#N/A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129</v>
      </c>
      <c r="R3239" s="2" t="s">
        <v>50</v>
      </c>
      <c r="S3239" s="9">
        <f t="shared" si="254"/>
        <v>0.02</v>
      </c>
    </row>
    <row r="3240" spans="1:19" x14ac:dyDescent="0.3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e">
        <f>VLOOKUP('Customer Info'!B3232,'Customer Info'!B3232:B3731,1,0)</f>
        <v>#N/A</v>
      </c>
      <c r="H3240" s="6" t="e">
        <f>VLOOKUP('Customer Info'!C3232,'Customer Info'!C3232:C3731,1)</f>
        <v>#N/A</v>
      </c>
      <c r="I3240" s="6" t="e">
        <f>VLOOKUP('Customer Info'!E3232,'Customer Info'!E3232:E3731,1,0)</f>
        <v>#N/A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558</v>
      </c>
      <c r="R3240" s="2" t="s">
        <v>28</v>
      </c>
      <c r="S3240" s="9">
        <f t="shared" si="254"/>
        <v>0.05</v>
      </c>
    </row>
    <row r="3241" spans="1:19" x14ac:dyDescent="0.3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e">
        <f>VLOOKUP('Customer Info'!B3233,'Customer Info'!B3233:B3732,1,0)</f>
        <v>#N/A</v>
      </c>
      <c r="H3241" s="6" t="e">
        <f>VLOOKUP('Customer Info'!C3233,'Customer Info'!C3233:C3732,1)</f>
        <v>#N/A</v>
      </c>
      <c r="I3241" s="6" t="e">
        <f>VLOOKUP('Customer Info'!E3233,'Customer Info'!E3233:E3732,1,0)</f>
        <v>#N/A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891</v>
      </c>
      <c r="R3241" s="2" t="s">
        <v>50</v>
      </c>
      <c r="S3241" s="9">
        <f t="shared" si="254"/>
        <v>0.05</v>
      </c>
    </row>
    <row r="3242" spans="1:19" x14ac:dyDescent="0.3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e">
        <f>VLOOKUP('Customer Info'!B3234,'Customer Info'!B3234:B3733,1,0)</f>
        <v>#N/A</v>
      </c>
      <c r="H3242" s="6" t="e">
        <f>VLOOKUP('Customer Info'!C3234,'Customer Info'!C3234:C3733,1)</f>
        <v>#N/A</v>
      </c>
      <c r="I3242" s="6" t="e">
        <f>VLOOKUP('Customer Info'!E3234,'Customer Info'!E3234:E3733,1,0)</f>
        <v>#N/A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8005</v>
      </c>
      <c r="R3242" s="2" t="s">
        <v>28</v>
      </c>
      <c r="S3242" s="9">
        <f t="shared" si="254"/>
        <v>0.12</v>
      </c>
    </row>
    <row r="3243" spans="1:19" x14ac:dyDescent="0.3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e">
        <f>VLOOKUP('Customer Info'!B3235,'Customer Info'!B3235:B3734,1,0)</f>
        <v>#N/A</v>
      </c>
      <c r="H3243" s="6" t="e">
        <f>VLOOKUP('Customer Info'!C3235,'Customer Info'!C3235:C3734,1)</f>
        <v>#N/A</v>
      </c>
      <c r="I3243" s="6" t="e">
        <f>VLOOKUP('Customer Info'!E3235,'Customer Info'!E3235:E3734,1,0)</f>
        <v>#N/A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127</v>
      </c>
      <c r="R3243" s="2" t="s">
        <v>28</v>
      </c>
      <c r="S3243" s="9">
        <f t="shared" si="254"/>
        <v>0.02</v>
      </c>
    </row>
    <row r="3244" spans="1:19" x14ac:dyDescent="0.3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e">
        <f>VLOOKUP('Customer Info'!B3236,'Customer Info'!B3236:B3735,1,0)</f>
        <v>#N/A</v>
      </c>
      <c r="H3244" s="6" t="e">
        <f>VLOOKUP('Customer Info'!C3236,'Customer Info'!C3236:C3735,1)</f>
        <v>#N/A</v>
      </c>
      <c r="I3244" s="6" t="e">
        <f>VLOOKUP('Customer Info'!E3236,'Customer Info'!E3236:E3735,1,0)</f>
        <v>#N/A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21931</v>
      </c>
      <c r="R3244" s="2" t="s">
        <v>50</v>
      </c>
      <c r="S3244" s="9">
        <f t="shared" si="254"/>
        <v>0.15</v>
      </c>
    </row>
    <row r="3245" spans="1:19" x14ac:dyDescent="0.3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e">
        <f>VLOOKUP('Customer Info'!B3237,'Customer Info'!B3237:B3736,1,0)</f>
        <v>#N/A</v>
      </c>
      <c r="H3245" s="6" t="e">
        <f>VLOOKUP('Customer Info'!C3237,'Customer Info'!C3237:C3736,1)</f>
        <v>#N/A</v>
      </c>
      <c r="I3245" s="6" t="e">
        <f>VLOOKUP('Customer Info'!E3237,'Customer Info'!E3237:E3736,1,0)</f>
        <v>#N/A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216</v>
      </c>
      <c r="R3245" s="2" t="s">
        <v>50</v>
      </c>
      <c r="S3245" s="9">
        <f t="shared" si="254"/>
        <v>0.05</v>
      </c>
    </row>
    <row r="3246" spans="1:19" x14ac:dyDescent="0.3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e">
        <f>VLOOKUP('Customer Info'!B3238,'Customer Info'!B3238:B3737,1,0)</f>
        <v>#N/A</v>
      </c>
      <c r="H3246" s="6" t="e">
        <f>VLOOKUP('Customer Info'!C3238,'Customer Info'!C3238:C3737,1)</f>
        <v>#N/A</v>
      </c>
      <c r="I3246" s="6" t="e">
        <f>VLOOKUP('Customer Info'!E3238,'Customer Info'!E3238:E3737,1,0)</f>
        <v>#N/A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848</v>
      </c>
      <c r="R3246" s="2" t="s">
        <v>26</v>
      </c>
      <c r="S3246" s="9">
        <f t="shared" si="254"/>
        <v>0.05</v>
      </c>
    </row>
    <row r="3247" spans="1:19" x14ac:dyDescent="0.3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e">
        <f>VLOOKUP('Customer Info'!B3239,'Customer Info'!B3239:B3738,1,0)</f>
        <v>#N/A</v>
      </c>
      <c r="H3247" s="6" t="e">
        <f>VLOOKUP('Customer Info'!C3239,'Customer Info'!C3239:C3738,1)</f>
        <v>#N/A</v>
      </c>
      <c r="I3247" s="6" t="e">
        <f>VLOOKUP('Customer Info'!E3239,'Customer Info'!E3239:E3738,1,0)</f>
        <v>#N/A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86</v>
      </c>
      <c r="R3247" s="2" t="s">
        <v>50</v>
      </c>
      <c r="S3247" s="9">
        <f t="shared" si="254"/>
        <v>0.02</v>
      </c>
    </row>
    <row r="3248" spans="1:19" x14ac:dyDescent="0.3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e">
        <f>VLOOKUP('Customer Info'!B3240,'Customer Info'!B3240:B3739,1,0)</f>
        <v>#N/A</v>
      </c>
      <c r="H3248" s="6" t="e">
        <f>VLOOKUP('Customer Info'!C3240,'Customer Info'!C3240:C3739,1)</f>
        <v>#N/A</v>
      </c>
      <c r="I3248" s="6" t="e">
        <f>VLOOKUP('Customer Info'!E3240,'Customer Info'!E3240:E3739,1,0)</f>
        <v>#N/A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63</v>
      </c>
      <c r="R3248" s="2" t="s">
        <v>28</v>
      </c>
      <c r="S3248" s="9">
        <f t="shared" si="254"/>
        <v>0.02</v>
      </c>
    </row>
    <row r="3249" spans="1:19" x14ac:dyDescent="0.3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e">
        <f>VLOOKUP('Customer Info'!B3241,'Customer Info'!B3241:B3740,1,0)</f>
        <v>#N/A</v>
      </c>
      <c r="H3249" s="6" t="e">
        <f>VLOOKUP('Customer Info'!C3241,'Customer Info'!C3241:C3740,1)</f>
        <v>#N/A</v>
      </c>
      <c r="I3249" s="6" t="e">
        <f>VLOOKUP('Customer Info'!E3241,'Customer Info'!E3241:E3740,1,0)</f>
        <v>#N/A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778</v>
      </c>
      <c r="R3249" s="2" t="s">
        <v>28</v>
      </c>
      <c r="S3249" s="9">
        <f t="shared" si="254"/>
        <v>0.05</v>
      </c>
    </row>
    <row r="3250" spans="1:19" x14ac:dyDescent="0.3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e">
        <f>VLOOKUP('Customer Info'!B3242,'Customer Info'!B3242:B3741,1,0)</f>
        <v>#N/A</v>
      </c>
      <c r="H3250" s="6" t="e">
        <f>VLOOKUP('Customer Info'!C3242,'Customer Info'!C3242:C3741,1)</f>
        <v>#N/A</v>
      </c>
      <c r="I3250" s="6" t="e">
        <f>VLOOKUP('Customer Info'!E3242,'Customer Info'!E3242:E3741,1,0)</f>
        <v>#N/A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2</v>
      </c>
      <c r="R3250" s="2" t="s">
        <v>28</v>
      </c>
      <c r="S3250" s="9">
        <f t="shared" si="254"/>
        <v>0.02</v>
      </c>
    </row>
    <row r="3251" spans="1:19" x14ac:dyDescent="0.3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e">
        <f>VLOOKUP('Customer Info'!B3243,'Customer Info'!B3243:B3742,1,0)</f>
        <v>#N/A</v>
      </c>
      <c r="H3251" s="6" t="e">
        <f>VLOOKUP('Customer Info'!C3243,'Customer Info'!C3243:C3742,1)</f>
        <v>#N/A</v>
      </c>
      <c r="I3251" s="6" t="e">
        <f>VLOOKUP('Customer Info'!E3243,'Customer Info'!E3243:E3742,1,0)</f>
        <v>#N/A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64</v>
      </c>
      <c r="R3251" s="2" t="s">
        <v>50</v>
      </c>
      <c r="S3251" s="9">
        <f t="shared" si="254"/>
        <v>0.02</v>
      </c>
    </row>
    <row r="3252" spans="1:19" x14ac:dyDescent="0.3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e">
        <f>VLOOKUP('Customer Info'!B3244,'Customer Info'!B3244:B3743,1,0)</f>
        <v>#N/A</v>
      </c>
      <c r="H3252" s="6" t="e">
        <f>VLOOKUP('Customer Info'!C3244,'Customer Info'!C3244:C3743,1)</f>
        <v>#N/A</v>
      </c>
      <c r="I3252" s="6" t="e">
        <f>VLOOKUP('Customer Info'!E3244,'Customer Info'!E3244:E3743,1,0)</f>
        <v>#N/A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2925</v>
      </c>
      <c r="R3252" s="2" t="s">
        <v>56</v>
      </c>
      <c r="S3252" s="9">
        <f t="shared" si="254"/>
        <v>7.0000000000000007E-2</v>
      </c>
    </row>
    <row r="3253" spans="1:19" x14ac:dyDescent="0.3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e">
        <f>VLOOKUP('Customer Info'!B3245,'Customer Info'!B3245:B3744,1,0)</f>
        <v>#N/A</v>
      </c>
      <c r="H3253" s="6" t="e">
        <f>VLOOKUP('Customer Info'!C3245,'Customer Info'!C3245:C3744,1)</f>
        <v>#N/A</v>
      </c>
      <c r="I3253" s="6" t="e">
        <f>VLOOKUP('Customer Info'!E3245,'Customer Info'!E3245:E3744,1,0)</f>
        <v>#N/A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1728</v>
      </c>
      <c r="R3253" s="2" t="s">
        <v>50</v>
      </c>
      <c r="S3253" s="9">
        <f t="shared" si="254"/>
        <v>7.0000000000000007E-2</v>
      </c>
    </row>
    <row r="3254" spans="1:19" x14ac:dyDescent="0.3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e">
        <f>VLOOKUP('Customer Info'!B3246,'Customer Info'!B3246:B3745,1,0)</f>
        <v>#N/A</v>
      </c>
      <c r="H3254" s="6" t="e">
        <f>VLOOKUP('Customer Info'!C3246,'Customer Info'!C3246:C3745,1)</f>
        <v>#N/A</v>
      </c>
      <c r="I3254" s="6" t="e">
        <f>VLOOKUP('Customer Info'!E3246,'Customer Info'!E3246:E3745,1,0)</f>
        <v>#N/A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150</v>
      </c>
      <c r="R3254" s="2" t="s">
        <v>56</v>
      </c>
      <c r="S3254" s="9">
        <f t="shared" si="254"/>
        <v>0.02</v>
      </c>
    </row>
    <row r="3255" spans="1:19" x14ac:dyDescent="0.3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e">
        <f>VLOOKUP('Customer Info'!B3247,'Customer Info'!B3247:B3746,1,0)</f>
        <v>#N/A</v>
      </c>
      <c r="H3255" s="6" t="e">
        <f>VLOOKUP('Customer Info'!C3247,'Customer Info'!C3247:C3746,1)</f>
        <v>#N/A</v>
      </c>
      <c r="I3255" s="6" t="e">
        <f>VLOOKUP('Customer Info'!E3247,'Customer Info'!E3247:E3746,1,0)</f>
        <v>#N/A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273</v>
      </c>
      <c r="R3255" s="2" t="s">
        <v>28</v>
      </c>
      <c r="S3255" s="9">
        <f t="shared" si="254"/>
        <v>0.02</v>
      </c>
    </row>
    <row r="3256" spans="1:19" x14ac:dyDescent="0.3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e">
        <f>VLOOKUP('Customer Info'!B3248,'Customer Info'!B3248:B3747,1,0)</f>
        <v>#N/A</v>
      </c>
      <c r="H3256" s="6" t="e">
        <f>VLOOKUP('Customer Info'!C3248,'Customer Info'!C3248:C3747,1)</f>
        <v>#N/A</v>
      </c>
      <c r="I3256" s="6" t="e">
        <f>VLOOKUP('Customer Info'!E3248,'Customer Info'!E3248:E3747,1,0)</f>
        <v>#N/A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264</v>
      </c>
      <c r="R3256" s="2" t="s">
        <v>50</v>
      </c>
      <c r="S3256" s="9">
        <f t="shared" si="254"/>
        <v>0.05</v>
      </c>
    </row>
    <row r="3257" spans="1:19" x14ac:dyDescent="0.3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e">
        <f>VLOOKUP('Customer Info'!B3249,'Customer Info'!B3249:B3748,1,0)</f>
        <v>#N/A</v>
      </c>
      <c r="H3257" s="6" t="e">
        <f>VLOOKUP('Customer Info'!C3249,'Customer Info'!C3249:C3748,1)</f>
        <v>#N/A</v>
      </c>
      <c r="I3257" s="6" t="e">
        <f>VLOOKUP('Customer Info'!E3249,'Customer Info'!E3249:E3748,1,0)</f>
        <v>#N/A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720</v>
      </c>
      <c r="R3257" s="2" t="s">
        <v>50</v>
      </c>
      <c r="S3257" s="9">
        <f t="shared" si="254"/>
        <v>0.05</v>
      </c>
    </row>
    <row r="3258" spans="1:19" x14ac:dyDescent="0.3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e">
        <f>VLOOKUP('Customer Info'!B3250,'Customer Info'!B3250:B3749,1,0)</f>
        <v>#N/A</v>
      </c>
      <c r="H3258" s="6" t="e">
        <f>VLOOKUP('Customer Info'!C3250,'Customer Info'!C3250:C3749,1)</f>
        <v>#N/A</v>
      </c>
      <c r="I3258" s="6" t="e">
        <f>VLOOKUP('Customer Info'!E3250,'Customer Info'!E3250:E3749,1,0)</f>
        <v>#N/A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320</v>
      </c>
      <c r="R3258" s="2" t="s">
        <v>28</v>
      </c>
      <c r="S3258" s="9">
        <f t="shared" si="254"/>
        <v>0.05</v>
      </c>
    </row>
    <row r="3259" spans="1:19" x14ac:dyDescent="0.3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e">
        <f>VLOOKUP('Customer Info'!B3251,'Customer Info'!B3251:B3750,1,0)</f>
        <v>#N/A</v>
      </c>
      <c r="H3259" s="6" t="e">
        <f>VLOOKUP('Customer Info'!C3251,'Customer Info'!C3251:C3750,1)</f>
        <v>#N/A</v>
      </c>
      <c r="I3259" s="6" t="e">
        <f>VLOOKUP('Customer Info'!E3251,'Customer Info'!E3251:E3750,1,0)</f>
        <v>#N/A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16</v>
      </c>
      <c r="R3259" s="2" t="s">
        <v>50</v>
      </c>
      <c r="S3259" s="9">
        <f t="shared" si="254"/>
        <v>0.02</v>
      </c>
    </row>
    <row r="3260" spans="1:19" x14ac:dyDescent="0.3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e">
        <f>VLOOKUP('Customer Info'!B3252,'Customer Info'!B3252:B3751,1,0)</f>
        <v>#N/A</v>
      </c>
      <c r="H3260" s="6" t="e">
        <f>VLOOKUP('Customer Info'!C3252,'Customer Info'!C3252:C3751,1)</f>
        <v>#N/A</v>
      </c>
      <c r="I3260" s="6" t="e">
        <f>VLOOKUP('Customer Info'!E3252,'Customer Info'!E3252:E3751,1,0)</f>
        <v>#N/A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18</v>
      </c>
      <c r="R3260" s="2" t="s">
        <v>50</v>
      </c>
      <c r="S3260" s="9">
        <f t="shared" si="254"/>
        <v>0.02</v>
      </c>
    </row>
    <row r="3261" spans="1:19" x14ac:dyDescent="0.3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e">
        <f>VLOOKUP('Customer Info'!B3253,'Customer Info'!B3253:B3752,1,0)</f>
        <v>#N/A</v>
      </c>
      <c r="H3261" s="6" t="e">
        <f>VLOOKUP('Customer Info'!C3253,'Customer Info'!C3253:C3752,1)</f>
        <v>#N/A</v>
      </c>
      <c r="I3261" s="6" t="e">
        <f>VLOOKUP('Customer Info'!E3253,'Customer Info'!E3253:E3752,1,0)</f>
        <v>#N/A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138</v>
      </c>
      <c r="R3261" s="2" t="s">
        <v>28</v>
      </c>
      <c r="S3261" s="9">
        <f t="shared" si="254"/>
        <v>0.02</v>
      </c>
    </row>
    <row r="3262" spans="1:19" x14ac:dyDescent="0.3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e">
        <f>VLOOKUP('Customer Info'!B3254,'Customer Info'!B3254:B3753,1,0)</f>
        <v>#N/A</v>
      </c>
      <c r="H3262" s="6" t="e">
        <f>VLOOKUP('Customer Info'!C3254,'Customer Info'!C3254:C3753,1)</f>
        <v>#N/A</v>
      </c>
      <c r="I3262" s="6" t="e">
        <f>VLOOKUP('Customer Info'!E3254,'Customer Info'!E3254:E3753,1,0)</f>
        <v>#N/A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264</v>
      </c>
      <c r="R3262" s="2" t="s">
        <v>28</v>
      </c>
      <c r="S3262" s="9">
        <f t="shared" si="254"/>
        <v>0.02</v>
      </c>
    </row>
    <row r="3263" spans="1:19" x14ac:dyDescent="0.3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e">
        <f>VLOOKUP('Customer Info'!B3255,'Customer Info'!B3255:B3754,1,0)</f>
        <v>#N/A</v>
      </c>
      <c r="H3263" s="6" t="e">
        <f>VLOOKUP('Customer Info'!C3255,'Customer Info'!C3255:C3754,1)</f>
        <v>#N/A</v>
      </c>
      <c r="I3263" s="6" t="e">
        <f>VLOOKUP('Customer Info'!E3255,'Customer Info'!E3255:E3754,1,0)</f>
        <v>#N/A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272</v>
      </c>
      <c r="R3263" s="2" t="s">
        <v>50</v>
      </c>
      <c r="S3263" s="9">
        <f t="shared" si="254"/>
        <v>0.05</v>
      </c>
    </row>
    <row r="3264" spans="1:19" x14ac:dyDescent="0.3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e">
        <f>VLOOKUP('Customer Info'!B3256,'Customer Info'!B3256:B3755,1,0)</f>
        <v>#N/A</v>
      </c>
      <c r="H3264" s="6" t="e">
        <f>VLOOKUP('Customer Info'!C3256,'Customer Info'!C3256:C3755,1)</f>
        <v>#N/A</v>
      </c>
      <c r="I3264" s="6" t="e">
        <f>VLOOKUP('Customer Info'!E3256,'Customer Info'!E3256:E3755,1,0)</f>
        <v>#N/A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195</v>
      </c>
      <c r="R3264" s="2" t="s">
        <v>56</v>
      </c>
      <c r="S3264" s="9">
        <f t="shared" si="254"/>
        <v>0.02</v>
      </c>
    </row>
    <row r="3265" spans="1:19" x14ac:dyDescent="0.3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e">
        <f>VLOOKUP('Customer Info'!B3257,'Customer Info'!B3257:B3756,1,0)</f>
        <v>#N/A</v>
      </c>
      <c r="H3265" s="6" t="e">
        <f>VLOOKUP('Customer Info'!C3257,'Customer Info'!C3257:C3756,1)</f>
        <v>#N/A</v>
      </c>
      <c r="I3265" s="6" t="e">
        <f>VLOOKUP('Customer Info'!E3257,'Customer Info'!E3257:E3756,1,0)</f>
        <v>#N/A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108</v>
      </c>
      <c r="R3265" s="2" t="s">
        <v>28</v>
      </c>
      <c r="S3265" s="9">
        <f t="shared" si="254"/>
        <v>0.02</v>
      </c>
    </row>
    <row r="3266" spans="1:19" x14ac:dyDescent="0.3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e">
        <f>VLOOKUP('Customer Info'!B3258,'Customer Info'!B3258:B3757,1,0)</f>
        <v>#N/A</v>
      </c>
      <c r="H3266" s="6" t="e">
        <f>VLOOKUP('Customer Info'!C3258,'Customer Info'!C3258:C3757,1)</f>
        <v>#N/A</v>
      </c>
      <c r="I3266" s="6" t="e">
        <f>VLOOKUP('Customer Info'!E3258,'Customer Info'!E3258:E3757,1,0)</f>
        <v>#N/A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4927</v>
      </c>
      <c r="R3266" s="2" t="s">
        <v>28</v>
      </c>
      <c r="S3266" s="9">
        <f t="shared" si="254"/>
        <v>0.09</v>
      </c>
    </row>
    <row r="3267" spans="1:19" x14ac:dyDescent="0.3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e">
        <f>VLOOKUP('Customer Info'!B3259,'Customer Info'!B3259:B3758,1,0)</f>
        <v>#N/A</v>
      </c>
      <c r="H3267" s="6" t="e">
        <f>VLOOKUP('Customer Info'!C3259,'Customer Info'!C3259:C3758,1)</f>
        <v>#N/A</v>
      </c>
      <c r="I3267" s="6" t="e">
        <f>VLOOKUP('Customer Info'!E3259,'Customer Info'!E3259:E3758,1,0)</f>
        <v>#N/A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532</v>
      </c>
      <c r="R3267" s="2" t="s">
        <v>50</v>
      </c>
      <c r="S3267" s="9">
        <f t="shared" si="254"/>
        <v>0.05</v>
      </c>
    </row>
    <row r="3268" spans="1:19" x14ac:dyDescent="0.3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e">
        <f>VLOOKUP('Customer Info'!B3260,'Customer Info'!B3260:B3759,1,0)</f>
        <v>#N/A</v>
      </c>
      <c r="H3268" s="6" t="e">
        <f>VLOOKUP('Customer Info'!C3260,'Customer Info'!C3260:C3759,1)</f>
        <v>#N/A</v>
      </c>
      <c r="I3268" s="6" t="e">
        <f>VLOOKUP('Customer Info'!E3260,'Customer Info'!E3260:E3759,1,0)</f>
        <v>#N/A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2375</v>
      </c>
      <c r="R3268" s="2" t="s">
        <v>50</v>
      </c>
      <c r="S3268" s="9">
        <f t="shared" si="254"/>
        <v>7.0000000000000007E-2</v>
      </c>
    </row>
    <row r="3269" spans="1:19" x14ac:dyDescent="0.3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e">
        <f>VLOOKUP('Customer Info'!B3261,'Customer Info'!B3261:B3760,1,0)</f>
        <v>#N/A</v>
      </c>
      <c r="H3269" s="6" t="e">
        <f>VLOOKUP('Customer Info'!C3261,'Customer Info'!C3261:C3760,1)</f>
        <v>#N/A</v>
      </c>
      <c r="I3269" s="6" t="e">
        <f>VLOOKUP('Customer Info'!E3261,'Customer Info'!E3261:E3760,1,0)</f>
        <v>#N/A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84</v>
      </c>
      <c r="R3269" s="2" t="s">
        <v>28</v>
      </c>
      <c r="S3269" s="9">
        <f t="shared" si="254"/>
        <v>0.02</v>
      </c>
    </row>
    <row r="3270" spans="1:19" x14ac:dyDescent="0.3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e">
        <f>VLOOKUP('Customer Info'!B3262,'Customer Info'!B3262:B3761,1,0)</f>
        <v>#N/A</v>
      </c>
      <c r="H3270" s="6" t="e">
        <f>VLOOKUP('Customer Info'!C3262,'Customer Info'!C3262:C3761,1)</f>
        <v>#N/A</v>
      </c>
      <c r="I3270" s="6" t="e">
        <f>VLOOKUP('Customer Info'!E3262,'Customer Info'!E3262:E3761,1,0)</f>
        <v>#N/A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1560</v>
      </c>
      <c r="R3270" s="2" t="s">
        <v>28</v>
      </c>
      <c r="S3270" s="9">
        <f t="shared" si="254"/>
        <v>0.05</v>
      </c>
    </row>
    <row r="3271" spans="1:19" x14ac:dyDescent="0.3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e">
        <f>VLOOKUP('Customer Info'!B3263,'Customer Info'!B3263:B3762,1,0)</f>
        <v>#N/A</v>
      </c>
      <c r="H3271" s="6" t="e">
        <f>VLOOKUP('Customer Info'!C3263,'Customer Info'!C3263:C3762,1)</f>
        <v>#N/A</v>
      </c>
      <c r="I3271" s="6" t="e">
        <f>VLOOKUP('Customer Info'!E3263,'Customer Info'!E3263:E3762,1,0)</f>
        <v>#N/A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154</v>
      </c>
      <c r="R3271" s="2" t="s">
        <v>50</v>
      </c>
      <c r="S3271" s="9">
        <f t="shared" si="254"/>
        <v>0.02</v>
      </c>
    </row>
    <row r="3272" spans="1:19" x14ac:dyDescent="0.3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e">
        <f>VLOOKUP('Customer Info'!B3264,'Customer Info'!B3264:B3763,1,0)</f>
        <v>#N/A</v>
      </c>
      <c r="H3272" s="6" t="e">
        <f>VLOOKUP('Customer Info'!C3264,'Customer Info'!C3264:C3763,1)</f>
        <v>#N/A</v>
      </c>
      <c r="I3272" s="6" t="e">
        <f>VLOOKUP('Customer Info'!E3264,'Customer Info'!E3264:E3763,1,0)</f>
        <v>#N/A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234</v>
      </c>
      <c r="R3272" s="2" t="s">
        <v>28</v>
      </c>
      <c r="S3272" s="9">
        <f t="shared" si="254"/>
        <v>0.02</v>
      </c>
    </row>
    <row r="3273" spans="1:19" x14ac:dyDescent="0.3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e">
        <f>VLOOKUP('Customer Info'!B3265,'Customer Info'!B3265:B3764,1,0)</f>
        <v>#N/A</v>
      </c>
      <c r="H3273" s="6" t="e">
        <f>VLOOKUP('Customer Info'!C3265,'Customer Info'!C3265:C3764,1)</f>
        <v>#N/A</v>
      </c>
      <c r="I3273" s="6" t="e">
        <f>VLOOKUP('Customer Info'!E3265,'Customer Info'!E3265:E3764,1,0)</f>
        <v>#N/A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7</v>
      </c>
      <c r="R3273" s="2" t="s">
        <v>28</v>
      </c>
      <c r="S3273" s="9">
        <f t="shared" si="254"/>
        <v>0.02</v>
      </c>
    </row>
    <row r="3274" spans="1:19" x14ac:dyDescent="0.3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e">
        <f>VLOOKUP('Customer Info'!B3266,'Customer Info'!B3266:B3765,1,0)</f>
        <v>#N/A</v>
      </c>
      <c r="H3274" s="6" t="e">
        <f>VLOOKUP('Customer Info'!C3266,'Customer Info'!C3266:C3765,1)</f>
        <v>#N/A</v>
      </c>
      <c r="I3274" s="6" t="e">
        <f>VLOOKUP('Customer Info'!E3266,'Customer Info'!E3266:E3765,1,0)</f>
        <v>#N/A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3968</v>
      </c>
      <c r="R3274" s="2" t="s">
        <v>50</v>
      </c>
      <c r="S3274" s="9">
        <f t="shared" si="254"/>
        <v>7.0000000000000007E-2</v>
      </c>
    </row>
    <row r="3275" spans="1:19" x14ac:dyDescent="0.3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e">
        <f>VLOOKUP('Customer Info'!B3267,'Customer Info'!B3267:B3766,1,0)</f>
        <v>#N/A</v>
      </c>
      <c r="H3275" s="6" t="e">
        <f>VLOOKUP('Customer Info'!C3267,'Customer Info'!C3267:C3766,1)</f>
        <v>#N/A</v>
      </c>
      <c r="I3275" s="6" t="e">
        <f>VLOOKUP('Customer Info'!E3267,'Customer Info'!E3267:E3766,1,0)</f>
        <v>#N/A</v>
      </c>
      <c r="J3275" s="2">
        <v>3256</v>
      </c>
      <c r="K3275" s="2">
        <v>3044</v>
      </c>
      <c r="L3275" s="2">
        <v>4</v>
      </c>
      <c r="M3275" s="7">
        <f t="shared" ref="M3275:M3338" si="255">(K3275*L3275)</f>
        <v>12176</v>
      </c>
      <c r="N3275" s="7">
        <f t="shared" ref="N3275:N3338" si="256">(J3275*L3275)</f>
        <v>13024</v>
      </c>
      <c r="O3275" s="2">
        <v>31</v>
      </c>
      <c r="P3275" s="8">
        <f t="shared" ref="P3275:P3338" si="257">(N3275+O3275)</f>
        <v>13055</v>
      </c>
      <c r="Q3275" s="8">
        <f t="shared" ref="Q3275:Q3338" si="258">(N3275-M3275)</f>
        <v>848</v>
      </c>
      <c r="R3275" s="2" t="s">
        <v>28</v>
      </c>
      <c r="S3275" s="9">
        <f t="shared" ref="S3275:S3338" si="259">_xlfn.IFS(P3275&gt;250000,0.15,P3275&gt;100000,0.12,P3275&gt;50000,0.09,P3275&gt;25000,0.07,P3275&gt;5000,0.05,
 TRUE,0.02)</f>
        <v>0.05</v>
      </c>
    </row>
    <row r="3276" spans="1:19" x14ac:dyDescent="0.3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e">
        <f>VLOOKUP('Customer Info'!B3268,'Customer Info'!B3268:B3767,1,0)</f>
        <v>#N/A</v>
      </c>
      <c r="H3276" s="6" t="e">
        <f>VLOOKUP('Customer Info'!C3268,'Customer Info'!C3268:C3767,1)</f>
        <v>#N/A</v>
      </c>
      <c r="I3276" s="6" t="e">
        <f>VLOOKUP('Customer Info'!E3268,'Customer Info'!E3268:E3767,1,0)</f>
        <v>#N/A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176</v>
      </c>
      <c r="R3276" s="2" t="s">
        <v>26</v>
      </c>
      <c r="S3276" s="9">
        <f t="shared" si="259"/>
        <v>0.05</v>
      </c>
    </row>
    <row r="3277" spans="1:19" x14ac:dyDescent="0.3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e">
        <f>VLOOKUP('Customer Info'!B3269,'Customer Info'!B3269:B3768,1,0)</f>
        <v>#N/A</v>
      </c>
      <c r="H3277" s="6" t="e">
        <f>VLOOKUP('Customer Info'!C3269,'Customer Info'!C3269:C3768,1)</f>
        <v>#N/A</v>
      </c>
      <c r="I3277" s="6" t="e">
        <f>VLOOKUP('Customer Info'!E3269,'Customer Info'!E3269:E3768,1,0)</f>
        <v>#N/A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185</v>
      </c>
      <c r="R3277" s="2" t="s">
        <v>50</v>
      </c>
      <c r="S3277" s="9">
        <f t="shared" si="259"/>
        <v>0.02</v>
      </c>
    </row>
    <row r="3278" spans="1:19" x14ac:dyDescent="0.3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e">
        <f>VLOOKUP('Customer Info'!B3270,'Customer Info'!B3270:B3769,1,0)</f>
        <v>#N/A</v>
      </c>
      <c r="H3278" s="6" t="e">
        <f>VLOOKUP('Customer Info'!C3270,'Customer Info'!C3270:C3769,1)</f>
        <v>#N/A</v>
      </c>
      <c r="I3278" s="6" t="e">
        <f>VLOOKUP('Customer Info'!E3270,'Customer Info'!E3270:E3769,1,0)</f>
        <v>#N/A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146</v>
      </c>
      <c r="R3278" s="2" t="s">
        <v>50</v>
      </c>
      <c r="S3278" s="9">
        <f t="shared" si="259"/>
        <v>0.02</v>
      </c>
    </row>
    <row r="3279" spans="1:19" x14ac:dyDescent="0.3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e">
        <f>VLOOKUP('Customer Info'!B3271,'Customer Info'!B3271:B3770,1,0)</f>
        <v>#N/A</v>
      </c>
      <c r="H3279" s="6" t="e">
        <f>VLOOKUP('Customer Info'!C3271,'Customer Info'!C3271:C3770,1)</f>
        <v>#N/A</v>
      </c>
      <c r="I3279" s="6" t="e">
        <f>VLOOKUP('Customer Info'!E3271,'Customer Info'!E3271:E3770,1,0)</f>
        <v>#N/A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67</v>
      </c>
      <c r="R3279" s="2" t="s">
        <v>50</v>
      </c>
      <c r="S3279" s="9">
        <f t="shared" si="259"/>
        <v>0.02</v>
      </c>
    </row>
    <row r="3280" spans="1:19" x14ac:dyDescent="0.3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e">
        <f>VLOOKUP('Customer Info'!B3272,'Customer Info'!B3272:B3771,1,0)</f>
        <v>#N/A</v>
      </c>
      <c r="H3280" s="6" t="e">
        <f>VLOOKUP('Customer Info'!C3272,'Customer Info'!C3272:C3771,1)</f>
        <v>#N/A</v>
      </c>
      <c r="I3280" s="6" t="e">
        <f>VLOOKUP('Customer Info'!E3272,'Customer Info'!E3272:E3771,1,0)</f>
        <v>#N/A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14</v>
      </c>
      <c r="R3280" s="2" t="s">
        <v>28</v>
      </c>
      <c r="S3280" s="9">
        <f t="shared" si="259"/>
        <v>0.02</v>
      </c>
    </row>
    <row r="3281" spans="1:19" x14ac:dyDescent="0.3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e">
        <f>VLOOKUP('Customer Info'!B3273,'Customer Info'!B3273:B3772,1,0)</f>
        <v>#N/A</v>
      </c>
      <c r="H3281" s="6" t="e">
        <f>VLOOKUP('Customer Info'!C3273,'Customer Info'!C3273:C3772,1)</f>
        <v>#N/A</v>
      </c>
      <c r="I3281" s="6" t="e">
        <f>VLOOKUP('Customer Info'!E3273,'Customer Info'!E3273:E3772,1,0)</f>
        <v>#N/A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105</v>
      </c>
      <c r="R3281" s="2" t="s">
        <v>50</v>
      </c>
      <c r="S3281" s="9">
        <f t="shared" si="259"/>
        <v>0.02</v>
      </c>
    </row>
    <row r="3282" spans="1:19" x14ac:dyDescent="0.3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e">
        <f>VLOOKUP('Customer Info'!B3274,'Customer Info'!B3274:B3773,1,0)</f>
        <v>#N/A</v>
      </c>
      <c r="H3282" s="6" t="e">
        <f>VLOOKUP('Customer Info'!C3274,'Customer Info'!C3274:C3773,1)</f>
        <v>#N/A</v>
      </c>
      <c r="I3282" s="6" t="e">
        <f>VLOOKUP('Customer Info'!E3274,'Customer Info'!E3274:E3773,1,0)</f>
        <v>#N/A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790</v>
      </c>
      <c r="R3282" s="2" t="s">
        <v>50</v>
      </c>
      <c r="S3282" s="9">
        <f t="shared" si="259"/>
        <v>0.05</v>
      </c>
    </row>
    <row r="3283" spans="1:19" x14ac:dyDescent="0.3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e">
        <f>VLOOKUP('Customer Info'!B3275,'Customer Info'!B3275:B3774,1,0)</f>
        <v>#N/A</v>
      </c>
      <c r="H3283" s="6" t="e">
        <f>VLOOKUP('Customer Info'!C3275,'Customer Info'!C3275:C3774,1)</f>
        <v>#N/A</v>
      </c>
      <c r="I3283" s="6" t="e">
        <f>VLOOKUP('Customer Info'!E3275,'Customer Info'!E3275:E3774,1,0)</f>
        <v>#N/A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86</v>
      </c>
      <c r="R3283" s="2" t="s">
        <v>28</v>
      </c>
      <c r="S3283" s="9">
        <f t="shared" si="259"/>
        <v>0.02</v>
      </c>
    </row>
    <row r="3284" spans="1:19" x14ac:dyDescent="0.3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e">
        <f>VLOOKUP('Customer Info'!B3276,'Customer Info'!B3276:B3775,1,0)</f>
        <v>#N/A</v>
      </c>
      <c r="H3284" s="6" t="e">
        <f>VLOOKUP('Customer Info'!C3276,'Customer Info'!C3276:C3775,1)</f>
        <v>#N/A</v>
      </c>
      <c r="I3284" s="6" t="e">
        <f>VLOOKUP('Customer Info'!E3276,'Customer Info'!E3276:E3775,1,0)</f>
        <v>#N/A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51</v>
      </c>
      <c r="R3284" s="2" t="s">
        <v>26</v>
      </c>
      <c r="S3284" s="9">
        <f t="shared" si="259"/>
        <v>0.02</v>
      </c>
    </row>
    <row r="3285" spans="1:19" x14ac:dyDescent="0.3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e">
        <f>VLOOKUP('Customer Info'!B3277,'Customer Info'!B3277:B3776,1,0)</f>
        <v>#N/A</v>
      </c>
      <c r="H3285" s="6" t="e">
        <f>VLOOKUP('Customer Info'!C3277,'Customer Info'!C3277:C3776,1)</f>
        <v>#N/A</v>
      </c>
      <c r="I3285" s="6" t="e">
        <f>VLOOKUP('Customer Info'!E3277,'Customer Info'!E3277:E3776,1,0)</f>
        <v>#N/A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130</v>
      </c>
      <c r="R3285" s="2" t="s">
        <v>28</v>
      </c>
      <c r="S3285" s="9">
        <f t="shared" si="259"/>
        <v>0.02</v>
      </c>
    </row>
    <row r="3286" spans="1:19" x14ac:dyDescent="0.3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e">
        <f>VLOOKUP('Customer Info'!B3278,'Customer Info'!B3278:B3777,1,0)</f>
        <v>#N/A</v>
      </c>
      <c r="H3286" s="6" t="e">
        <f>VLOOKUP('Customer Info'!C3278,'Customer Info'!C3278:C3777,1)</f>
        <v>#N/A</v>
      </c>
      <c r="I3286" s="6" t="e">
        <f>VLOOKUP('Customer Info'!E3278,'Customer Info'!E3278:E3777,1,0)</f>
        <v>#N/A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420</v>
      </c>
      <c r="R3286" s="2" t="s">
        <v>50</v>
      </c>
      <c r="S3286" s="9">
        <f t="shared" si="259"/>
        <v>0.05</v>
      </c>
    </row>
    <row r="3287" spans="1:19" x14ac:dyDescent="0.3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e">
        <f>VLOOKUP('Customer Info'!B3279,'Customer Info'!B3279:B3778,1,0)</f>
        <v>#N/A</v>
      </c>
      <c r="H3287" s="6" t="e">
        <f>VLOOKUP('Customer Info'!C3279,'Customer Info'!C3279:C3778,1)</f>
        <v>#N/A</v>
      </c>
      <c r="I3287" s="6" t="e">
        <f>VLOOKUP('Customer Info'!E3279,'Customer Info'!E3279:E3778,1,0)</f>
        <v>#N/A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696</v>
      </c>
      <c r="R3287" s="2" t="s">
        <v>28</v>
      </c>
      <c r="S3287" s="9">
        <f t="shared" si="259"/>
        <v>0.05</v>
      </c>
    </row>
    <row r="3288" spans="1:19" x14ac:dyDescent="0.3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e">
        <f>VLOOKUP('Customer Info'!B3280,'Customer Info'!B3280:B3779,1,0)</f>
        <v>#N/A</v>
      </c>
      <c r="H3288" s="6" t="e">
        <f>VLOOKUP('Customer Info'!C3280,'Customer Info'!C3280:C3779,1)</f>
        <v>#N/A</v>
      </c>
      <c r="I3288" s="6" t="e">
        <f>VLOOKUP('Customer Info'!E3280,'Customer Info'!E3280:E3779,1,0)</f>
        <v>#N/A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5514</v>
      </c>
      <c r="R3288" s="2" t="s">
        <v>28</v>
      </c>
      <c r="S3288" s="9">
        <f t="shared" si="259"/>
        <v>0.09</v>
      </c>
    </row>
    <row r="3289" spans="1:19" x14ac:dyDescent="0.3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e">
        <f>VLOOKUP('Customer Info'!B3281,'Customer Info'!B3281:B3780,1,0)</f>
        <v>#N/A</v>
      </c>
      <c r="H3289" s="6" t="e">
        <f>VLOOKUP('Customer Info'!C3281,'Customer Info'!C3281:C3780,1)</f>
        <v>#N/A</v>
      </c>
      <c r="I3289" s="6" t="e">
        <f>VLOOKUP('Customer Info'!E3281,'Customer Info'!E3281:E3780,1,0)</f>
        <v>#N/A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280</v>
      </c>
      <c r="R3289" s="2" t="s">
        <v>28</v>
      </c>
      <c r="S3289" s="9">
        <f t="shared" si="259"/>
        <v>0.05</v>
      </c>
    </row>
    <row r="3290" spans="1:19" x14ac:dyDescent="0.3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e">
        <f>VLOOKUP('Customer Info'!B3282,'Customer Info'!B3282:B3781,1,0)</f>
        <v>#N/A</v>
      </c>
      <c r="H3290" s="6" t="e">
        <f>VLOOKUP('Customer Info'!C3282,'Customer Info'!C3282:C3781,1)</f>
        <v>#N/A</v>
      </c>
      <c r="I3290" s="6" t="e">
        <f>VLOOKUP('Customer Info'!E3282,'Customer Info'!E3282:E3781,1,0)</f>
        <v>#N/A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64</v>
      </c>
      <c r="R3290" s="2" t="s">
        <v>28</v>
      </c>
      <c r="S3290" s="9">
        <f t="shared" si="259"/>
        <v>0.02</v>
      </c>
    </row>
    <row r="3291" spans="1:19" x14ac:dyDescent="0.3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e">
        <f>VLOOKUP('Customer Info'!B3283,'Customer Info'!B3283:B3782,1,0)</f>
        <v>#N/A</v>
      </c>
      <c r="H3291" s="6" t="e">
        <f>VLOOKUP('Customer Info'!C3283,'Customer Info'!C3283:C3782,1)</f>
        <v>#N/A</v>
      </c>
      <c r="I3291" s="6" t="e">
        <f>VLOOKUP('Customer Info'!E3283,'Customer Info'!E3283:E3782,1,0)</f>
        <v>#N/A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280</v>
      </c>
      <c r="R3291" s="2" t="s">
        <v>50</v>
      </c>
      <c r="S3291" s="9">
        <f t="shared" si="259"/>
        <v>0.05</v>
      </c>
    </row>
    <row r="3292" spans="1:19" x14ac:dyDescent="0.3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e">
        <f>VLOOKUP('Customer Info'!B3284,'Customer Info'!B3284:B3783,1,0)</f>
        <v>#N/A</v>
      </c>
      <c r="H3292" s="6" t="e">
        <f>VLOOKUP('Customer Info'!C3284,'Customer Info'!C3284:C3783,1)</f>
        <v>#N/A</v>
      </c>
      <c r="I3292" s="6" t="e">
        <f>VLOOKUP('Customer Info'!E3284,'Customer Info'!E3284:E3783,1,0)</f>
        <v>#N/A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284</v>
      </c>
      <c r="R3292" s="2" t="s">
        <v>28</v>
      </c>
      <c r="S3292" s="9">
        <f t="shared" si="259"/>
        <v>0.02</v>
      </c>
    </row>
    <row r="3293" spans="1:19" x14ac:dyDescent="0.3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e">
        <f>VLOOKUP('Customer Info'!B3285,'Customer Info'!B3285:B3784,1,0)</f>
        <v>#N/A</v>
      </c>
      <c r="H3293" s="6" t="e">
        <f>VLOOKUP('Customer Info'!C3285,'Customer Info'!C3285:C3784,1)</f>
        <v>#N/A</v>
      </c>
      <c r="I3293" s="6" t="e">
        <f>VLOOKUP('Customer Info'!E3285,'Customer Info'!E3285:E3784,1,0)</f>
        <v>#N/A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507</v>
      </c>
      <c r="R3293" s="2" t="s">
        <v>50</v>
      </c>
      <c r="S3293" s="9">
        <f t="shared" si="259"/>
        <v>0.05</v>
      </c>
    </row>
    <row r="3294" spans="1:19" x14ac:dyDescent="0.3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e">
        <f>VLOOKUP('Customer Info'!B3286,'Customer Info'!B3286:B3785,1,0)</f>
        <v>#N/A</v>
      </c>
      <c r="H3294" s="6" t="e">
        <f>VLOOKUP('Customer Info'!C3286,'Customer Info'!C3286:C3785,1)</f>
        <v>#N/A</v>
      </c>
      <c r="I3294" s="6" t="e">
        <f>VLOOKUP('Customer Info'!E3286,'Customer Info'!E3286:E3785,1,0)</f>
        <v>#N/A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60</v>
      </c>
      <c r="R3294" s="2" t="s">
        <v>28</v>
      </c>
      <c r="S3294" s="9">
        <f t="shared" si="259"/>
        <v>0.02</v>
      </c>
    </row>
    <row r="3295" spans="1:19" x14ac:dyDescent="0.3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e">
        <f>VLOOKUP('Customer Info'!B3287,'Customer Info'!B3287:B3786,1,0)</f>
        <v>#N/A</v>
      </c>
      <c r="H3295" s="6" t="e">
        <f>VLOOKUP('Customer Info'!C3287,'Customer Info'!C3287:C3786,1)</f>
        <v>#N/A</v>
      </c>
      <c r="I3295" s="6" t="e">
        <f>VLOOKUP('Customer Info'!E3287,'Customer Info'!E3287:E3786,1,0)</f>
        <v>#N/A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480</v>
      </c>
      <c r="R3295" s="2" t="s">
        <v>26</v>
      </c>
      <c r="S3295" s="9">
        <f t="shared" si="259"/>
        <v>0.05</v>
      </c>
    </row>
    <row r="3296" spans="1:19" x14ac:dyDescent="0.3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e">
        <f>VLOOKUP('Customer Info'!B3288,'Customer Info'!B3288:B3787,1,0)</f>
        <v>#N/A</v>
      </c>
      <c r="H3296" s="6" t="e">
        <f>VLOOKUP('Customer Info'!C3288,'Customer Info'!C3288:C3787,1)</f>
        <v>#N/A</v>
      </c>
      <c r="I3296" s="6" t="e">
        <f>VLOOKUP('Customer Info'!E3288,'Customer Info'!E3288:E3787,1,0)</f>
        <v>#N/A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219</v>
      </c>
      <c r="R3296" s="2" t="s">
        <v>26</v>
      </c>
      <c r="S3296" s="9">
        <f t="shared" si="259"/>
        <v>0.02</v>
      </c>
    </row>
    <row r="3297" spans="1:19" x14ac:dyDescent="0.3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e">
        <f>VLOOKUP('Customer Info'!B3289,'Customer Info'!B3289:B3788,1,0)</f>
        <v>#N/A</v>
      </c>
      <c r="H3297" s="6" t="e">
        <f>VLOOKUP('Customer Info'!C3289,'Customer Info'!C3289:C3788,1)</f>
        <v>#N/A</v>
      </c>
      <c r="I3297" s="6" t="e">
        <f>VLOOKUP('Customer Info'!E3289,'Customer Info'!E3289:E3788,1,0)</f>
        <v>#N/A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2574</v>
      </c>
      <c r="R3297" s="2" t="s">
        <v>50</v>
      </c>
      <c r="S3297" s="9">
        <f t="shared" si="259"/>
        <v>7.0000000000000007E-2</v>
      </c>
    </row>
    <row r="3298" spans="1:19" x14ac:dyDescent="0.3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e">
        <f>VLOOKUP('Customer Info'!B3290,'Customer Info'!B3290:B3789,1,0)</f>
        <v>#N/A</v>
      </c>
      <c r="H3298" s="6" t="e">
        <f>VLOOKUP('Customer Info'!C3290,'Customer Info'!C3290:C3789,1)</f>
        <v>#N/A</v>
      </c>
      <c r="I3298" s="6" t="e">
        <f>VLOOKUP('Customer Info'!E3290,'Customer Info'!E3290:E3789,1,0)</f>
        <v>#N/A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110</v>
      </c>
      <c r="R3298" s="2" t="s">
        <v>28</v>
      </c>
      <c r="S3298" s="9">
        <f t="shared" si="259"/>
        <v>0.02</v>
      </c>
    </row>
    <row r="3299" spans="1:19" x14ac:dyDescent="0.3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e">
        <f>VLOOKUP('Customer Info'!B3291,'Customer Info'!B3291:B3790,1,0)</f>
        <v>#N/A</v>
      </c>
      <c r="H3299" s="6" t="e">
        <f>VLOOKUP('Customer Info'!C3291,'Customer Info'!C3291:C3790,1)</f>
        <v>#N/A</v>
      </c>
      <c r="I3299" s="6" t="e">
        <f>VLOOKUP('Customer Info'!E3291,'Customer Info'!E3291:E3790,1,0)</f>
        <v>#N/A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456</v>
      </c>
      <c r="R3299" s="2" t="s">
        <v>28</v>
      </c>
      <c r="S3299" s="9">
        <f t="shared" si="259"/>
        <v>0.05</v>
      </c>
    </row>
    <row r="3300" spans="1:19" x14ac:dyDescent="0.3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e">
        <f>VLOOKUP('Customer Info'!B3292,'Customer Info'!B3292:B3791,1,0)</f>
        <v>#N/A</v>
      </c>
      <c r="H3300" s="6" t="e">
        <f>VLOOKUP('Customer Info'!C3292,'Customer Info'!C3292:C3791,1)</f>
        <v>#N/A</v>
      </c>
      <c r="I3300" s="6" t="e">
        <f>VLOOKUP('Customer Info'!E3292,'Customer Info'!E3292:E3791,1,0)</f>
        <v>#N/A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826</v>
      </c>
      <c r="R3300" s="2" t="s">
        <v>28</v>
      </c>
      <c r="S3300" s="9">
        <f t="shared" si="259"/>
        <v>0.05</v>
      </c>
    </row>
    <row r="3301" spans="1:19" x14ac:dyDescent="0.3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e">
        <f>VLOOKUP('Customer Info'!B3293,'Customer Info'!B3293:B3792,1,0)</f>
        <v>#N/A</v>
      </c>
      <c r="H3301" s="6" t="e">
        <f>VLOOKUP('Customer Info'!C3293,'Customer Info'!C3293:C3792,1)</f>
        <v>#N/A</v>
      </c>
      <c r="I3301" s="6" t="e">
        <f>VLOOKUP('Customer Info'!E3293,'Customer Info'!E3293:E3792,1,0)</f>
        <v>#N/A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436</v>
      </c>
      <c r="R3301" s="2" t="s">
        <v>28</v>
      </c>
      <c r="S3301" s="9">
        <f t="shared" si="259"/>
        <v>0.05</v>
      </c>
    </row>
    <row r="3302" spans="1:19" x14ac:dyDescent="0.3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e">
        <f>VLOOKUP('Customer Info'!B3294,'Customer Info'!B3294:B3793,1,0)</f>
        <v>#N/A</v>
      </c>
      <c r="H3302" s="6" t="e">
        <f>VLOOKUP('Customer Info'!C3294,'Customer Info'!C3294:C3793,1)</f>
        <v>#N/A</v>
      </c>
      <c r="I3302" s="6" t="e">
        <f>VLOOKUP('Customer Info'!E3294,'Customer Info'!E3294:E3793,1,0)</f>
        <v>#N/A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18</v>
      </c>
      <c r="R3302" s="2" t="s">
        <v>28</v>
      </c>
      <c r="S3302" s="9">
        <f t="shared" si="259"/>
        <v>0.02</v>
      </c>
    </row>
    <row r="3303" spans="1:19" x14ac:dyDescent="0.3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e">
        <f>VLOOKUP('Customer Info'!B3295,'Customer Info'!B3295:B3794,1,0)</f>
        <v>#N/A</v>
      </c>
      <c r="H3303" s="6" t="e">
        <f>VLOOKUP('Customer Info'!C3295,'Customer Info'!C3295:C3794,1)</f>
        <v>#N/A</v>
      </c>
      <c r="I3303" s="6" t="e">
        <f>VLOOKUP('Customer Info'!E3295,'Customer Info'!E3295:E3794,1,0)</f>
        <v>#N/A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5</v>
      </c>
      <c r="R3303" s="2" t="s">
        <v>50</v>
      </c>
      <c r="S3303" s="9">
        <f t="shared" si="259"/>
        <v>0.02</v>
      </c>
    </row>
    <row r="3304" spans="1:19" x14ac:dyDescent="0.3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e">
        <f>VLOOKUP('Customer Info'!B3296,'Customer Info'!B3296:B3795,1,0)</f>
        <v>#N/A</v>
      </c>
      <c r="H3304" s="6" t="e">
        <f>VLOOKUP('Customer Info'!C3296,'Customer Info'!C3296:C3795,1)</f>
        <v>#N/A</v>
      </c>
      <c r="I3304" s="6" t="e">
        <f>VLOOKUP('Customer Info'!E3296,'Customer Info'!E3296:E3795,1,0)</f>
        <v>#N/A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840</v>
      </c>
      <c r="R3304" s="2" t="s">
        <v>28</v>
      </c>
      <c r="S3304" s="9">
        <f t="shared" si="259"/>
        <v>0.05</v>
      </c>
    </row>
    <row r="3305" spans="1:19" x14ac:dyDescent="0.3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e">
        <f>VLOOKUP('Customer Info'!B3297,'Customer Info'!B3297:B3796,1,0)</f>
        <v>#N/A</v>
      </c>
      <c r="H3305" s="6" t="e">
        <f>VLOOKUP('Customer Info'!C3297,'Customer Info'!C3297:C3796,1)</f>
        <v>#N/A</v>
      </c>
      <c r="I3305" s="6" t="e">
        <f>VLOOKUP('Customer Info'!E3297,'Customer Info'!E3297:E3796,1,0)</f>
        <v>#N/A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1056</v>
      </c>
      <c r="R3305" s="2" t="s">
        <v>50</v>
      </c>
      <c r="S3305" s="9">
        <f t="shared" si="259"/>
        <v>0.05</v>
      </c>
    </row>
    <row r="3306" spans="1:19" x14ac:dyDescent="0.3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e">
        <f>VLOOKUP('Customer Info'!B3298,'Customer Info'!B3298:B3797,1,0)</f>
        <v>#N/A</v>
      </c>
      <c r="H3306" s="6" t="e">
        <f>VLOOKUP('Customer Info'!C3298,'Customer Info'!C3298:C3797,1)</f>
        <v>#N/A</v>
      </c>
      <c r="I3306" s="6" t="e">
        <f>VLOOKUP('Customer Info'!E3298,'Customer Info'!E3298:E3797,1,0)</f>
        <v>#N/A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620</v>
      </c>
      <c r="R3306" s="2" t="s">
        <v>28</v>
      </c>
      <c r="S3306" s="9">
        <f t="shared" si="259"/>
        <v>0.05</v>
      </c>
    </row>
    <row r="3307" spans="1:19" x14ac:dyDescent="0.3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e">
        <f>VLOOKUP('Customer Info'!B3299,'Customer Info'!B3299:B3798,1,0)</f>
        <v>#N/A</v>
      </c>
      <c r="H3307" s="6" t="e">
        <f>VLOOKUP('Customer Info'!C3299,'Customer Info'!C3299:C3798,1)</f>
        <v>#N/A</v>
      </c>
      <c r="I3307" s="6" t="e">
        <f>VLOOKUP('Customer Info'!E3299,'Customer Info'!E3299:E3798,1,0)</f>
        <v>#N/A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244</v>
      </c>
      <c r="R3307" s="2" t="s">
        <v>50</v>
      </c>
      <c r="S3307" s="9">
        <f t="shared" si="259"/>
        <v>0.05</v>
      </c>
    </row>
    <row r="3308" spans="1:19" x14ac:dyDescent="0.3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e">
        <f>VLOOKUP('Customer Info'!B3300,'Customer Info'!B3300:B3799,1,0)</f>
        <v>#N/A</v>
      </c>
      <c r="H3308" s="6" t="e">
        <f>VLOOKUP('Customer Info'!C3300,'Customer Info'!C3300:C3799,1)</f>
        <v>#N/A</v>
      </c>
      <c r="I3308" s="6" t="e">
        <f>VLOOKUP('Customer Info'!E3300,'Customer Info'!E3300:E3799,1,0)</f>
        <v>#N/A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28</v>
      </c>
      <c r="R3308" s="2" t="s">
        <v>28</v>
      </c>
      <c r="S3308" s="9">
        <f t="shared" si="259"/>
        <v>0.02</v>
      </c>
    </row>
    <row r="3309" spans="1:19" x14ac:dyDescent="0.3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e">
        <f>VLOOKUP('Customer Info'!B3301,'Customer Info'!B3301:B3800,1,0)</f>
        <v>#N/A</v>
      </c>
      <c r="H3309" s="6" t="e">
        <f>VLOOKUP('Customer Info'!C3301,'Customer Info'!C3301:C3800,1)</f>
        <v>#N/A</v>
      </c>
      <c r="I3309" s="6" t="e">
        <f>VLOOKUP('Customer Info'!E3301,'Customer Info'!E3301:E3800,1,0)</f>
        <v>#N/A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682</v>
      </c>
      <c r="R3309" s="2" t="s">
        <v>26</v>
      </c>
      <c r="S3309" s="9">
        <f t="shared" si="259"/>
        <v>0.05</v>
      </c>
    </row>
    <row r="3310" spans="1:19" x14ac:dyDescent="0.3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e">
        <f>VLOOKUP('Customer Info'!B3302,'Customer Info'!B3302:B3801,1,0)</f>
        <v>#N/A</v>
      </c>
      <c r="H3310" s="6" t="e">
        <f>VLOOKUP('Customer Info'!C3302,'Customer Info'!C3302:C3801,1)</f>
        <v>#N/A</v>
      </c>
      <c r="I3310" s="6" t="e">
        <f>VLOOKUP('Customer Info'!E3302,'Customer Info'!E3302:E3801,1,0)</f>
        <v>#N/A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840</v>
      </c>
      <c r="R3310" s="2" t="s">
        <v>50</v>
      </c>
      <c r="S3310" s="9">
        <f t="shared" si="259"/>
        <v>0.05</v>
      </c>
    </row>
    <row r="3311" spans="1:19" x14ac:dyDescent="0.3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e">
        <f>VLOOKUP('Customer Info'!B3303,'Customer Info'!B3303:B3802,1,0)</f>
        <v>#N/A</v>
      </c>
      <c r="H3311" s="6" t="e">
        <f>VLOOKUP('Customer Info'!C3303,'Customer Info'!C3303:C3802,1)</f>
        <v>#N/A</v>
      </c>
      <c r="I3311" s="6" t="e">
        <f>VLOOKUP('Customer Info'!E3303,'Customer Info'!E3303:E3802,1,0)</f>
        <v>#N/A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699</v>
      </c>
      <c r="R3311" s="2" t="s">
        <v>28</v>
      </c>
      <c r="S3311" s="9">
        <f t="shared" si="259"/>
        <v>0.05</v>
      </c>
    </row>
    <row r="3312" spans="1:19" x14ac:dyDescent="0.3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e">
        <f>VLOOKUP('Customer Info'!B3304,'Customer Info'!B3304:B3803,1,0)</f>
        <v>#N/A</v>
      </c>
      <c r="H3312" s="6" t="e">
        <f>VLOOKUP('Customer Info'!C3304,'Customer Info'!C3304:C3803,1)</f>
        <v>#N/A</v>
      </c>
      <c r="I3312" s="6" t="e">
        <f>VLOOKUP('Customer Info'!E3304,'Customer Info'!E3304:E3803,1,0)</f>
        <v>#N/A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1308</v>
      </c>
      <c r="R3312" s="2" t="s">
        <v>28</v>
      </c>
      <c r="S3312" s="9">
        <f t="shared" si="259"/>
        <v>7.0000000000000007E-2</v>
      </c>
    </row>
    <row r="3313" spans="1:19" x14ac:dyDescent="0.3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e">
        <f>VLOOKUP('Customer Info'!B3305,'Customer Info'!B3305:B3804,1,0)</f>
        <v>#N/A</v>
      </c>
      <c r="H3313" s="6" t="e">
        <f>VLOOKUP('Customer Info'!C3305,'Customer Info'!C3305:C3804,1)</f>
        <v>#N/A</v>
      </c>
      <c r="I3313" s="6" t="e">
        <f>VLOOKUP('Customer Info'!E3305,'Customer Info'!E3305:E3804,1,0)</f>
        <v>#N/A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366</v>
      </c>
      <c r="R3313" s="2" t="s">
        <v>50</v>
      </c>
      <c r="S3313" s="9">
        <f t="shared" si="259"/>
        <v>0.02</v>
      </c>
    </row>
    <row r="3314" spans="1:19" x14ac:dyDescent="0.3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e">
        <f>VLOOKUP('Customer Info'!B3306,'Customer Info'!B3306:B3805,1,0)</f>
        <v>#N/A</v>
      </c>
      <c r="H3314" s="6" t="e">
        <f>VLOOKUP('Customer Info'!C3306,'Customer Info'!C3306:C3805,1)</f>
        <v>#N/A</v>
      </c>
      <c r="I3314" s="6" t="e">
        <f>VLOOKUP('Customer Info'!E3306,'Customer Info'!E3306:E3805,1,0)</f>
        <v>#N/A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147</v>
      </c>
      <c r="R3314" s="2" t="s">
        <v>50</v>
      </c>
      <c r="S3314" s="9">
        <f t="shared" si="259"/>
        <v>0.05</v>
      </c>
    </row>
    <row r="3315" spans="1:19" x14ac:dyDescent="0.3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e">
        <f>VLOOKUP('Customer Info'!B3307,'Customer Info'!B3307:B3806,1,0)</f>
        <v>#N/A</v>
      </c>
      <c r="H3315" s="6" t="e">
        <f>VLOOKUP('Customer Info'!C3307,'Customer Info'!C3307:C3806,1)</f>
        <v>#N/A</v>
      </c>
      <c r="I3315" s="6" t="e">
        <f>VLOOKUP('Customer Info'!E3307,'Customer Info'!E3307:E3806,1,0)</f>
        <v>#N/A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78</v>
      </c>
      <c r="R3315" s="2" t="s">
        <v>28</v>
      </c>
      <c r="S3315" s="9">
        <f t="shared" si="259"/>
        <v>0.02</v>
      </c>
    </row>
    <row r="3316" spans="1:19" x14ac:dyDescent="0.3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e">
        <f>VLOOKUP('Customer Info'!B3308,'Customer Info'!B3308:B3807,1,0)</f>
        <v>#N/A</v>
      </c>
      <c r="H3316" s="6" t="e">
        <f>VLOOKUP('Customer Info'!C3308,'Customer Info'!C3308:C3807,1)</f>
        <v>#N/A</v>
      </c>
      <c r="I3316" s="6" t="e">
        <f>VLOOKUP('Customer Info'!E3308,'Customer Info'!E3308:E3807,1,0)</f>
        <v>#N/A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4</v>
      </c>
      <c r="R3316" s="2" t="s">
        <v>50</v>
      </c>
      <c r="S3316" s="9">
        <f t="shared" si="259"/>
        <v>0.02</v>
      </c>
    </row>
    <row r="3317" spans="1:19" x14ac:dyDescent="0.3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e">
        <f>VLOOKUP('Customer Info'!B3309,'Customer Info'!B3309:B3808,1,0)</f>
        <v>#N/A</v>
      </c>
      <c r="H3317" s="6" t="e">
        <f>VLOOKUP('Customer Info'!C3309,'Customer Info'!C3309:C3808,1)</f>
        <v>#N/A</v>
      </c>
      <c r="I3317" s="6" t="e">
        <f>VLOOKUP('Customer Info'!E3309,'Customer Info'!E3309:E3808,1,0)</f>
        <v>#N/A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25</v>
      </c>
      <c r="R3317" s="2" t="s">
        <v>50</v>
      </c>
      <c r="S3317" s="9">
        <f t="shared" si="259"/>
        <v>0.02</v>
      </c>
    </row>
    <row r="3318" spans="1:19" x14ac:dyDescent="0.3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e">
        <f>VLOOKUP('Customer Info'!B3310,'Customer Info'!B3310:B3809,1,0)</f>
        <v>#N/A</v>
      </c>
      <c r="H3318" s="6" t="e">
        <f>VLOOKUP('Customer Info'!C3310,'Customer Info'!C3310:C3809,1)</f>
        <v>#N/A</v>
      </c>
      <c r="I3318" s="6" t="e">
        <f>VLOOKUP('Customer Info'!E3310,'Customer Info'!E3310:E3809,1,0)</f>
        <v>#N/A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117</v>
      </c>
      <c r="R3318" s="2" t="s">
        <v>28</v>
      </c>
      <c r="S3318" s="9">
        <f t="shared" si="259"/>
        <v>0.02</v>
      </c>
    </row>
    <row r="3319" spans="1:19" x14ac:dyDescent="0.3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e">
        <f>VLOOKUP('Customer Info'!B3311,'Customer Info'!B3311:B3810,1,0)</f>
        <v>#N/A</v>
      </c>
      <c r="H3319" s="6" t="e">
        <f>VLOOKUP('Customer Info'!C3311,'Customer Info'!C3311:C3810,1)</f>
        <v>#N/A</v>
      </c>
      <c r="I3319" s="6" t="e">
        <f>VLOOKUP('Customer Info'!E3311,'Customer Info'!E3311:E3810,1,0)</f>
        <v>#N/A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40</v>
      </c>
      <c r="R3319" s="2" t="s">
        <v>28</v>
      </c>
      <c r="S3319" s="9">
        <f t="shared" si="259"/>
        <v>0.02</v>
      </c>
    </row>
    <row r="3320" spans="1:19" x14ac:dyDescent="0.3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e">
        <f>VLOOKUP('Customer Info'!B3312,'Customer Info'!B3312:B3811,1,0)</f>
        <v>#N/A</v>
      </c>
      <c r="H3320" s="6" t="e">
        <f>VLOOKUP('Customer Info'!C3312,'Customer Info'!C3312:C3811,1)</f>
        <v>#N/A</v>
      </c>
      <c r="I3320" s="6" t="e">
        <f>VLOOKUP('Customer Info'!E3312,'Customer Info'!E3312:E3811,1,0)</f>
        <v>#N/A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1164</v>
      </c>
      <c r="R3320" s="2" t="s">
        <v>28</v>
      </c>
      <c r="S3320" s="9">
        <f t="shared" si="259"/>
        <v>0.05</v>
      </c>
    </row>
    <row r="3321" spans="1:19" x14ac:dyDescent="0.3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e">
        <f>VLOOKUP('Customer Info'!B3313,'Customer Info'!B3313:B3812,1,0)</f>
        <v>#N/A</v>
      </c>
      <c r="H3321" s="6" t="e">
        <f>VLOOKUP('Customer Info'!C3313,'Customer Info'!C3313:C3812,1)</f>
        <v>#N/A</v>
      </c>
      <c r="I3321" s="6" t="e">
        <f>VLOOKUP('Customer Info'!E3313,'Customer Info'!E3313:E3812,1,0)</f>
        <v>#N/A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936</v>
      </c>
      <c r="R3321" s="2" t="s">
        <v>28</v>
      </c>
      <c r="S3321" s="9">
        <f t="shared" si="259"/>
        <v>0.05</v>
      </c>
    </row>
    <row r="3322" spans="1:19" x14ac:dyDescent="0.3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e">
        <f>VLOOKUP('Customer Info'!B3314,'Customer Info'!B3314:B3813,1,0)</f>
        <v>#N/A</v>
      </c>
      <c r="H3322" s="6" t="e">
        <f>VLOOKUP('Customer Info'!C3314,'Customer Info'!C3314:C3813,1)</f>
        <v>#N/A</v>
      </c>
      <c r="I3322" s="6" t="e">
        <f>VLOOKUP('Customer Info'!E3314,'Customer Info'!E3314:E3813,1,0)</f>
        <v>#N/A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224</v>
      </c>
      <c r="R3322" s="2" t="s">
        <v>28</v>
      </c>
      <c r="S3322" s="9">
        <f t="shared" si="259"/>
        <v>0.05</v>
      </c>
    </row>
    <row r="3323" spans="1:19" x14ac:dyDescent="0.3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e">
        <f>VLOOKUP('Customer Info'!B3315,'Customer Info'!B3315:B3814,1,0)</f>
        <v>#N/A</v>
      </c>
      <c r="H3323" s="6" t="e">
        <f>VLOOKUP('Customer Info'!C3315,'Customer Info'!C3315:C3814,1)</f>
        <v>#N/A</v>
      </c>
      <c r="I3323" s="6" t="e">
        <f>VLOOKUP('Customer Info'!E3315,'Customer Info'!E3315:E3814,1,0)</f>
        <v>#N/A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3648</v>
      </c>
      <c r="R3323" s="2" t="s">
        <v>28</v>
      </c>
      <c r="S3323" s="9">
        <f t="shared" si="259"/>
        <v>7.0000000000000007E-2</v>
      </c>
    </row>
    <row r="3324" spans="1:19" x14ac:dyDescent="0.3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e">
        <f>VLOOKUP('Customer Info'!B3316,'Customer Info'!B3316:B3815,1,0)</f>
        <v>#N/A</v>
      </c>
      <c r="H3324" s="6" t="e">
        <f>VLOOKUP('Customer Info'!C3316,'Customer Info'!C3316:C3815,1)</f>
        <v>#N/A</v>
      </c>
      <c r="I3324" s="6" t="e">
        <f>VLOOKUP('Customer Info'!E3316,'Customer Info'!E3316:E3815,1,0)</f>
        <v>#N/A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5</v>
      </c>
      <c r="R3324" s="2" t="s">
        <v>28</v>
      </c>
      <c r="S3324" s="9">
        <f t="shared" si="259"/>
        <v>0.02</v>
      </c>
    </row>
    <row r="3325" spans="1:19" x14ac:dyDescent="0.3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e">
        <f>VLOOKUP('Customer Info'!B3317,'Customer Info'!B3317:B3816,1,0)</f>
        <v>#N/A</v>
      </c>
      <c r="H3325" s="6" t="e">
        <f>VLOOKUP('Customer Info'!C3317,'Customer Info'!C3317:C3816,1)</f>
        <v>#N/A</v>
      </c>
      <c r="I3325" s="6" t="e">
        <f>VLOOKUP('Customer Info'!E3317,'Customer Info'!E3317:E3816,1,0)</f>
        <v>#N/A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9864</v>
      </c>
      <c r="R3325" s="2" t="s">
        <v>26</v>
      </c>
      <c r="S3325" s="9">
        <f t="shared" si="259"/>
        <v>0.12</v>
      </c>
    </row>
    <row r="3326" spans="1:19" x14ac:dyDescent="0.3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e">
        <f>VLOOKUP('Customer Info'!B3318,'Customer Info'!B3318:B3817,1,0)</f>
        <v>#N/A</v>
      </c>
      <c r="H3326" s="6" t="e">
        <f>VLOOKUP('Customer Info'!C3318,'Customer Info'!C3318:C3817,1)</f>
        <v>#N/A</v>
      </c>
      <c r="I3326" s="6" t="e">
        <f>VLOOKUP('Customer Info'!E3318,'Customer Info'!E3318:E3817,1,0)</f>
        <v>#N/A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13</v>
      </c>
      <c r="R3326" s="2" t="s">
        <v>50</v>
      </c>
      <c r="S3326" s="9">
        <f t="shared" si="259"/>
        <v>0.02</v>
      </c>
    </row>
    <row r="3327" spans="1:19" x14ac:dyDescent="0.3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e">
        <f>VLOOKUP('Customer Info'!B3319,'Customer Info'!B3319:B3818,1,0)</f>
        <v>#N/A</v>
      </c>
      <c r="H3327" s="6" t="e">
        <f>VLOOKUP('Customer Info'!C3319,'Customer Info'!C3319:C3818,1)</f>
        <v>#N/A</v>
      </c>
      <c r="I3327" s="6" t="e">
        <f>VLOOKUP('Customer Info'!E3319,'Customer Info'!E3319:E3818,1,0)</f>
        <v>#N/A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45</v>
      </c>
      <c r="R3327" s="2" t="s">
        <v>28</v>
      </c>
      <c r="S3327" s="9">
        <f t="shared" si="259"/>
        <v>0.02</v>
      </c>
    </row>
    <row r="3328" spans="1:19" x14ac:dyDescent="0.3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e">
        <f>VLOOKUP('Customer Info'!B3320,'Customer Info'!B3320:B3819,1,0)</f>
        <v>#N/A</v>
      </c>
      <c r="H3328" s="6" t="e">
        <f>VLOOKUP('Customer Info'!C3320,'Customer Info'!C3320:C3819,1)</f>
        <v>#N/A</v>
      </c>
      <c r="I3328" s="6" t="e">
        <f>VLOOKUP('Customer Info'!E3320,'Customer Info'!E3320:E3819,1,0)</f>
        <v>#N/A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1211</v>
      </c>
      <c r="R3328" s="2" t="s">
        <v>28</v>
      </c>
      <c r="S3328" s="9">
        <f t="shared" si="259"/>
        <v>0.05</v>
      </c>
    </row>
    <row r="3329" spans="1:19" x14ac:dyDescent="0.3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e">
        <f>VLOOKUP('Customer Info'!B3321,'Customer Info'!B3321:B3820,1,0)</f>
        <v>#N/A</v>
      </c>
      <c r="H3329" s="6" t="e">
        <f>VLOOKUP('Customer Info'!C3321,'Customer Info'!C3321:C3820,1)</f>
        <v>#N/A</v>
      </c>
      <c r="I3329" s="6" t="e">
        <f>VLOOKUP('Customer Info'!E3321,'Customer Info'!E3321:E3820,1,0)</f>
        <v>#N/A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3345</v>
      </c>
      <c r="R3329" s="2" t="s">
        <v>50</v>
      </c>
      <c r="S3329" s="9">
        <f t="shared" si="259"/>
        <v>7.0000000000000007E-2</v>
      </c>
    </row>
    <row r="3330" spans="1:19" x14ac:dyDescent="0.3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e">
        <f>VLOOKUP('Customer Info'!B3322,'Customer Info'!B3322:B3821,1,0)</f>
        <v>#N/A</v>
      </c>
      <c r="H3330" s="6" t="e">
        <f>VLOOKUP('Customer Info'!C3322,'Customer Info'!C3322:C3821,1)</f>
        <v>#N/A</v>
      </c>
      <c r="I3330" s="6" t="e">
        <f>VLOOKUP('Customer Info'!E3322,'Customer Info'!E3322:E3821,1,0)</f>
        <v>#N/A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255</v>
      </c>
      <c r="R3330" s="2" t="s">
        <v>50</v>
      </c>
      <c r="S3330" s="9">
        <f t="shared" si="259"/>
        <v>0.02</v>
      </c>
    </row>
    <row r="3331" spans="1:19" x14ac:dyDescent="0.3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e">
        <f>VLOOKUP('Customer Info'!B3323,'Customer Info'!B3323:B3822,1,0)</f>
        <v>#N/A</v>
      </c>
      <c r="H3331" s="6" t="e">
        <f>VLOOKUP('Customer Info'!C3323,'Customer Info'!C3323:C3822,1)</f>
        <v>#N/A</v>
      </c>
      <c r="I3331" s="6" t="e">
        <f>VLOOKUP('Customer Info'!E3323,'Customer Info'!E3323:E3822,1,0)</f>
        <v>#N/A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231</v>
      </c>
      <c r="R3331" s="2" t="s">
        <v>50</v>
      </c>
      <c r="S3331" s="9">
        <f t="shared" si="259"/>
        <v>0.05</v>
      </c>
    </row>
    <row r="3332" spans="1:19" x14ac:dyDescent="0.3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e">
        <f>VLOOKUP('Customer Info'!B3324,'Customer Info'!B3324:B3823,1,0)</f>
        <v>#N/A</v>
      </c>
      <c r="H3332" s="6" t="e">
        <f>VLOOKUP('Customer Info'!C3324,'Customer Info'!C3324:C3823,1)</f>
        <v>#N/A</v>
      </c>
      <c r="I3332" s="6" t="e">
        <f>VLOOKUP('Customer Info'!E3324,'Customer Info'!E3324:E3823,1,0)</f>
        <v>#N/A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192</v>
      </c>
      <c r="R3332" s="2" t="s">
        <v>50</v>
      </c>
      <c r="S3332" s="9">
        <f t="shared" si="259"/>
        <v>0.02</v>
      </c>
    </row>
    <row r="3333" spans="1:19" x14ac:dyDescent="0.3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e">
        <f>VLOOKUP('Customer Info'!B3325,'Customer Info'!B3325:B3824,1,0)</f>
        <v>#N/A</v>
      </c>
      <c r="H3333" s="6" t="e">
        <f>VLOOKUP('Customer Info'!C3325,'Customer Info'!C3325:C3824,1)</f>
        <v>#N/A</v>
      </c>
      <c r="I3333" s="6" t="e">
        <f>VLOOKUP('Customer Info'!E3325,'Customer Info'!E3325:E3824,1,0)</f>
        <v>#N/A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212</v>
      </c>
      <c r="R3333" s="2" t="s">
        <v>56</v>
      </c>
      <c r="S3333" s="9">
        <f t="shared" si="259"/>
        <v>0.05</v>
      </c>
    </row>
    <row r="3334" spans="1:19" x14ac:dyDescent="0.3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e">
        <f>VLOOKUP('Customer Info'!B3326,'Customer Info'!B3326:B3825,1,0)</f>
        <v>#N/A</v>
      </c>
      <c r="H3334" s="6" t="e">
        <f>VLOOKUP('Customer Info'!C3326,'Customer Info'!C3326:C3825,1)</f>
        <v>#N/A</v>
      </c>
      <c r="I3334" s="6" t="e">
        <f>VLOOKUP('Customer Info'!E3326,'Customer Info'!E3326:E3825,1,0)</f>
        <v>#N/A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2400</v>
      </c>
      <c r="R3334" s="2" t="s">
        <v>28</v>
      </c>
      <c r="S3334" s="9">
        <f t="shared" si="259"/>
        <v>0.05</v>
      </c>
    </row>
    <row r="3335" spans="1:19" x14ac:dyDescent="0.3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e">
        <f>VLOOKUP('Customer Info'!B3327,'Customer Info'!B3327:B3826,1,0)</f>
        <v>#N/A</v>
      </c>
      <c r="H3335" s="6" t="e">
        <f>VLOOKUP('Customer Info'!C3327,'Customer Info'!C3327:C3826,1)</f>
        <v>#N/A</v>
      </c>
      <c r="I3335" s="6" t="e">
        <f>VLOOKUP('Customer Info'!E3327,'Customer Info'!E3327:E3826,1,0)</f>
        <v>#N/A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546</v>
      </c>
      <c r="R3335" s="2" t="s">
        <v>50</v>
      </c>
      <c r="S3335" s="9">
        <f t="shared" si="259"/>
        <v>0.05</v>
      </c>
    </row>
    <row r="3336" spans="1:19" x14ac:dyDescent="0.3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e">
        <f>VLOOKUP('Customer Info'!B3328,'Customer Info'!B3328:B3827,1,0)</f>
        <v>#N/A</v>
      </c>
      <c r="H3336" s="6" t="e">
        <f>VLOOKUP('Customer Info'!C3328,'Customer Info'!C3328:C3827,1)</f>
        <v>#N/A</v>
      </c>
      <c r="I3336" s="6" t="e">
        <f>VLOOKUP('Customer Info'!E3328,'Customer Info'!E3328:E3827,1,0)</f>
        <v>#N/A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2100</v>
      </c>
      <c r="R3336" s="2" t="s">
        <v>50</v>
      </c>
      <c r="S3336" s="9">
        <f t="shared" si="259"/>
        <v>7.0000000000000007E-2</v>
      </c>
    </row>
    <row r="3337" spans="1:19" x14ac:dyDescent="0.3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e">
        <f>VLOOKUP('Customer Info'!B3329,'Customer Info'!B3329:B3828,1,0)</f>
        <v>#N/A</v>
      </c>
      <c r="H3337" s="6" t="e">
        <f>VLOOKUP('Customer Info'!C3329,'Customer Info'!C3329:C3828,1)</f>
        <v>#N/A</v>
      </c>
      <c r="I3337" s="6" t="e">
        <f>VLOOKUP('Customer Info'!E3329,'Customer Info'!E3329:E3828,1,0)</f>
        <v>#N/A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176</v>
      </c>
      <c r="R3337" s="2" t="s">
        <v>28</v>
      </c>
      <c r="S3337" s="9">
        <f t="shared" si="259"/>
        <v>0.02</v>
      </c>
    </row>
    <row r="3338" spans="1:19" x14ac:dyDescent="0.3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e">
        <f>VLOOKUP('Customer Info'!B3330,'Customer Info'!B3330:B3829,1,0)</f>
        <v>#N/A</v>
      </c>
      <c r="H3338" s="6" t="e">
        <f>VLOOKUP('Customer Info'!C3330,'Customer Info'!C3330:C3829,1)</f>
        <v>#N/A</v>
      </c>
      <c r="I3338" s="6" t="e">
        <f>VLOOKUP('Customer Info'!E3330,'Customer Info'!E3330:E3829,1,0)</f>
        <v>#N/A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362</v>
      </c>
      <c r="R3338" s="2" t="s">
        <v>28</v>
      </c>
      <c r="S3338" s="9">
        <f t="shared" si="259"/>
        <v>0.02</v>
      </c>
    </row>
    <row r="3339" spans="1:19" x14ac:dyDescent="0.3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e">
        <f>VLOOKUP('Customer Info'!B3331,'Customer Info'!B3331:B3830,1,0)</f>
        <v>#N/A</v>
      </c>
      <c r="H3339" s="6" t="e">
        <f>VLOOKUP('Customer Info'!C3331,'Customer Info'!C3331:C3830,1)</f>
        <v>#N/A</v>
      </c>
      <c r="I3339" s="6" t="e">
        <f>VLOOKUP('Customer Info'!E3331,'Customer Info'!E3331:E3830,1,0)</f>
        <v>#N/A</v>
      </c>
      <c r="J3339" s="2">
        <v>1997</v>
      </c>
      <c r="K3339" s="2">
        <v>1816</v>
      </c>
      <c r="L3339" s="2">
        <v>1</v>
      </c>
      <c r="M3339" s="7">
        <f t="shared" ref="M3339:M3402" si="260">(K3339*L3339)</f>
        <v>1816</v>
      </c>
      <c r="N3339" s="7">
        <f t="shared" ref="N3339:N3402" si="261">(J3339*L3339)</f>
        <v>1997</v>
      </c>
      <c r="O3339" s="2">
        <v>76</v>
      </c>
      <c r="P3339" s="8">
        <f t="shared" ref="P3339:P3402" si="262">(N3339+O3339)</f>
        <v>2073</v>
      </c>
      <c r="Q3339" s="8">
        <f t="shared" ref="Q3339:Q3402" si="263">(N3339-M3339)</f>
        <v>181</v>
      </c>
      <c r="R3339" s="2" t="s">
        <v>28</v>
      </c>
      <c r="S3339" s="9">
        <f t="shared" ref="S3339:S3402" si="264">_xlfn.IFS(P3339&gt;250000,0.15,P3339&gt;100000,0.12,P3339&gt;50000,0.09,P3339&gt;25000,0.07,P3339&gt;5000,0.05,
 TRUE,0.02)</f>
        <v>0.02</v>
      </c>
    </row>
    <row r="3340" spans="1:19" x14ac:dyDescent="0.3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e">
        <f>VLOOKUP('Customer Info'!B3332,'Customer Info'!B3332:B3831,1,0)</f>
        <v>#N/A</v>
      </c>
      <c r="H3340" s="6" t="e">
        <f>VLOOKUP('Customer Info'!C3332,'Customer Info'!C3332:C3831,1)</f>
        <v>#N/A</v>
      </c>
      <c r="I3340" s="6" t="e">
        <f>VLOOKUP('Customer Info'!E3332,'Customer Info'!E3332:E3831,1,0)</f>
        <v>#N/A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636</v>
      </c>
      <c r="R3340" s="2" t="s">
        <v>28</v>
      </c>
      <c r="S3340" s="9">
        <f t="shared" si="264"/>
        <v>0.05</v>
      </c>
    </row>
    <row r="3341" spans="1:19" x14ac:dyDescent="0.3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e">
        <f>VLOOKUP('Customer Info'!B3333,'Customer Info'!B3333:B3832,1,0)</f>
        <v>#N/A</v>
      </c>
      <c r="H3341" s="6" t="e">
        <f>VLOOKUP('Customer Info'!C3333,'Customer Info'!C3333:C3832,1)</f>
        <v>#N/A</v>
      </c>
      <c r="I3341" s="6" t="e">
        <f>VLOOKUP('Customer Info'!E3333,'Customer Info'!E3333:E3832,1,0)</f>
        <v>#N/A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2478</v>
      </c>
      <c r="R3341" s="2" t="s">
        <v>28</v>
      </c>
      <c r="S3341" s="9">
        <f t="shared" si="264"/>
        <v>7.0000000000000007E-2</v>
      </c>
    </row>
    <row r="3342" spans="1:19" x14ac:dyDescent="0.3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e">
        <f>VLOOKUP('Customer Info'!B3334,'Customer Info'!B3334:B3833,1,0)</f>
        <v>#N/A</v>
      </c>
      <c r="H3342" s="6" t="e">
        <f>VLOOKUP('Customer Info'!C3334,'Customer Info'!C3334:C3833,1)</f>
        <v>#N/A</v>
      </c>
      <c r="I3342" s="6" t="e">
        <f>VLOOKUP('Customer Info'!E3334,'Customer Info'!E3334:E3833,1,0)</f>
        <v>#N/A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67</v>
      </c>
      <c r="R3342" s="2" t="s">
        <v>28</v>
      </c>
      <c r="S3342" s="9">
        <f t="shared" si="264"/>
        <v>0.02</v>
      </c>
    </row>
    <row r="3343" spans="1:19" x14ac:dyDescent="0.3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e">
        <f>VLOOKUP('Customer Info'!B3335,'Customer Info'!B3335:B3834,1,0)</f>
        <v>#N/A</v>
      </c>
      <c r="H3343" s="6" t="e">
        <f>VLOOKUP('Customer Info'!C3335,'Customer Info'!C3335:C3834,1)</f>
        <v>#N/A</v>
      </c>
      <c r="I3343" s="6" t="e">
        <f>VLOOKUP('Customer Info'!E3335,'Customer Info'!E3335:E3834,1,0)</f>
        <v>#N/A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90</v>
      </c>
      <c r="R3343" s="2" t="s">
        <v>28</v>
      </c>
      <c r="S3343" s="9">
        <f t="shared" si="264"/>
        <v>0.02</v>
      </c>
    </row>
    <row r="3344" spans="1:19" x14ac:dyDescent="0.3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e">
        <f>VLOOKUP('Customer Info'!B3336,'Customer Info'!B3336:B3835,1,0)</f>
        <v>#N/A</v>
      </c>
      <c r="H3344" s="6" t="e">
        <f>VLOOKUP('Customer Info'!C3336,'Customer Info'!C3336:C3835,1)</f>
        <v>#N/A</v>
      </c>
      <c r="I3344" s="6" t="e">
        <f>VLOOKUP('Customer Info'!E3336,'Customer Info'!E3336:E3835,1,0)</f>
        <v>#N/A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24</v>
      </c>
      <c r="R3344" s="2" t="s">
        <v>28</v>
      </c>
      <c r="S3344" s="9">
        <f t="shared" si="264"/>
        <v>0.02</v>
      </c>
    </row>
    <row r="3345" spans="1:19" x14ac:dyDescent="0.3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e">
        <f>VLOOKUP('Customer Info'!B3337,'Customer Info'!B3337:B3836,1,0)</f>
        <v>#N/A</v>
      </c>
      <c r="H3345" s="6" t="e">
        <f>VLOOKUP('Customer Info'!C3337,'Customer Info'!C3337:C3836,1)</f>
        <v>#N/A</v>
      </c>
      <c r="I3345" s="6" t="e">
        <f>VLOOKUP('Customer Info'!E3337,'Customer Info'!E3337:E3836,1,0)</f>
        <v>#N/A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98</v>
      </c>
      <c r="R3345" s="2" t="s">
        <v>28</v>
      </c>
      <c r="S3345" s="9">
        <f t="shared" si="264"/>
        <v>0.02</v>
      </c>
    </row>
    <row r="3346" spans="1:19" x14ac:dyDescent="0.3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e">
        <f>VLOOKUP('Customer Info'!B3338,'Customer Info'!B3338:B3837,1,0)</f>
        <v>#N/A</v>
      </c>
      <c r="H3346" s="6" t="e">
        <f>VLOOKUP('Customer Info'!C3338,'Customer Info'!C3338:C3837,1)</f>
        <v>#N/A</v>
      </c>
      <c r="I3346" s="6" t="e">
        <f>VLOOKUP('Customer Info'!E3338,'Customer Info'!E3338:E3837,1,0)</f>
        <v>#N/A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5</v>
      </c>
      <c r="R3346" s="2" t="s">
        <v>26</v>
      </c>
      <c r="S3346" s="9">
        <f t="shared" si="264"/>
        <v>0.02</v>
      </c>
    </row>
    <row r="3347" spans="1:19" x14ac:dyDescent="0.3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e">
        <f>VLOOKUP('Customer Info'!B3339,'Customer Info'!B3339:B3838,1,0)</f>
        <v>#N/A</v>
      </c>
      <c r="H3347" s="6" t="e">
        <f>VLOOKUP('Customer Info'!C3339,'Customer Info'!C3339:C3838,1)</f>
        <v>#N/A</v>
      </c>
      <c r="I3347" s="6" t="e">
        <f>VLOOKUP('Customer Info'!E3339,'Customer Info'!E3339:E3838,1,0)</f>
        <v>#N/A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594</v>
      </c>
      <c r="R3347" s="2" t="s">
        <v>28</v>
      </c>
      <c r="S3347" s="9">
        <f t="shared" si="264"/>
        <v>0.05</v>
      </c>
    </row>
    <row r="3348" spans="1:19" x14ac:dyDescent="0.3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e">
        <f>VLOOKUP('Customer Info'!B3340,'Customer Info'!B3340:B3839,1,0)</f>
        <v>#N/A</v>
      </c>
      <c r="H3348" s="6" t="e">
        <f>VLOOKUP('Customer Info'!C3340,'Customer Info'!C3340:C3839,1)</f>
        <v>#N/A</v>
      </c>
      <c r="I3348" s="6" t="e">
        <f>VLOOKUP('Customer Info'!E3340,'Customer Info'!E3340:E3839,1,0)</f>
        <v>#N/A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78</v>
      </c>
      <c r="R3348" s="2" t="s">
        <v>50</v>
      </c>
      <c r="S3348" s="9">
        <f t="shared" si="264"/>
        <v>0.02</v>
      </c>
    </row>
    <row r="3349" spans="1:19" x14ac:dyDescent="0.3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e">
        <f>VLOOKUP('Customer Info'!B3341,'Customer Info'!B3341:B3840,1,0)</f>
        <v>#N/A</v>
      </c>
      <c r="H3349" s="6" t="e">
        <f>VLOOKUP('Customer Info'!C3341,'Customer Info'!C3341:C3840,1)</f>
        <v>#N/A</v>
      </c>
      <c r="I3349" s="6" t="e">
        <f>VLOOKUP('Customer Info'!E3341,'Customer Info'!E3341:E3840,1,0)</f>
        <v>#N/A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212</v>
      </c>
      <c r="R3349" s="2" t="s">
        <v>28</v>
      </c>
      <c r="S3349" s="9">
        <f t="shared" si="264"/>
        <v>0.05</v>
      </c>
    </row>
    <row r="3350" spans="1:19" x14ac:dyDescent="0.3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e">
        <f>VLOOKUP('Customer Info'!B3342,'Customer Info'!B3342:B3841,1,0)</f>
        <v>#N/A</v>
      </c>
      <c r="H3350" s="6" t="e">
        <f>VLOOKUP('Customer Info'!C3342,'Customer Info'!C3342:C3841,1)</f>
        <v>#N/A</v>
      </c>
      <c r="I3350" s="6" t="e">
        <f>VLOOKUP('Customer Info'!E3342,'Customer Info'!E3342:E3841,1,0)</f>
        <v>#N/A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1750</v>
      </c>
      <c r="R3350" s="2" t="s">
        <v>28</v>
      </c>
      <c r="S3350" s="9">
        <f t="shared" si="264"/>
        <v>0.05</v>
      </c>
    </row>
    <row r="3351" spans="1:19" x14ac:dyDescent="0.3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e">
        <f>VLOOKUP('Customer Info'!B3343,'Customer Info'!B3343:B3842,1,0)</f>
        <v>#N/A</v>
      </c>
      <c r="H3351" s="6" t="e">
        <f>VLOOKUP('Customer Info'!C3343,'Customer Info'!C3343:C3842,1)</f>
        <v>#N/A</v>
      </c>
      <c r="I3351" s="6" t="e">
        <f>VLOOKUP('Customer Info'!E3343,'Customer Info'!E3343:E3842,1,0)</f>
        <v>#N/A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128</v>
      </c>
      <c r="R3351" s="2" t="s">
        <v>28</v>
      </c>
      <c r="S3351" s="9">
        <f t="shared" si="264"/>
        <v>0.02</v>
      </c>
    </row>
    <row r="3352" spans="1:19" x14ac:dyDescent="0.3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e">
        <f>VLOOKUP('Customer Info'!B3344,'Customer Info'!B3344:B3843,1,0)</f>
        <v>#N/A</v>
      </c>
      <c r="H3352" s="6" t="e">
        <f>VLOOKUP('Customer Info'!C3344,'Customer Info'!C3344:C3843,1)</f>
        <v>#N/A</v>
      </c>
      <c r="I3352" s="6" t="e">
        <f>VLOOKUP('Customer Info'!E3344,'Customer Info'!E3344:E3843,1,0)</f>
        <v>#N/A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134</v>
      </c>
      <c r="R3352" s="2" t="s">
        <v>26</v>
      </c>
      <c r="S3352" s="9">
        <f t="shared" si="264"/>
        <v>0.02</v>
      </c>
    </row>
    <row r="3353" spans="1:19" x14ac:dyDescent="0.3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e">
        <f>VLOOKUP('Customer Info'!B3345,'Customer Info'!B3345:B3844,1,0)</f>
        <v>#N/A</v>
      </c>
      <c r="H3353" s="6" t="e">
        <f>VLOOKUP('Customer Info'!C3345,'Customer Info'!C3345:C3844,1)</f>
        <v>#N/A</v>
      </c>
      <c r="I3353" s="6" t="e">
        <f>VLOOKUP('Customer Info'!E3345,'Customer Info'!E3345:E3844,1,0)</f>
        <v>#N/A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1952</v>
      </c>
      <c r="R3353" s="2" t="s">
        <v>28</v>
      </c>
      <c r="S3353" s="9">
        <f t="shared" si="264"/>
        <v>0.05</v>
      </c>
    </row>
    <row r="3354" spans="1:19" x14ac:dyDescent="0.3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e">
        <f>VLOOKUP('Customer Info'!B3346,'Customer Info'!B3346:B3845,1,0)</f>
        <v>#N/A</v>
      </c>
      <c r="H3354" s="6" t="e">
        <f>VLOOKUP('Customer Info'!C3346,'Customer Info'!C3346:C3845,1)</f>
        <v>#N/A</v>
      </c>
      <c r="I3354" s="6" t="e">
        <f>VLOOKUP('Customer Info'!E3346,'Customer Info'!E3346:E3845,1,0)</f>
        <v>#N/A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372</v>
      </c>
      <c r="R3354" s="2" t="s">
        <v>28</v>
      </c>
      <c r="S3354" s="9">
        <f t="shared" si="264"/>
        <v>0.05</v>
      </c>
    </row>
    <row r="3355" spans="1:19" x14ac:dyDescent="0.3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e">
        <f>VLOOKUP('Customer Info'!B3347,'Customer Info'!B3347:B3846,1,0)</f>
        <v>#N/A</v>
      </c>
      <c r="H3355" s="6" t="e">
        <f>VLOOKUP('Customer Info'!C3347,'Customer Info'!C3347:C3846,1)</f>
        <v>#N/A</v>
      </c>
      <c r="I3355" s="6" t="e">
        <f>VLOOKUP('Customer Info'!E3347,'Customer Info'!E3347:E3846,1,0)</f>
        <v>#N/A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1370</v>
      </c>
      <c r="R3355" s="2" t="s">
        <v>50</v>
      </c>
      <c r="S3355" s="9">
        <f t="shared" si="264"/>
        <v>0.05</v>
      </c>
    </row>
    <row r="3356" spans="1:19" x14ac:dyDescent="0.3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e">
        <f>VLOOKUP('Customer Info'!B3348,'Customer Info'!B3348:B3847,1,0)</f>
        <v>#N/A</v>
      </c>
      <c r="H3356" s="6" t="e">
        <f>VLOOKUP('Customer Info'!C3348,'Customer Info'!C3348:C3847,1)</f>
        <v>#N/A</v>
      </c>
      <c r="I3356" s="6" t="e">
        <f>VLOOKUP('Customer Info'!E3348,'Customer Info'!E3348:E3847,1,0)</f>
        <v>#N/A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207</v>
      </c>
      <c r="R3356" s="2" t="s">
        <v>28</v>
      </c>
      <c r="S3356" s="9">
        <f t="shared" si="264"/>
        <v>0.02</v>
      </c>
    </row>
    <row r="3357" spans="1:19" x14ac:dyDescent="0.3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e">
        <f>VLOOKUP('Customer Info'!B3349,'Customer Info'!B3349:B3848,1,0)</f>
        <v>#N/A</v>
      </c>
      <c r="H3357" s="6" t="e">
        <f>VLOOKUP('Customer Info'!C3349,'Customer Info'!C3349:C3848,1)</f>
        <v>#N/A</v>
      </c>
      <c r="I3357" s="6" t="e">
        <f>VLOOKUP('Customer Info'!E3349,'Customer Info'!E3349:E3848,1,0)</f>
        <v>#N/A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14</v>
      </c>
      <c r="R3357" s="2" t="s">
        <v>28</v>
      </c>
      <c r="S3357" s="9">
        <f t="shared" si="264"/>
        <v>0.02</v>
      </c>
    </row>
    <row r="3358" spans="1:19" x14ac:dyDescent="0.3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e">
        <f>VLOOKUP('Customer Info'!B3350,'Customer Info'!B3350:B3849,1,0)</f>
        <v>#N/A</v>
      </c>
      <c r="H3358" s="6" t="e">
        <f>VLOOKUP('Customer Info'!C3350,'Customer Info'!C3350:C3849,1)</f>
        <v>#N/A</v>
      </c>
      <c r="I3358" s="6" t="e">
        <f>VLOOKUP('Customer Info'!E3350,'Customer Info'!E3350:E3849,1,0)</f>
        <v>#N/A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18</v>
      </c>
      <c r="R3358" s="2" t="s">
        <v>28</v>
      </c>
      <c r="S3358" s="9">
        <f t="shared" si="264"/>
        <v>0.02</v>
      </c>
    </row>
    <row r="3359" spans="1:19" x14ac:dyDescent="0.3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e">
        <f>VLOOKUP('Customer Info'!B3351,'Customer Info'!B3351:B3850,1,0)</f>
        <v>#N/A</v>
      </c>
      <c r="H3359" s="6" t="e">
        <f>VLOOKUP('Customer Info'!C3351,'Customer Info'!C3351:C3850,1)</f>
        <v>#N/A</v>
      </c>
      <c r="I3359" s="6" t="e">
        <f>VLOOKUP('Customer Info'!E3351,'Customer Info'!E3351:E3850,1,0)</f>
        <v>#N/A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224</v>
      </c>
      <c r="R3359" s="2" t="s">
        <v>28</v>
      </c>
      <c r="S3359" s="9">
        <f t="shared" si="264"/>
        <v>0.02</v>
      </c>
    </row>
    <row r="3360" spans="1:19" x14ac:dyDescent="0.3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e">
        <f>VLOOKUP('Customer Info'!B3352,'Customer Info'!B3352:B3851,1,0)</f>
        <v>#N/A</v>
      </c>
      <c r="H3360" s="6" t="e">
        <f>VLOOKUP('Customer Info'!C3352,'Customer Info'!C3352:C3851,1)</f>
        <v>#N/A</v>
      </c>
      <c r="I3360" s="6" t="e">
        <f>VLOOKUP('Customer Info'!E3352,'Customer Info'!E3352:E3851,1,0)</f>
        <v>#N/A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15</v>
      </c>
      <c r="R3360" s="2" t="s">
        <v>28</v>
      </c>
      <c r="S3360" s="9">
        <f t="shared" si="264"/>
        <v>0.02</v>
      </c>
    </row>
    <row r="3361" spans="1:19" x14ac:dyDescent="0.3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e">
        <f>VLOOKUP('Customer Info'!B3353,'Customer Info'!B3353:B3852,1,0)</f>
        <v>#N/A</v>
      </c>
      <c r="H3361" s="6" t="e">
        <f>VLOOKUP('Customer Info'!C3353,'Customer Info'!C3353:C3852,1)</f>
        <v>#N/A</v>
      </c>
      <c r="I3361" s="6" t="e">
        <f>VLOOKUP('Customer Info'!E3353,'Customer Info'!E3353:E3852,1,0)</f>
        <v>#N/A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30</v>
      </c>
      <c r="R3361" s="2" t="s">
        <v>28</v>
      </c>
      <c r="S3361" s="9">
        <f t="shared" si="264"/>
        <v>0.02</v>
      </c>
    </row>
    <row r="3362" spans="1:19" x14ac:dyDescent="0.3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e">
        <f>VLOOKUP('Customer Info'!B3354,'Customer Info'!B3354:B3853,1,0)</f>
        <v>#N/A</v>
      </c>
      <c r="H3362" s="6" t="e">
        <f>VLOOKUP('Customer Info'!C3354,'Customer Info'!C3354:C3853,1)</f>
        <v>#N/A</v>
      </c>
      <c r="I3362" s="6" t="e">
        <f>VLOOKUP('Customer Info'!E3354,'Customer Info'!E3354:E3853,1,0)</f>
        <v>#N/A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36</v>
      </c>
      <c r="R3362" s="2" t="s">
        <v>50</v>
      </c>
      <c r="S3362" s="9">
        <f t="shared" si="264"/>
        <v>0.02</v>
      </c>
    </row>
    <row r="3363" spans="1:19" x14ac:dyDescent="0.3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e">
        <f>VLOOKUP('Customer Info'!B3355,'Customer Info'!B3355:B3854,1,0)</f>
        <v>#N/A</v>
      </c>
      <c r="H3363" s="6" t="e">
        <f>VLOOKUP('Customer Info'!C3355,'Customer Info'!C3355:C3854,1)</f>
        <v>#N/A</v>
      </c>
      <c r="I3363" s="6" t="e">
        <f>VLOOKUP('Customer Info'!E3355,'Customer Info'!E3355:E3854,1,0)</f>
        <v>#N/A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1023</v>
      </c>
      <c r="R3363" s="2" t="s">
        <v>28</v>
      </c>
      <c r="S3363" s="9">
        <f t="shared" si="264"/>
        <v>0.05</v>
      </c>
    </row>
    <row r="3364" spans="1:19" x14ac:dyDescent="0.3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e">
        <f>VLOOKUP('Customer Info'!B3356,'Customer Info'!B3356:B3855,1,0)</f>
        <v>#N/A</v>
      </c>
      <c r="H3364" s="6" t="e">
        <f>VLOOKUP('Customer Info'!C3356,'Customer Info'!C3356:C3855,1)</f>
        <v>#N/A</v>
      </c>
      <c r="I3364" s="6" t="e">
        <f>VLOOKUP('Customer Info'!E3356,'Customer Info'!E3356:E3855,1,0)</f>
        <v>#N/A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1118</v>
      </c>
      <c r="R3364" s="2" t="s">
        <v>28</v>
      </c>
      <c r="S3364" s="9">
        <f t="shared" si="264"/>
        <v>0.05</v>
      </c>
    </row>
    <row r="3365" spans="1:19" x14ac:dyDescent="0.3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e">
        <f>VLOOKUP('Customer Info'!B3357,'Customer Info'!B3357:B3856,1,0)</f>
        <v>#N/A</v>
      </c>
      <c r="H3365" s="6" t="e">
        <f>VLOOKUP('Customer Info'!C3357,'Customer Info'!C3357:C3856,1)</f>
        <v>#N/A</v>
      </c>
      <c r="I3365" s="6" t="e">
        <f>VLOOKUP('Customer Info'!E3357,'Customer Info'!E3357:E3856,1,0)</f>
        <v>#N/A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2075</v>
      </c>
      <c r="R3365" s="2" t="s">
        <v>26</v>
      </c>
      <c r="S3365" s="9">
        <f t="shared" si="264"/>
        <v>7.0000000000000007E-2</v>
      </c>
    </row>
    <row r="3366" spans="1:19" x14ac:dyDescent="0.3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e">
        <f>VLOOKUP('Customer Info'!B3358,'Customer Info'!B3358:B3857,1,0)</f>
        <v>#N/A</v>
      </c>
      <c r="H3366" s="6" t="e">
        <f>VLOOKUP('Customer Info'!C3358,'Customer Info'!C3358:C3857,1)</f>
        <v>#N/A</v>
      </c>
      <c r="I3366" s="6" t="e">
        <f>VLOOKUP('Customer Info'!E3358,'Customer Info'!E3358:E3857,1,0)</f>
        <v>#N/A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186</v>
      </c>
      <c r="R3366" s="2" t="s">
        <v>56</v>
      </c>
      <c r="S3366" s="9">
        <f t="shared" si="264"/>
        <v>0.02</v>
      </c>
    </row>
    <row r="3367" spans="1:19" x14ac:dyDescent="0.3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e">
        <f>VLOOKUP('Customer Info'!B3359,'Customer Info'!B3359:B3858,1,0)</f>
        <v>#N/A</v>
      </c>
      <c r="H3367" s="6" t="e">
        <f>VLOOKUP('Customer Info'!C3359,'Customer Info'!C3359:C3858,1)</f>
        <v>#N/A</v>
      </c>
      <c r="I3367" s="6" t="e">
        <f>VLOOKUP('Customer Info'!E3359,'Customer Info'!E3359:E3858,1,0)</f>
        <v>#N/A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50</v>
      </c>
      <c r="R3367" s="2" t="s">
        <v>56</v>
      </c>
      <c r="S3367" s="9">
        <f t="shared" si="264"/>
        <v>0.02</v>
      </c>
    </row>
    <row r="3368" spans="1:19" x14ac:dyDescent="0.3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e">
        <f>VLOOKUP('Customer Info'!B3360,'Customer Info'!B3360:B3859,1,0)</f>
        <v>#N/A</v>
      </c>
      <c r="H3368" s="6" t="e">
        <f>VLOOKUP('Customer Info'!C3360,'Customer Info'!C3360:C3859,1)</f>
        <v>#N/A</v>
      </c>
      <c r="I3368" s="6" t="e">
        <f>VLOOKUP('Customer Info'!E3360,'Customer Info'!E3360:E3859,1,0)</f>
        <v>#N/A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1802</v>
      </c>
      <c r="R3368" s="2" t="s">
        <v>50</v>
      </c>
      <c r="S3368" s="9">
        <f t="shared" si="264"/>
        <v>0.05</v>
      </c>
    </row>
    <row r="3369" spans="1:19" x14ac:dyDescent="0.3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e">
        <f>VLOOKUP('Customer Info'!B3361,'Customer Info'!B3361:B3860,1,0)</f>
        <v>#N/A</v>
      </c>
      <c r="H3369" s="6" t="e">
        <f>VLOOKUP('Customer Info'!C3361,'Customer Info'!C3361:C3860,1)</f>
        <v>#N/A</v>
      </c>
      <c r="I3369" s="6" t="e">
        <f>VLOOKUP('Customer Info'!E3361,'Customer Info'!E3361:E3860,1,0)</f>
        <v>#N/A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5514</v>
      </c>
      <c r="R3369" s="2" t="s">
        <v>56</v>
      </c>
      <c r="S3369" s="9">
        <f t="shared" si="264"/>
        <v>0.09</v>
      </c>
    </row>
    <row r="3370" spans="1:19" x14ac:dyDescent="0.3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e">
        <f>VLOOKUP('Customer Info'!B3362,'Customer Info'!B3362:B3861,1,0)</f>
        <v>#N/A</v>
      </c>
      <c r="H3370" s="6" t="e">
        <f>VLOOKUP('Customer Info'!C3362,'Customer Info'!C3362:C3861,1)</f>
        <v>#N/A</v>
      </c>
      <c r="I3370" s="6" t="e">
        <f>VLOOKUP('Customer Info'!E3362,'Customer Info'!E3362:E3861,1,0)</f>
        <v>#N/A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426</v>
      </c>
      <c r="R3370" s="2" t="s">
        <v>28</v>
      </c>
      <c r="S3370" s="9">
        <f t="shared" si="264"/>
        <v>0.02</v>
      </c>
    </row>
    <row r="3371" spans="1:19" x14ac:dyDescent="0.3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e">
        <f>VLOOKUP('Customer Info'!B3363,'Customer Info'!B3363:B3862,1,0)</f>
        <v>#N/A</v>
      </c>
      <c r="H3371" s="6" t="e">
        <f>VLOOKUP('Customer Info'!C3363,'Customer Info'!C3363:C3862,1)</f>
        <v>#N/A</v>
      </c>
      <c r="I3371" s="6" t="e">
        <f>VLOOKUP('Customer Info'!E3363,'Customer Info'!E3363:E3862,1,0)</f>
        <v>#N/A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704</v>
      </c>
      <c r="R3371" s="2" t="s">
        <v>56</v>
      </c>
      <c r="S3371" s="9">
        <f t="shared" si="264"/>
        <v>0.05</v>
      </c>
    </row>
    <row r="3372" spans="1:19" x14ac:dyDescent="0.3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e">
        <f>VLOOKUP('Customer Info'!B3364,'Customer Info'!B3364:B3863,1,0)</f>
        <v>#N/A</v>
      </c>
      <c r="H3372" s="6" t="e">
        <f>VLOOKUP('Customer Info'!C3364,'Customer Info'!C3364:C3863,1)</f>
        <v>#N/A</v>
      </c>
      <c r="I3372" s="6" t="e">
        <f>VLOOKUP('Customer Info'!E3364,'Customer Info'!E3364:E3863,1,0)</f>
        <v>#N/A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1137</v>
      </c>
      <c r="R3372" s="2" t="s">
        <v>50</v>
      </c>
      <c r="S3372" s="9">
        <f t="shared" si="264"/>
        <v>0.05</v>
      </c>
    </row>
    <row r="3373" spans="1:19" x14ac:dyDescent="0.3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e">
        <f>VLOOKUP('Customer Info'!B3365,'Customer Info'!B3365:B3864,1,0)</f>
        <v>#N/A</v>
      </c>
      <c r="H3373" s="6" t="e">
        <f>VLOOKUP('Customer Info'!C3365,'Customer Info'!C3365:C3864,1)</f>
        <v>#N/A</v>
      </c>
      <c r="I3373" s="6" t="e">
        <f>VLOOKUP('Customer Info'!E3365,'Customer Info'!E3365:E3864,1,0)</f>
        <v>#N/A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236</v>
      </c>
      <c r="R3373" s="2" t="s">
        <v>50</v>
      </c>
      <c r="S3373" s="9">
        <f t="shared" si="264"/>
        <v>0.02</v>
      </c>
    </row>
    <row r="3374" spans="1:19" x14ac:dyDescent="0.3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e">
        <f>VLOOKUP('Customer Info'!B3366,'Customer Info'!B3366:B3865,1,0)</f>
        <v>#N/A</v>
      </c>
      <c r="H3374" s="6" t="e">
        <f>VLOOKUP('Customer Info'!C3366,'Customer Info'!C3366:C3865,1)</f>
        <v>#N/A</v>
      </c>
      <c r="I3374" s="6" t="e">
        <f>VLOOKUP('Customer Info'!E3366,'Customer Info'!E3366:E3865,1,0)</f>
        <v>#N/A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1782</v>
      </c>
      <c r="R3374" s="2" t="s">
        <v>50</v>
      </c>
      <c r="S3374" s="9">
        <f t="shared" si="264"/>
        <v>7.0000000000000007E-2</v>
      </c>
    </row>
    <row r="3375" spans="1:19" x14ac:dyDescent="0.3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e">
        <f>VLOOKUP('Customer Info'!B3367,'Customer Info'!B3367:B3866,1,0)</f>
        <v>#N/A</v>
      </c>
      <c r="H3375" s="6" t="e">
        <f>VLOOKUP('Customer Info'!C3367,'Customer Info'!C3367:C3866,1)</f>
        <v>#N/A</v>
      </c>
      <c r="I3375" s="6" t="e">
        <f>VLOOKUP('Customer Info'!E3367,'Customer Info'!E3367:E3866,1,0)</f>
        <v>#N/A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85</v>
      </c>
      <c r="R3375" s="2" t="s">
        <v>50</v>
      </c>
      <c r="S3375" s="9">
        <f t="shared" si="264"/>
        <v>0.02</v>
      </c>
    </row>
    <row r="3376" spans="1:19" x14ac:dyDescent="0.3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e">
        <f>VLOOKUP('Customer Info'!B3368,'Customer Info'!B3368:B3867,1,0)</f>
        <v>#N/A</v>
      </c>
      <c r="H3376" s="6" t="e">
        <f>VLOOKUP('Customer Info'!C3368,'Customer Info'!C3368:C3867,1)</f>
        <v>#N/A</v>
      </c>
      <c r="I3376" s="6" t="e">
        <f>VLOOKUP('Customer Info'!E3368,'Customer Info'!E3368:E3867,1,0)</f>
        <v>#N/A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430</v>
      </c>
      <c r="R3376" s="2" t="s">
        <v>50</v>
      </c>
      <c r="S3376" s="9">
        <f t="shared" si="264"/>
        <v>0.05</v>
      </c>
    </row>
    <row r="3377" spans="1:19" x14ac:dyDescent="0.3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e">
        <f>VLOOKUP('Customer Info'!B3369,'Customer Info'!B3369:B3868,1,0)</f>
        <v>#N/A</v>
      </c>
      <c r="H3377" s="6" t="e">
        <f>VLOOKUP('Customer Info'!C3369,'Customer Info'!C3369:C3868,1)</f>
        <v>#N/A</v>
      </c>
      <c r="I3377" s="6" t="e">
        <f>VLOOKUP('Customer Info'!E3369,'Customer Info'!E3369:E3868,1,0)</f>
        <v>#N/A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1744</v>
      </c>
      <c r="R3377" s="2" t="s">
        <v>26</v>
      </c>
      <c r="S3377" s="9">
        <f t="shared" si="264"/>
        <v>7.0000000000000007E-2</v>
      </c>
    </row>
    <row r="3378" spans="1:19" x14ac:dyDescent="0.3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e">
        <f>VLOOKUP('Customer Info'!B3370,'Customer Info'!B3370:B3869,1,0)</f>
        <v>#N/A</v>
      </c>
      <c r="H3378" s="6" t="e">
        <f>VLOOKUP('Customer Info'!C3370,'Customer Info'!C3370:C3869,1)</f>
        <v>#N/A</v>
      </c>
      <c r="I3378" s="6" t="e">
        <f>VLOOKUP('Customer Info'!E3370,'Customer Info'!E3370:E3869,1,0)</f>
        <v>#N/A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3312</v>
      </c>
      <c r="R3378" s="2" t="s">
        <v>50</v>
      </c>
      <c r="S3378" s="9">
        <f t="shared" si="264"/>
        <v>7.0000000000000007E-2</v>
      </c>
    </row>
    <row r="3379" spans="1:19" x14ac:dyDescent="0.3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e">
        <f>VLOOKUP('Customer Info'!B3371,'Customer Info'!B3371:B3870,1,0)</f>
        <v>#N/A</v>
      </c>
      <c r="H3379" s="6" t="e">
        <f>VLOOKUP('Customer Info'!C3371,'Customer Info'!C3371:C3870,1)</f>
        <v>#N/A</v>
      </c>
      <c r="I3379" s="6" t="e">
        <f>VLOOKUP('Customer Info'!E3371,'Customer Info'!E3371:E3870,1,0)</f>
        <v>#N/A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305</v>
      </c>
      <c r="R3379" s="2" t="s">
        <v>50</v>
      </c>
      <c r="S3379" s="9">
        <f t="shared" si="264"/>
        <v>0.05</v>
      </c>
    </row>
    <row r="3380" spans="1:19" x14ac:dyDescent="0.3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e">
        <f>VLOOKUP('Customer Info'!B3372,'Customer Info'!B3372:B3871,1,0)</f>
        <v>#N/A</v>
      </c>
      <c r="H3380" s="6" t="e">
        <f>VLOOKUP('Customer Info'!C3372,'Customer Info'!C3372:C3871,1)</f>
        <v>#N/A</v>
      </c>
      <c r="I3380" s="6" t="e">
        <f>VLOOKUP('Customer Info'!E3372,'Customer Info'!E3372:E3871,1,0)</f>
        <v>#N/A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32</v>
      </c>
      <c r="R3380" s="2" t="s">
        <v>50</v>
      </c>
      <c r="S3380" s="9">
        <f t="shared" si="264"/>
        <v>0.02</v>
      </c>
    </row>
    <row r="3381" spans="1:19" x14ac:dyDescent="0.3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e">
        <f>VLOOKUP('Customer Info'!B3373,'Customer Info'!B3373:B3872,1,0)</f>
        <v>#N/A</v>
      </c>
      <c r="H3381" s="6" t="e">
        <f>VLOOKUP('Customer Info'!C3373,'Customer Info'!C3373:C3872,1)</f>
        <v>#N/A</v>
      </c>
      <c r="I3381" s="6" t="e">
        <f>VLOOKUP('Customer Info'!E3373,'Customer Info'!E3373:E3872,1,0)</f>
        <v>#N/A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45</v>
      </c>
      <c r="R3381" s="2" t="s">
        <v>28</v>
      </c>
      <c r="S3381" s="9">
        <f t="shared" si="264"/>
        <v>0.02</v>
      </c>
    </row>
    <row r="3382" spans="1:19" x14ac:dyDescent="0.3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e">
        <f>VLOOKUP('Customer Info'!B3374,'Customer Info'!B3374:B3873,1,0)</f>
        <v>#N/A</v>
      </c>
      <c r="H3382" s="6" t="e">
        <f>VLOOKUP('Customer Info'!C3374,'Customer Info'!C3374:C3873,1)</f>
        <v>#N/A</v>
      </c>
      <c r="I3382" s="6" t="e">
        <f>VLOOKUP('Customer Info'!E3374,'Customer Info'!E3374:E3873,1,0)</f>
        <v>#N/A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67</v>
      </c>
      <c r="R3382" s="2" t="s">
        <v>28</v>
      </c>
      <c r="S3382" s="9">
        <f t="shared" si="264"/>
        <v>0.02</v>
      </c>
    </row>
    <row r="3383" spans="1:19" x14ac:dyDescent="0.3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e">
        <f>VLOOKUP('Customer Info'!B3375,'Customer Info'!B3375:B3874,1,0)</f>
        <v>#N/A</v>
      </c>
      <c r="H3383" s="6" t="e">
        <f>VLOOKUP('Customer Info'!C3375,'Customer Info'!C3375:C3874,1)</f>
        <v>#N/A</v>
      </c>
      <c r="I3383" s="6" t="e">
        <f>VLOOKUP('Customer Info'!E3375,'Customer Info'!E3375:E3874,1,0)</f>
        <v>#N/A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4676</v>
      </c>
      <c r="R3383" s="2" t="s">
        <v>28</v>
      </c>
      <c r="S3383" s="9">
        <f t="shared" si="264"/>
        <v>7.0000000000000007E-2</v>
      </c>
    </row>
    <row r="3384" spans="1:19" x14ac:dyDescent="0.3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e">
        <f>VLOOKUP('Customer Info'!B3376,'Customer Info'!B3376:B3875,1,0)</f>
        <v>#N/A</v>
      </c>
      <c r="H3384" s="6" t="e">
        <f>VLOOKUP('Customer Info'!C3376,'Customer Info'!C3376:C3875,1)</f>
        <v>#N/A</v>
      </c>
      <c r="I3384" s="6" t="e">
        <f>VLOOKUP('Customer Info'!E3376,'Customer Info'!E3376:E3875,1,0)</f>
        <v>#N/A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36</v>
      </c>
      <c r="R3384" s="2" t="s">
        <v>28</v>
      </c>
      <c r="S3384" s="9">
        <f t="shared" si="264"/>
        <v>0.02</v>
      </c>
    </row>
    <row r="3385" spans="1:19" x14ac:dyDescent="0.3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e">
        <f>VLOOKUP('Customer Info'!B3377,'Customer Info'!B3377:B3876,1,0)</f>
        <v>#N/A</v>
      </c>
      <c r="H3385" s="6" t="e">
        <f>VLOOKUP('Customer Info'!C3377,'Customer Info'!C3377:C3876,1)</f>
        <v>#N/A</v>
      </c>
      <c r="I3385" s="6" t="e">
        <f>VLOOKUP('Customer Info'!E3377,'Customer Info'!E3377:E3876,1,0)</f>
        <v>#N/A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219</v>
      </c>
      <c r="R3385" s="2" t="s">
        <v>50</v>
      </c>
      <c r="S3385" s="9">
        <f t="shared" si="264"/>
        <v>0.02</v>
      </c>
    </row>
    <row r="3386" spans="1:19" x14ac:dyDescent="0.3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e">
        <f>VLOOKUP('Customer Info'!B3378,'Customer Info'!B3378:B3877,1,0)</f>
        <v>#N/A</v>
      </c>
      <c r="H3386" s="6" t="e">
        <f>VLOOKUP('Customer Info'!C3378,'Customer Info'!C3378:C3877,1)</f>
        <v>#N/A</v>
      </c>
      <c r="I3386" s="6" t="e">
        <f>VLOOKUP('Customer Info'!E3378,'Customer Info'!E3378:E3877,1,0)</f>
        <v>#N/A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484</v>
      </c>
      <c r="R3386" s="2" t="s">
        <v>28</v>
      </c>
      <c r="S3386" s="9">
        <f t="shared" si="264"/>
        <v>0.05</v>
      </c>
    </row>
    <row r="3387" spans="1:19" x14ac:dyDescent="0.3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e">
        <f>VLOOKUP('Customer Info'!B3379,'Customer Info'!B3379:B3878,1,0)</f>
        <v>#N/A</v>
      </c>
      <c r="H3387" s="6" t="e">
        <f>VLOOKUP('Customer Info'!C3379,'Customer Info'!C3379:C3878,1)</f>
        <v>#N/A</v>
      </c>
      <c r="I3387" s="6" t="e">
        <f>VLOOKUP('Customer Info'!E3379,'Customer Info'!E3379:E3878,1,0)</f>
        <v>#N/A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72</v>
      </c>
      <c r="R3387" s="2" t="s">
        <v>28</v>
      </c>
      <c r="S3387" s="9">
        <f t="shared" si="264"/>
        <v>0.02</v>
      </c>
    </row>
    <row r="3388" spans="1:19" x14ac:dyDescent="0.3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e">
        <f>VLOOKUP('Customer Info'!B3380,'Customer Info'!B3380:B3879,1,0)</f>
        <v>#N/A</v>
      </c>
      <c r="H3388" s="6" t="e">
        <f>VLOOKUP('Customer Info'!C3380,'Customer Info'!C3380:C3879,1)</f>
        <v>#N/A</v>
      </c>
      <c r="I3388" s="6" t="e">
        <f>VLOOKUP('Customer Info'!E3380,'Customer Info'!E3380:E3879,1,0)</f>
        <v>#N/A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240</v>
      </c>
      <c r="R3388" s="2" t="s">
        <v>28</v>
      </c>
      <c r="S3388" s="9">
        <f t="shared" si="264"/>
        <v>0.02</v>
      </c>
    </row>
    <row r="3389" spans="1:19" x14ac:dyDescent="0.3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e">
        <f>VLOOKUP('Customer Info'!B3381,'Customer Info'!B3381:B3880,1,0)</f>
        <v>#N/A</v>
      </c>
      <c r="H3389" s="6" t="e">
        <f>VLOOKUP('Customer Info'!C3381,'Customer Info'!C3381:C3880,1)</f>
        <v>#N/A</v>
      </c>
      <c r="I3389" s="6" t="e">
        <f>VLOOKUP('Customer Info'!E3381,'Customer Info'!E3381:E3880,1,0)</f>
        <v>#N/A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466</v>
      </c>
      <c r="R3389" s="2" t="s">
        <v>50</v>
      </c>
      <c r="S3389" s="9">
        <f t="shared" si="264"/>
        <v>0.05</v>
      </c>
    </row>
    <row r="3390" spans="1:19" x14ac:dyDescent="0.3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e">
        <f>VLOOKUP('Customer Info'!B3382,'Customer Info'!B3382:B3881,1,0)</f>
        <v>#N/A</v>
      </c>
      <c r="H3390" s="6" t="e">
        <f>VLOOKUP('Customer Info'!C3382,'Customer Info'!C3382:C3881,1)</f>
        <v>#N/A</v>
      </c>
      <c r="I3390" s="6" t="e">
        <f>VLOOKUP('Customer Info'!E3382,'Customer Info'!E3382:E3881,1,0)</f>
        <v>#N/A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106</v>
      </c>
      <c r="R3390" s="2" t="s">
        <v>56</v>
      </c>
      <c r="S3390" s="9">
        <f t="shared" si="264"/>
        <v>0.02</v>
      </c>
    </row>
    <row r="3391" spans="1:19" x14ac:dyDescent="0.3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e">
        <f>VLOOKUP('Customer Info'!B3383,'Customer Info'!B3383:B3882,1,0)</f>
        <v>#N/A</v>
      </c>
      <c r="H3391" s="6" t="e">
        <f>VLOOKUP('Customer Info'!C3383,'Customer Info'!C3383:C3882,1)</f>
        <v>#N/A</v>
      </c>
      <c r="I3391" s="6" t="e">
        <f>VLOOKUP('Customer Info'!E3383,'Customer Info'!E3383:E3882,1,0)</f>
        <v>#N/A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1902</v>
      </c>
      <c r="R3391" s="2" t="s">
        <v>28</v>
      </c>
      <c r="S3391" s="9">
        <f t="shared" si="264"/>
        <v>7.0000000000000007E-2</v>
      </c>
    </row>
    <row r="3392" spans="1:19" x14ac:dyDescent="0.3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e">
        <f>VLOOKUP('Customer Info'!B3384,'Customer Info'!B3384:B3883,1,0)</f>
        <v>#N/A</v>
      </c>
      <c r="H3392" s="6" t="e">
        <f>VLOOKUP('Customer Info'!C3384,'Customer Info'!C3384:C3883,1)</f>
        <v>#N/A</v>
      </c>
      <c r="I3392" s="6" t="e">
        <f>VLOOKUP('Customer Info'!E3384,'Customer Info'!E3384:E3883,1,0)</f>
        <v>#N/A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54</v>
      </c>
      <c r="R3392" s="2" t="s">
        <v>50</v>
      </c>
      <c r="S3392" s="9">
        <f t="shared" si="264"/>
        <v>0.02</v>
      </c>
    </row>
    <row r="3393" spans="1:19" x14ac:dyDescent="0.3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e">
        <f>VLOOKUP('Customer Info'!B3385,'Customer Info'!B3385:B3884,1,0)</f>
        <v>#N/A</v>
      </c>
      <c r="H3393" s="6" t="e">
        <f>VLOOKUP('Customer Info'!C3385,'Customer Info'!C3385:C3884,1)</f>
        <v>#N/A</v>
      </c>
      <c r="I3393" s="6" t="e">
        <f>VLOOKUP('Customer Info'!E3385,'Customer Info'!E3385:E3884,1,0)</f>
        <v>#N/A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560</v>
      </c>
      <c r="R3393" s="2" t="s">
        <v>28</v>
      </c>
      <c r="S3393" s="9">
        <f t="shared" si="264"/>
        <v>0.05</v>
      </c>
    </row>
    <row r="3394" spans="1:19" x14ac:dyDescent="0.3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e">
        <f>VLOOKUP('Customer Info'!B3386,'Customer Info'!B3386:B3885,1,0)</f>
        <v>#N/A</v>
      </c>
      <c r="H3394" s="6" t="e">
        <f>VLOOKUP('Customer Info'!C3386,'Customer Info'!C3386:C3885,1)</f>
        <v>#N/A</v>
      </c>
      <c r="I3394" s="6" t="e">
        <f>VLOOKUP('Customer Info'!E3386,'Customer Info'!E3386:E3885,1,0)</f>
        <v>#N/A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198</v>
      </c>
      <c r="R3394" s="2" t="s">
        <v>28</v>
      </c>
      <c r="S3394" s="9">
        <f t="shared" si="264"/>
        <v>0.02</v>
      </c>
    </row>
    <row r="3395" spans="1:19" x14ac:dyDescent="0.3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e">
        <f>VLOOKUP('Customer Info'!B3387,'Customer Info'!B3387:B3886,1,0)</f>
        <v>#N/A</v>
      </c>
      <c r="H3395" s="6" t="e">
        <f>VLOOKUP('Customer Info'!C3387,'Customer Info'!C3387:C3886,1)</f>
        <v>#N/A</v>
      </c>
      <c r="I3395" s="6" t="e">
        <f>VLOOKUP('Customer Info'!E3387,'Customer Info'!E3387:E3886,1,0)</f>
        <v>#N/A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384</v>
      </c>
      <c r="R3395" s="2" t="s">
        <v>50</v>
      </c>
      <c r="S3395" s="9">
        <f t="shared" si="264"/>
        <v>0.05</v>
      </c>
    </row>
    <row r="3396" spans="1:19" x14ac:dyDescent="0.3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e">
        <f>VLOOKUP('Customer Info'!B3388,'Customer Info'!B3388:B3887,1,0)</f>
        <v>#N/A</v>
      </c>
      <c r="H3396" s="6" t="e">
        <f>VLOOKUP('Customer Info'!C3388,'Customer Info'!C3388:C3887,1)</f>
        <v>#N/A</v>
      </c>
      <c r="I3396" s="6" t="e">
        <f>VLOOKUP('Customer Info'!E3388,'Customer Info'!E3388:E3887,1,0)</f>
        <v>#N/A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400</v>
      </c>
      <c r="R3396" s="2" t="s">
        <v>28</v>
      </c>
      <c r="S3396" s="9">
        <f t="shared" si="264"/>
        <v>0.02</v>
      </c>
    </row>
    <row r="3397" spans="1:19" x14ac:dyDescent="0.3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e">
        <f>VLOOKUP('Customer Info'!B3389,'Customer Info'!B3389:B3888,1,0)</f>
        <v>#N/A</v>
      </c>
      <c r="H3397" s="6" t="e">
        <f>VLOOKUP('Customer Info'!C3389,'Customer Info'!C3389:C3888,1)</f>
        <v>#N/A</v>
      </c>
      <c r="I3397" s="6" t="e">
        <f>VLOOKUP('Customer Info'!E3389,'Customer Info'!E3389:E3888,1,0)</f>
        <v>#N/A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215</v>
      </c>
      <c r="R3397" s="2" t="s">
        <v>50</v>
      </c>
      <c r="S3397" s="9">
        <f t="shared" si="264"/>
        <v>0.02</v>
      </c>
    </row>
    <row r="3398" spans="1:19" x14ac:dyDescent="0.3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e">
        <f>VLOOKUP('Customer Info'!B3390,'Customer Info'!B3390:B3889,1,0)</f>
        <v>#N/A</v>
      </c>
      <c r="H3398" s="6" t="e">
        <f>VLOOKUP('Customer Info'!C3390,'Customer Info'!C3390:C3889,1)</f>
        <v>#N/A</v>
      </c>
      <c r="I3398" s="6" t="e">
        <f>VLOOKUP('Customer Info'!E3390,'Customer Info'!E3390:E3889,1,0)</f>
        <v>#N/A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473</v>
      </c>
      <c r="R3398" s="2" t="s">
        <v>28</v>
      </c>
      <c r="S3398" s="9">
        <f t="shared" si="264"/>
        <v>0.05</v>
      </c>
    </row>
    <row r="3399" spans="1:19" x14ac:dyDescent="0.3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e">
        <f>VLOOKUP('Customer Info'!B3391,'Customer Info'!B3391:B3890,1,0)</f>
        <v>#N/A</v>
      </c>
      <c r="H3399" s="6" t="e">
        <f>VLOOKUP('Customer Info'!C3391,'Customer Info'!C3391:C3890,1)</f>
        <v>#N/A</v>
      </c>
      <c r="I3399" s="6" t="e">
        <f>VLOOKUP('Customer Info'!E3391,'Customer Info'!E3391:E3890,1,0)</f>
        <v>#N/A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8220</v>
      </c>
      <c r="R3399" s="2" t="s">
        <v>56</v>
      </c>
      <c r="S3399" s="9">
        <f t="shared" si="264"/>
        <v>0.09</v>
      </c>
    </row>
    <row r="3400" spans="1:19" x14ac:dyDescent="0.3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e">
        <f>VLOOKUP('Customer Info'!B3392,'Customer Info'!B3392:B3891,1,0)</f>
        <v>#N/A</v>
      </c>
      <c r="H3400" s="6" t="e">
        <f>VLOOKUP('Customer Info'!C3392,'Customer Info'!C3392:C3891,1)</f>
        <v>#N/A</v>
      </c>
      <c r="I3400" s="6" t="e">
        <f>VLOOKUP('Customer Info'!E3392,'Customer Info'!E3392:E3891,1,0)</f>
        <v>#N/A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25</v>
      </c>
      <c r="R3400" s="2" t="s">
        <v>50</v>
      </c>
      <c r="S3400" s="9">
        <f t="shared" si="264"/>
        <v>0.02</v>
      </c>
    </row>
    <row r="3401" spans="1:19" x14ac:dyDescent="0.3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e">
        <f>VLOOKUP('Customer Info'!B3393,'Customer Info'!B3393:B3892,1,0)</f>
        <v>#N/A</v>
      </c>
      <c r="H3401" s="6" t="e">
        <f>VLOOKUP('Customer Info'!C3393,'Customer Info'!C3393:C3892,1)</f>
        <v>#N/A</v>
      </c>
      <c r="I3401" s="6" t="e">
        <f>VLOOKUP('Customer Info'!E3393,'Customer Info'!E3393:E3892,1,0)</f>
        <v>#N/A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405</v>
      </c>
      <c r="R3401" s="2" t="s">
        <v>50</v>
      </c>
      <c r="S3401" s="9">
        <f t="shared" si="264"/>
        <v>0.05</v>
      </c>
    </row>
    <row r="3402" spans="1:19" x14ac:dyDescent="0.3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e">
        <f>VLOOKUP('Customer Info'!B3394,'Customer Info'!B3394:B3893,1,0)</f>
        <v>#N/A</v>
      </c>
      <c r="H3402" s="6" t="e">
        <f>VLOOKUP('Customer Info'!C3394,'Customer Info'!C3394:C3893,1)</f>
        <v>#N/A</v>
      </c>
      <c r="I3402" s="6" t="e">
        <f>VLOOKUP('Customer Info'!E3394,'Customer Info'!E3394:E3893,1,0)</f>
        <v>#N/A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542</v>
      </c>
      <c r="R3402" s="2" t="s">
        <v>26</v>
      </c>
      <c r="S3402" s="9">
        <f t="shared" si="264"/>
        <v>0.05</v>
      </c>
    </row>
    <row r="3403" spans="1:19" x14ac:dyDescent="0.3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e">
        <f>VLOOKUP('Customer Info'!B3395,'Customer Info'!B3395:B3894,1,0)</f>
        <v>#N/A</v>
      </c>
      <c r="H3403" s="6" t="e">
        <f>VLOOKUP('Customer Info'!C3395,'Customer Info'!C3395:C3894,1)</f>
        <v>#N/A</v>
      </c>
      <c r="I3403" s="6" t="e">
        <f>VLOOKUP('Customer Info'!E3395,'Customer Info'!E3395:E3894,1,0)</f>
        <v>#N/A</v>
      </c>
      <c r="J3403" s="2">
        <v>2478</v>
      </c>
      <c r="K3403" s="2">
        <v>2406</v>
      </c>
      <c r="L3403" s="2">
        <v>2</v>
      </c>
      <c r="M3403" s="7">
        <f t="shared" ref="M3403:M3466" si="265">(K3403*L3403)</f>
        <v>4812</v>
      </c>
      <c r="N3403" s="7">
        <f t="shared" ref="N3403:N3466" si="266">(J3403*L3403)</f>
        <v>4956</v>
      </c>
      <c r="O3403" s="2">
        <v>77</v>
      </c>
      <c r="P3403" s="8">
        <f t="shared" ref="P3403:P3466" si="267">(N3403+O3403)</f>
        <v>5033</v>
      </c>
      <c r="Q3403" s="8">
        <f t="shared" ref="Q3403:Q3466" si="268">(N3403-M3403)</f>
        <v>144</v>
      </c>
      <c r="R3403" s="2" t="s">
        <v>50</v>
      </c>
      <c r="S3403" s="9">
        <f t="shared" ref="S3403:S3466" si="269">_xlfn.IFS(P3403&gt;250000,0.15,P3403&gt;100000,0.12,P3403&gt;50000,0.09,P3403&gt;25000,0.07,P3403&gt;5000,0.05,
 TRUE,0.02)</f>
        <v>0.05</v>
      </c>
    </row>
    <row r="3404" spans="1:19" x14ac:dyDescent="0.3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e">
        <f>VLOOKUP('Customer Info'!B3396,'Customer Info'!B3396:B3895,1,0)</f>
        <v>#N/A</v>
      </c>
      <c r="H3404" s="6" t="e">
        <f>VLOOKUP('Customer Info'!C3396,'Customer Info'!C3396:C3895,1)</f>
        <v>#N/A</v>
      </c>
      <c r="I3404" s="6" t="e">
        <f>VLOOKUP('Customer Info'!E3396,'Customer Info'!E3396:E3895,1,0)</f>
        <v>#N/A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286</v>
      </c>
      <c r="R3404" s="2" t="s">
        <v>50</v>
      </c>
      <c r="S3404" s="9">
        <f t="shared" si="269"/>
        <v>0.05</v>
      </c>
    </row>
    <row r="3405" spans="1:19" x14ac:dyDescent="0.3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e">
        <f>VLOOKUP('Customer Info'!B3397,'Customer Info'!B3397:B3896,1,0)</f>
        <v>#N/A</v>
      </c>
      <c r="H3405" s="6" t="e">
        <f>VLOOKUP('Customer Info'!C3397,'Customer Info'!C3397:C3896,1)</f>
        <v>#N/A</v>
      </c>
      <c r="I3405" s="6" t="e">
        <f>VLOOKUP('Customer Info'!E3397,'Customer Info'!E3397:E3896,1,0)</f>
        <v>#N/A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480</v>
      </c>
      <c r="R3405" s="2" t="s">
        <v>50</v>
      </c>
      <c r="S3405" s="9">
        <f t="shared" si="269"/>
        <v>0.05</v>
      </c>
    </row>
    <row r="3406" spans="1:19" x14ac:dyDescent="0.3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e">
        <f>VLOOKUP('Customer Info'!B3398,'Customer Info'!B3398:B3897,1,0)</f>
        <v>#N/A</v>
      </c>
      <c r="H3406" s="6" t="e">
        <f>VLOOKUP('Customer Info'!C3398,'Customer Info'!C3398:C3897,1)</f>
        <v>#N/A</v>
      </c>
      <c r="I3406" s="6" t="e">
        <f>VLOOKUP('Customer Info'!E3398,'Customer Info'!E3398:E3897,1,0)</f>
        <v>#N/A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402</v>
      </c>
      <c r="R3406" s="2" t="s">
        <v>28</v>
      </c>
      <c r="S3406" s="9">
        <f t="shared" si="269"/>
        <v>0.02</v>
      </c>
    </row>
    <row r="3407" spans="1:19" x14ac:dyDescent="0.3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e">
        <f>VLOOKUP('Customer Info'!B3399,'Customer Info'!B3399:B3898,1,0)</f>
        <v>#N/A</v>
      </c>
      <c r="H3407" s="6" t="e">
        <f>VLOOKUP('Customer Info'!C3399,'Customer Info'!C3399:C3898,1)</f>
        <v>#N/A</v>
      </c>
      <c r="I3407" s="6" t="e">
        <f>VLOOKUP('Customer Info'!E3399,'Customer Info'!E3399:E3898,1,0)</f>
        <v>#N/A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48</v>
      </c>
      <c r="R3407" s="2" t="s">
        <v>50</v>
      </c>
      <c r="S3407" s="9">
        <f t="shared" si="269"/>
        <v>0.02</v>
      </c>
    </row>
    <row r="3408" spans="1:19" x14ac:dyDescent="0.3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e">
        <f>VLOOKUP('Customer Info'!B3400,'Customer Info'!B3400:B3899,1,0)</f>
        <v>#N/A</v>
      </c>
      <c r="H3408" s="6" t="e">
        <f>VLOOKUP('Customer Info'!C3400,'Customer Info'!C3400:C3899,1)</f>
        <v>#N/A</v>
      </c>
      <c r="I3408" s="6" t="e">
        <f>VLOOKUP('Customer Info'!E3400,'Customer Info'!E3400:E3899,1,0)</f>
        <v>#N/A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168</v>
      </c>
      <c r="R3408" s="2" t="s">
        <v>28</v>
      </c>
      <c r="S3408" s="9">
        <f t="shared" si="269"/>
        <v>0.02</v>
      </c>
    </row>
    <row r="3409" spans="1:19" x14ac:dyDescent="0.3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e">
        <f>VLOOKUP('Customer Info'!B3401,'Customer Info'!B3401:B3900,1,0)</f>
        <v>#N/A</v>
      </c>
      <c r="H3409" s="6" t="e">
        <f>VLOOKUP('Customer Info'!C3401,'Customer Info'!C3401:C3900,1)</f>
        <v>#N/A</v>
      </c>
      <c r="I3409" s="6" t="e">
        <f>VLOOKUP('Customer Info'!E3401,'Customer Info'!E3401:E3900,1,0)</f>
        <v>#N/A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243</v>
      </c>
      <c r="R3409" s="2" t="s">
        <v>28</v>
      </c>
      <c r="S3409" s="9">
        <f t="shared" si="269"/>
        <v>0.05</v>
      </c>
    </row>
    <row r="3410" spans="1:19" x14ac:dyDescent="0.3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e">
        <f>VLOOKUP('Customer Info'!B3402,'Customer Info'!B3402:B3901,1,0)</f>
        <v>#N/A</v>
      </c>
      <c r="H3410" s="6" t="e">
        <f>VLOOKUP('Customer Info'!C3402,'Customer Info'!C3402:C3901,1)</f>
        <v>#N/A</v>
      </c>
      <c r="I3410" s="6" t="e">
        <f>VLOOKUP('Customer Info'!E3402,'Customer Info'!E3402:E3901,1,0)</f>
        <v>#N/A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59</v>
      </c>
      <c r="R3410" s="2" t="s">
        <v>28</v>
      </c>
      <c r="S3410" s="9">
        <f t="shared" si="269"/>
        <v>0.02</v>
      </c>
    </row>
    <row r="3411" spans="1:19" x14ac:dyDescent="0.3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e">
        <f>VLOOKUP('Customer Info'!B3403,'Customer Info'!B3403:B3902,1,0)</f>
        <v>#N/A</v>
      </c>
      <c r="H3411" s="6" t="e">
        <f>VLOOKUP('Customer Info'!C3403,'Customer Info'!C3403:C3902,1)</f>
        <v>#N/A</v>
      </c>
      <c r="I3411" s="6" t="e">
        <f>VLOOKUP('Customer Info'!E3403,'Customer Info'!E3403:E3902,1,0)</f>
        <v>#N/A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24</v>
      </c>
      <c r="R3411" s="2" t="s">
        <v>50</v>
      </c>
      <c r="S3411" s="9">
        <f t="shared" si="269"/>
        <v>0.02</v>
      </c>
    </row>
    <row r="3412" spans="1:19" x14ac:dyDescent="0.3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e">
        <f>VLOOKUP('Customer Info'!B3404,'Customer Info'!B3404:B3903,1,0)</f>
        <v>#N/A</v>
      </c>
      <c r="H3412" s="6" t="e">
        <f>VLOOKUP('Customer Info'!C3404,'Customer Info'!C3404:C3903,1)</f>
        <v>#N/A</v>
      </c>
      <c r="I3412" s="6" t="e">
        <f>VLOOKUP('Customer Info'!E3404,'Customer Info'!E3404:E3903,1,0)</f>
        <v>#N/A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454</v>
      </c>
      <c r="R3412" s="2" t="s">
        <v>50</v>
      </c>
      <c r="S3412" s="9">
        <f t="shared" si="269"/>
        <v>0.05</v>
      </c>
    </row>
    <row r="3413" spans="1:19" x14ac:dyDescent="0.3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e">
        <f>VLOOKUP('Customer Info'!B3405,'Customer Info'!B3405:B3904,1,0)</f>
        <v>#N/A</v>
      </c>
      <c r="H3413" s="6" t="e">
        <f>VLOOKUP('Customer Info'!C3405,'Customer Info'!C3405:C3904,1)</f>
        <v>#N/A</v>
      </c>
      <c r="I3413" s="6" t="e">
        <f>VLOOKUP('Customer Info'!E3405,'Customer Info'!E3405:E3904,1,0)</f>
        <v>#N/A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1791</v>
      </c>
      <c r="R3413" s="2" t="s">
        <v>28</v>
      </c>
      <c r="S3413" s="9">
        <f t="shared" si="269"/>
        <v>0.05</v>
      </c>
    </row>
    <row r="3414" spans="1:19" x14ac:dyDescent="0.3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e">
        <f>VLOOKUP('Customer Info'!B3406,'Customer Info'!B3406:B3905,1,0)</f>
        <v>#N/A</v>
      </c>
      <c r="H3414" s="6" t="e">
        <f>VLOOKUP('Customer Info'!C3406,'Customer Info'!C3406:C3905,1)</f>
        <v>#N/A</v>
      </c>
      <c r="I3414" s="6" t="e">
        <f>VLOOKUP('Customer Info'!E3406,'Customer Info'!E3406:E3905,1,0)</f>
        <v>#N/A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4</v>
      </c>
      <c r="R3414" s="2" t="s">
        <v>28</v>
      </c>
      <c r="S3414" s="9">
        <f t="shared" si="269"/>
        <v>0.02</v>
      </c>
    </row>
    <row r="3415" spans="1:19" x14ac:dyDescent="0.3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e">
        <f>VLOOKUP('Customer Info'!B3407,'Customer Info'!B3407:B3906,1,0)</f>
        <v>#N/A</v>
      </c>
      <c r="H3415" s="6" t="e">
        <f>VLOOKUP('Customer Info'!C3407,'Customer Info'!C3407:C3906,1)</f>
        <v>#N/A</v>
      </c>
      <c r="I3415" s="6" t="e">
        <f>VLOOKUP('Customer Info'!E3407,'Customer Info'!E3407:E3906,1,0)</f>
        <v>#N/A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29</v>
      </c>
      <c r="R3415" s="2" t="s">
        <v>28</v>
      </c>
      <c r="S3415" s="9">
        <f t="shared" si="269"/>
        <v>0.02</v>
      </c>
    </row>
    <row r="3416" spans="1:19" x14ac:dyDescent="0.3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e">
        <f>VLOOKUP('Customer Info'!B3408,'Customer Info'!B3408:B3907,1,0)</f>
        <v>#N/A</v>
      </c>
      <c r="H3416" s="6" t="e">
        <f>VLOOKUP('Customer Info'!C3408,'Customer Info'!C3408:C3907,1)</f>
        <v>#N/A</v>
      </c>
      <c r="I3416" s="6" t="e">
        <f>VLOOKUP('Customer Info'!E3408,'Customer Info'!E3408:E3907,1,0)</f>
        <v>#N/A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170</v>
      </c>
      <c r="R3416" s="2" t="s">
        <v>28</v>
      </c>
      <c r="S3416" s="9">
        <f t="shared" si="269"/>
        <v>0.02</v>
      </c>
    </row>
    <row r="3417" spans="1:19" x14ac:dyDescent="0.3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e">
        <f>VLOOKUP('Customer Info'!B3409,'Customer Info'!B3409:B3908,1,0)</f>
        <v>#N/A</v>
      </c>
      <c r="H3417" s="6" t="e">
        <f>VLOOKUP('Customer Info'!C3409,'Customer Info'!C3409:C3908,1)</f>
        <v>#N/A</v>
      </c>
      <c r="I3417" s="6" t="e">
        <f>VLOOKUP('Customer Info'!E3409,'Customer Info'!E3409:E3908,1,0)</f>
        <v>#N/A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352</v>
      </c>
      <c r="R3417" s="2" t="s">
        <v>28</v>
      </c>
      <c r="S3417" s="9">
        <f t="shared" si="269"/>
        <v>0.05</v>
      </c>
    </row>
    <row r="3418" spans="1:19" x14ac:dyDescent="0.3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e">
        <f>VLOOKUP('Customer Info'!B3410,'Customer Info'!B3410:B3909,1,0)</f>
        <v>#N/A</v>
      </c>
      <c r="H3418" s="6" t="e">
        <f>VLOOKUP('Customer Info'!C3410,'Customer Info'!C3410:C3909,1)</f>
        <v>#N/A</v>
      </c>
      <c r="I3418" s="6" t="e">
        <f>VLOOKUP('Customer Info'!E3410,'Customer Info'!E3410:E3909,1,0)</f>
        <v>#N/A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6</v>
      </c>
      <c r="R3418" s="2" t="s">
        <v>50</v>
      </c>
      <c r="S3418" s="9">
        <f t="shared" si="269"/>
        <v>0.02</v>
      </c>
    </row>
    <row r="3419" spans="1:19" x14ac:dyDescent="0.3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e">
        <f>VLOOKUP('Customer Info'!B3411,'Customer Info'!B3411:B3910,1,0)</f>
        <v>#N/A</v>
      </c>
      <c r="H3419" s="6" t="e">
        <f>VLOOKUP('Customer Info'!C3411,'Customer Info'!C3411:C3910,1)</f>
        <v>#N/A</v>
      </c>
      <c r="I3419" s="6" t="e">
        <f>VLOOKUP('Customer Info'!E3411,'Customer Info'!E3411:E3910,1,0)</f>
        <v>#N/A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80</v>
      </c>
      <c r="R3419" s="2" t="s">
        <v>50</v>
      </c>
      <c r="S3419" s="9">
        <f t="shared" si="269"/>
        <v>0.02</v>
      </c>
    </row>
    <row r="3420" spans="1:19" x14ac:dyDescent="0.3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e">
        <f>VLOOKUP('Customer Info'!B3412,'Customer Info'!B3412:B3911,1,0)</f>
        <v>#N/A</v>
      </c>
      <c r="H3420" s="6" t="e">
        <f>VLOOKUP('Customer Info'!C3412,'Customer Info'!C3412:C3911,1)</f>
        <v>#N/A</v>
      </c>
      <c r="I3420" s="6" t="e">
        <f>VLOOKUP('Customer Info'!E3412,'Customer Info'!E3412:E3911,1,0)</f>
        <v>#N/A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20</v>
      </c>
      <c r="R3420" s="2" t="s">
        <v>28</v>
      </c>
      <c r="S3420" s="9">
        <f t="shared" si="269"/>
        <v>0.02</v>
      </c>
    </row>
    <row r="3421" spans="1:19" x14ac:dyDescent="0.3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e">
        <f>VLOOKUP('Customer Info'!B3413,'Customer Info'!B3413:B3912,1,0)</f>
        <v>#N/A</v>
      </c>
      <c r="H3421" s="6" t="e">
        <f>VLOOKUP('Customer Info'!C3413,'Customer Info'!C3413:C3912,1)</f>
        <v>#N/A</v>
      </c>
      <c r="I3421" s="6" t="e">
        <f>VLOOKUP('Customer Info'!E3413,'Customer Info'!E3413:E3912,1,0)</f>
        <v>#N/A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117</v>
      </c>
      <c r="R3421" s="2" t="s">
        <v>28</v>
      </c>
      <c r="S3421" s="9">
        <f t="shared" si="269"/>
        <v>0.02</v>
      </c>
    </row>
    <row r="3422" spans="1:19" x14ac:dyDescent="0.3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e">
        <f>VLOOKUP('Customer Info'!B3414,'Customer Info'!B3414:B3913,1,0)</f>
        <v>#N/A</v>
      </c>
      <c r="H3422" s="6" t="e">
        <f>VLOOKUP('Customer Info'!C3414,'Customer Info'!C3414:C3913,1)</f>
        <v>#N/A</v>
      </c>
      <c r="I3422" s="6" t="e">
        <f>VLOOKUP('Customer Info'!E3414,'Customer Info'!E3414:E3913,1,0)</f>
        <v>#N/A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4240</v>
      </c>
      <c r="R3422" s="2" t="s">
        <v>28</v>
      </c>
      <c r="S3422" s="9">
        <f t="shared" si="269"/>
        <v>7.0000000000000007E-2</v>
      </c>
    </row>
    <row r="3423" spans="1:19" x14ac:dyDescent="0.3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e">
        <f>VLOOKUP('Customer Info'!B3415,'Customer Info'!B3415:B3914,1,0)</f>
        <v>#N/A</v>
      </c>
      <c r="H3423" s="6" t="e">
        <f>VLOOKUP('Customer Info'!C3415,'Customer Info'!C3415:C3914,1)</f>
        <v>#N/A</v>
      </c>
      <c r="I3423" s="6" t="e">
        <f>VLOOKUP('Customer Info'!E3415,'Customer Info'!E3415:E3914,1,0)</f>
        <v>#N/A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194</v>
      </c>
      <c r="R3423" s="2" t="s">
        <v>26</v>
      </c>
      <c r="S3423" s="9">
        <f t="shared" si="269"/>
        <v>0.02</v>
      </c>
    </row>
    <row r="3424" spans="1:19" x14ac:dyDescent="0.3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e">
        <f>VLOOKUP('Customer Info'!B3416,'Customer Info'!B3416:B3915,1,0)</f>
        <v>#N/A</v>
      </c>
      <c r="H3424" s="6" t="e">
        <f>VLOOKUP('Customer Info'!C3416,'Customer Info'!C3416:C3915,1)</f>
        <v>#N/A</v>
      </c>
      <c r="I3424" s="6" t="e">
        <f>VLOOKUP('Customer Info'!E3416,'Customer Info'!E3416:E3915,1,0)</f>
        <v>#N/A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120</v>
      </c>
      <c r="R3424" s="2" t="s">
        <v>56</v>
      </c>
      <c r="S3424" s="9">
        <f t="shared" si="269"/>
        <v>0.02</v>
      </c>
    </row>
    <row r="3425" spans="1:19" x14ac:dyDescent="0.3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e">
        <f>VLOOKUP('Customer Info'!B3417,'Customer Info'!B3417:B3916,1,0)</f>
        <v>#N/A</v>
      </c>
      <c r="H3425" s="6" t="e">
        <f>VLOOKUP('Customer Info'!C3417,'Customer Info'!C3417:C3916,1)</f>
        <v>#N/A</v>
      </c>
      <c r="I3425" s="6" t="e">
        <f>VLOOKUP('Customer Info'!E3417,'Customer Info'!E3417:E3916,1,0)</f>
        <v>#N/A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252</v>
      </c>
      <c r="R3425" s="2" t="s">
        <v>28</v>
      </c>
      <c r="S3425" s="9">
        <f t="shared" si="269"/>
        <v>0.02</v>
      </c>
    </row>
    <row r="3426" spans="1:19" x14ac:dyDescent="0.3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e">
        <f>VLOOKUP('Customer Info'!B3418,'Customer Info'!B3418:B3917,1,0)</f>
        <v>#N/A</v>
      </c>
      <c r="H3426" s="6" t="e">
        <f>VLOOKUP('Customer Info'!C3418,'Customer Info'!C3418:C3917,1)</f>
        <v>#N/A</v>
      </c>
      <c r="I3426" s="6" t="e">
        <f>VLOOKUP('Customer Info'!E3418,'Customer Info'!E3418:E3917,1,0)</f>
        <v>#N/A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635</v>
      </c>
      <c r="R3426" s="2" t="s">
        <v>50</v>
      </c>
      <c r="S3426" s="9">
        <f t="shared" si="269"/>
        <v>0.05</v>
      </c>
    </row>
    <row r="3427" spans="1:19" x14ac:dyDescent="0.3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e">
        <f>VLOOKUP('Customer Info'!B3419,'Customer Info'!B3419:B3918,1,0)</f>
        <v>#N/A</v>
      </c>
      <c r="H3427" s="6" t="e">
        <f>VLOOKUP('Customer Info'!C3419,'Customer Info'!C3419:C3918,1)</f>
        <v>#N/A</v>
      </c>
      <c r="I3427" s="6" t="e">
        <f>VLOOKUP('Customer Info'!E3419,'Customer Info'!E3419:E3918,1,0)</f>
        <v>#N/A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28</v>
      </c>
      <c r="R3427" s="2" t="s">
        <v>50</v>
      </c>
      <c r="S3427" s="9">
        <f t="shared" si="269"/>
        <v>0.02</v>
      </c>
    </row>
    <row r="3428" spans="1:19" x14ac:dyDescent="0.3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e">
        <f>VLOOKUP('Customer Info'!B3420,'Customer Info'!B3420:B3919,1,0)</f>
        <v>#N/A</v>
      </c>
      <c r="H3428" s="6" t="e">
        <f>VLOOKUP('Customer Info'!C3420,'Customer Info'!C3420:C3919,1)</f>
        <v>#N/A</v>
      </c>
      <c r="I3428" s="6" t="e">
        <f>VLOOKUP('Customer Info'!E3420,'Customer Info'!E3420:E3919,1,0)</f>
        <v>#N/A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1750</v>
      </c>
      <c r="R3428" s="2" t="s">
        <v>50</v>
      </c>
      <c r="S3428" s="9">
        <f t="shared" si="269"/>
        <v>0.05</v>
      </c>
    </row>
    <row r="3429" spans="1:19" x14ac:dyDescent="0.3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e">
        <f>VLOOKUP('Customer Info'!B3421,'Customer Info'!B3421:B3920,1,0)</f>
        <v>#N/A</v>
      </c>
      <c r="H3429" s="6" t="e">
        <f>VLOOKUP('Customer Info'!C3421,'Customer Info'!C3421:C3920,1)</f>
        <v>#N/A</v>
      </c>
      <c r="I3429" s="6" t="e">
        <f>VLOOKUP('Customer Info'!E3421,'Customer Info'!E3421:E3920,1,0)</f>
        <v>#N/A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4150</v>
      </c>
      <c r="R3429" s="2" t="s">
        <v>28</v>
      </c>
      <c r="S3429" s="9">
        <f t="shared" si="269"/>
        <v>0.09</v>
      </c>
    </row>
    <row r="3430" spans="1:19" x14ac:dyDescent="0.3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e">
        <f>VLOOKUP('Customer Info'!B3422,'Customer Info'!B3422:B3921,1,0)</f>
        <v>#N/A</v>
      </c>
      <c r="H3430" s="6" t="e">
        <f>VLOOKUP('Customer Info'!C3422,'Customer Info'!C3422:C3921,1)</f>
        <v>#N/A</v>
      </c>
      <c r="I3430" s="6" t="e">
        <f>VLOOKUP('Customer Info'!E3422,'Customer Info'!E3422:E3921,1,0)</f>
        <v>#N/A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9</v>
      </c>
      <c r="R3430" s="2" t="s">
        <v>50</v>
      </c>
      <c r="S3430" s="9">
        <f t="shared" si="269"/>
        <v>0.02</v>
      </c>
    </row>
    <row r="3431" spans="1:19" x14ac:dyDescent="0.3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e">
        <f>VLOOKUP('Customer Info'!B3423,'Customer Info'!B3423:B3922,1,0)</f>
        <v>#N/A</v>
      </c>
      <c r="H3431" s="6" t="e">
        <f>VLOOKUP('Customer Info'!C3423,'Customer Info'!C3423:C3922,1)</f>
        <v>#N/A</v>
      </c>
      <c r="I3431" s="6" t="e">
        <f>VLOOKUP('Customer Info'!E3423,'Customer Info'!E3423:E3922,1,0)</f>
        <v>#N/A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900</v>
      </c>
      <c r="R3431" s="2" t="s">
        <v>28</v>
      </c>
      <c r="S3431" s="9">
        <f t="shared" si="269"/>
        <v>0.05</v>
      </c>
    </row>
    <row r="3432" spans="1:19" x14ac:dyDescent="0.3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e">
        <f>VLOOKUP('Customer Info'!B3424,'Customer Info'!B3424:B3923,1,0)</f>
        <v>#N/A</v>
      </c>
      <c r="H3432" s="6" t="e">
        <f>VLOOKUP('Customer Info'!C3424,'Customer Info'!C3424:C3923,1)</f>
        <v>#N/A</v>
      </c>
      <c r="I3432" s="6" t="e">
        <f>VLOOKUP('Customer Info'!E3424,'Customer Info'!E3424:E3923,1,0)</f>
        <v>#N/A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34</v>
      </c>
      <c r="R3432" s="2" t="s">
        <v>28</v>
      </c>
      <c r="S3432" s="9">
        <f t="shared" si="269"/>
        <v>0.02</v>
      </c>
    </row>
    <row r="3433" spans="1:19" x14ac:dyDescent="0.3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e">
        <f>VLOOKUP('Customer Info'!B3425,'Customer Info'!B3425:B3924,1,0)</f>
        <v>#N/A</v>
      </c>
      <c r="H3433" s="6" t="e">
        <f>VLOOKUP('Customer Info'!C3425,'Customer Info'!C3425:C3924,1)</f>
        <v>#N/A</v>
      </c>
      <c r="I3433" s="6" t="e">
        <f>VLOOKUP('Customer Info'!E3425,'Customer Info'!E3425:E3924,1,0)</f>
        <v>#N/A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456</v>
      </c>
      <c r="R3433" s="2" t="s">
        <v>50</v>
      </c>
      <c r="S3433" s="9">
        <f t="shared" si="269"/>
        <v>0.05</v>
      </c>
    </row>
    <row r="3434" spans="1:19" x14ac:dyDescent="0.3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e">
        <f>VLOOKUP('Customer Info'!B3426,'Customer Info'!B3426:B3925,1,0)</f>
        <v>#N/A</v>
      </c>
      <c r="H3434" s="6" t="e">
        <f>VLOOKUP('Customer Info'!C3426,'Customer Info'!C3426:C3925,1)</f>
        <v>#N/A</v>
      </c>
      <c r="I3434" s="6" t="e">
        <f>VLOOKUP('Customer Info'!E3426,'Customer Info'!E3426:E3925,1,0)</f>
        <v>#N/A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1746</v>
      </c>
      <c r="R3434" s="2" t="s">
        <v>28</v>
      </c>
      <c r="S3434" s="9">
        <f t="shared" si="269"/>
        <v>0.05</v>
      </c>
    </row>
    <row r="3435" spans="1:19" x14ac:dyDescent="0.3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e">
        <f>VLOOKUP('Customer Info'!B3427,'Customer Info'!B3427:B3926,1,0)</f>
        <v>#N/A</v>
      </c>
      <c r="H3435" s="6" t="e">
        <f>VLOOKUP('Customer Info'!C3427,'Customer Info'!C3427:C3926,1)</f>
        <v>#N/A</v>
      </c>
      <c r="I3435" s="6" t="e">
        <f>VLOOKUP('Customer Info'!E3427,'Customer Info'!E3427:E3926,1,0)</f>
        <v>#N/A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441</v>
      </c>
      <c r="R3435" s="2" t="s">
        <v>50</v>
      </c>
      <c r="S3435" s="9">
        <f t="shared" si="269"/>
        <v>0.05</v>
      </c>
    </row>
    <row r="3436" spans="1:19" x14ac:dyDescent="0.3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e">
        <f>VLOOKUP('Customer Info'!B3428,'Customer Info'!B3428:B3927,1,0)</f>
        <v>#N/A</v>
      </c>
      <c r="H3436" s="6" t="e">
        <f>VLOOKUP('Customer Info'!C3428,'Customer Info'!C3428:C3927,1)</f>
        <v>#N/A</v>
      </c>
      <c r="I3436" s="6" t="e">
        <f>VLOOKUP('Customer Info'!E3428,'Customer Info'!E3428:E3927,1,0)</f>
        <v>#N/A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270</v>
      </c>
      <c r="R3436" s="2" t="s">
        <v>28</v>
      </c>
      <c r="S3436" s="9">
        <f t="shared" si="269"/>
        <v>0.02</v>
      </c>
    </row>
    <row r="3437" spans="1:19" x14ac:dyDescent="0.3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e">
        <f>VLOOKUP('Customer Info'!B3429,'Customer Info'!B3429:B3928,1,0)</f>
        <v>#N/A</v>
      </c>
      <c r="H3437" s="6" t="e">
        <f>VLOOKUP('Customer Info'!C3429,'Customer Info'!C3429:C3928,1)</f>
        <v>#N/A</v>
      </c>
      <c r="I3437" s="6" t="e">
        <f>VLOOKUP('Customer Info'!E3429,'Customer Info'!E3429:E3928,1,0)</f>
        <v>#N/A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2907</v>
      </c>
      <c r="R3437" s="2" t="s">
        <v>50</v>
      </c>
      <c r="S3437" s="9">
        <f t="shared" si="269"/>
        <v>7.0000000000000007E-2</v>
      </c>
    </row>
    <row r="3438" spans="1:19" x14ac:dyDescent="0.3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e">
        <f>VLOOKUP('Customer Info'!B3430,'Customer Info'!B3430:B3929,1,0)</f>
        <v>#N/A</v>
      </c>
      <c r="H3438" s="6" t="e">
        <f>VLOOKUP('Customer Info'!C3430,'Customer Info'!C3430:C3929,1)</f>
        <v>#N/A</v>
      </c>
      <c r="I3438" s="6" t="e">
        <f>VLOOKUP('Customer Info'!E3430,'Customer Info'!E3430:E3929,1,0)</f>
        <v>#N/A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146</v>
      </c>
      <c r="R3438" s="2" t="s">
        <v>28</v>
      </c>
      <c r="S3438" s="9">
        <f t="shared" si="269"/>
        <v>0.02</v>
      </c>
    </row>
    <row r="3439" spans="1:19" x14ac:dyDescent="0.3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e">
        <f>VLOOKUP('Customer Info'!B3431,'Customer Info'!B3431:B3930,1,0)</f>
        <v>#N/A</v>
      </c>
      <c r="H3439" s="6" t="e">
        <f>VLOOKUP('Customer Info'!C3431,'Customer Info'!C3431:C3930,1)</f>
        <v>#N/A</v>
      </c>
      <c r="I3439" s="6" t="e">
        <f>VLOOKUP('Customer Info'!E3431,'Customer Info'!E3431:E3930,1,0)</f>
        <v>#N/A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654</v>
      </c>
      <c r="R3439" s="2" t="s">
        <v>28</v>
      </c>
      <c r="S3439" s="9">
        <f t="shared" si="269"/>
        <v>0.05</v>
      </c>
    </row>
    <row r="3440" spans="1:19" x14ac:dyDescent="0.3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e">
        <f>VLOOKUP('Customer Info'!B3432,'Customer Info'!B3432:B3931,1,0)</f>
        <v>#N/A</v>
      </c>
      <c r="H3440" s="6" t="e">
        <f>VLOOKUP('Customer Info'!C3432,'Customer Info'!C3432:C3931,1)</f>
        <v>#N/A</v>
      </c>
      <c r="I3440" s="6" t="e">
        <f>VLOOKUP('Customer Info'!E3432,'Customer Info'!E3432:E3931,1,0)</f>
        <v>#N/A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112</v>
      </c>
      <c r="R3440" s="2" t="s">
        <v>50</v>
      </c>
      <c r="S3440" s="9">
        <f t="shared" si="269"/>
        <v>0.02</v>
      </c>
    </row>
    <row r="3441" spans="1:19" x14ac:dyDescent="0.3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e">
        <f>VLOOKUP('Customer Info'!B3433,'Customer Info'!B3433:B3932,1,0)</f>
        <v>#N/A</v>
      </c>
      <c r="H3441" s="6" t="e">
        <f>VLOOKUP('Customer Info'!C3433,'Customer Info'!C3433:C3932,1)</f>
        <v>#N/A</v>
      </c>
      <c r="I3441" s="6" t="e">
        <f>VLOOKUP('Customer Info'!E3433,'Customer Info'!E3433:E3932,1,0)</f>
        <v>#N/A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328</v>
      </c>
      <c r="R3441" s="2" t="s">
        <v>28</v>
      </c>
      <c r="S3441" s="9">
        <f t="shared" si="269"/>
        <v>0.05</v>
      </c>
    </row>
    <row r="3442" spans="1:19" x14ac:dyDescent="0.3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e">
        <f>VLOOKUP('Customer Info'!B3434,'Customer Info'!B3434:B3933,1,0)</f>
        <v>#N/A</v>
      </c>
      <c r="H3442" s="6" t="e">
        <f>VLOOKUP('Customer Info'!C3434,'Customer Info'!C3434:C3933,1)</f>
        <v>#N/A</v>
      </c>
      <c r="I3442" s="6" t="e">
        <f>VLOOKUP('Customer Info'!E3434,'Customer Info'!E3434:E3933,1,0)</f>
        <v>#N/A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55</v>
      </c>
      <c r="R3442" s="2" t="s">
        <v>50</v>
      </c>
      <c r="S3442" s="9">
        <f t="shared" si="269"/>
        <v>0.02</v>
      </c>
    </row>
    <row r="3443" spans="1:19" x14ac:dyDescent="0.3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e">
        <f>VLOOKUP('Customer Info'!B3435,'Customer Info'!B3435:B3934,1,0)</f>
        <v>#N/A</v>
      </c>
      <c r="H3443" s="6" t="e">
        <f>VLOOKUP('Customer Info'!C3435,'Customer Info'!C3435:C3934,1)</f>
        <v>#N/A</v>
      </c>
      <c r="I3443" s="6" t="e">
        <f>VLOOKUP('Customer Info'!E3435,'Customer Info'!E3435:E3934,1,0)</f>
        <v>#N/A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429</v>
      </c>
      <c r="R3443" s="2" t="s">
        <v>28</v>
      </c>
      <c r="S3443" s="9">
        <f t="shared" si="269"/>
        <v>0.05</v>
      </c>
    </row>
    <row r="3444" spans="1:19" x14ac:dyDescent="0.3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e">
        <f>VLOOKUP('Customer Info'!B3436,'Customer Info'!B3436:B3935,1,0)</f>
        <v>#N/A</v>
      </c>
      <c r="H3444" s="6" t="e">
        <f>VLOOKUP('Customer Info'!C3436,'Customer Info'!C3436:C3935,1)</f>
        <v>#N/A</v>
      </c>
      <c r="I3444" s="6" t="e">
        <f>VLOOKUP('Customer Info'!E3436,'Customer Info'!E3436:E3935,1,0)</f>
        <v>#N/A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30</v>
      </c>
      <c r="R3444" s="2" t="s">
        <v>28</v>
      </c>
      <c r="S3444" s="9">
        <f t="shared" si="269"/>
        <v>0.02</v>
      </c>
    </row>
    <row r="3445" spans="1:19" x14ac:dyDescent="0.3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e">
        <f>VLOOKUP('Customer Info'!B3437,'Customer Info'!B3437:B3936,1,0)</f>
        <v>#N/A</v>
      </c>
      <c r="H3445" s="6" t="e">
        <f>VLOOKUP('Customer Info'!C3437,'Customer Info'!C3437:C3936,1)</f>
        <v>#N/A</v>
      </c>
      <c r="I3445" s="6" t="e">
        <f>VLOOKUP('Customer Info'!E3437,'Customer Info'!E3437:E3936,1,0)</f>
        <v>#N/A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543</v>
      </c>
      <c r="R3445" s="2" t="s">
        <v>28</v>
      </c>
      <c r="S3445" s="9">
        <f t="shared" si="269"/>
        <v>0.05</v>
      </c>
    </row>
    <row r="3446" spans="1:19" x14ac:dyDescent="0.3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e">
        <f>VLOOKUP('Customer Info'!B3438,'Customer Info'!B3438:B3937,1,0)</f>
        <v>#N/A</v>
      </c>
      <c r="H3446" s="6" t="e">
        <f>VLOOKUP('Customer Info'!C3438,'Customer Info'!C3438:C3937,1)</f>
        <v>#N/A</v>
      </c>
      <c r="I3446" s="6" t="e">
        <f>VLOOKUP('Customer Info'!E3438,'Customer Info'!E3438:E3937,1,0)</f>
        <v>#N/A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85</v>
      </c>
      <c r="R3446" s="2" t="s">
        <v>28</v>
      </c>
      <c r="S3446" s="9">
        <f t="shared" si="269"/>
        <v>0.02</v>
      </c>
    </row>
    <row r="3447" spans="1:19" x14ac:dyDescent="0.3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e">
        <f>VLOOKUP('Customer Info'!B3439,'Customer Info'!B3439:B3938,1,0)</f>
        <v>#N/A</v>
      </c>
      <c r="H3447" s="6" t="e">
        <f>VLOOKUP('Customer Info'!C3439,'Customer Info'!C3439:C3938,1)</f>
        <v>#N/A</v>
      </c>
      <c r="I3447" s="6" t="e">
        <f>VLOOKUP('Customer Info'!E3439,'Customer Info'!E3439:E3938,1,0)</f>
        <v>#N/A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1005</v>
      </c>
      <c r="R3447" s="2" t="s">
        <v>50</v>
      </c>
      <c r="S3447" s="9">
        <f t="shared" si="269"/>
        <v>0.05</v>
      </c>
    </row>
    <row r="3448" spans="1:19" x14ac:dyDescent="0.3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e">
        <f>VLOOKUP('Customer Info'!B3440,'Customer Info'!B3440:B3939,1,0)</f>
        <v>#N/A</v>
      </c>
      <c r="H3448" s="6" t="e">
        <f>VLOOKUP('Customer Info'!C3440,'Customer Info'!C3440:C3939,1)</f>
        <v>#N/A</v>
      </c>
      <c r="I3448" s="6" t="e">
        <f>VLOOKUP('Customer Info'!E3440,'Customer Info'!E3440:E3939,1,0)</f>
        <v>#N/A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330</v>
      </c>
      <c r="R3448" s="2" t="s">
        <v>28</v>
      </c>
      <c r="S3448" s="9">
        <f t="shared" si="269"/>
        <v>0.02</v>
      </c>
    </row>
    <row r="3449" spans="1:19" x14ac:dyDescent="0.3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e">
        <f>VLOOKUP('Customer Info'!B3441,'Customer Info'!B3441:B3940,1,0)</f>
        <v>#N/A</v>
      </c>
      <c r="H3449" s="6" t="e">
        <f>VLOOKUP('Customer Info'!C3441,'Customer Info'!C3441:C3940,1)</f>
        <v>#N/A</v>
      </c>
      <c r="I3449" s="6" t="e">
        <f>VLOOKUP('Customer Info'!E3441,'Customer Info'!E3441:E3940,1,0)</f>
        <v>#N/A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198</v>
      </c>
      <c r="R3449" s="2" t="s">
        <v>28</v>
      </c>
      <c r="S3449" s="9">
        <f t="shared" si="269"/>
        <v>0.02</v>
      </c>
    </row>
    <row r="3450" spans="1:19" x14ac:dyDescent="0.3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e">
        <f>VLOOKUP('Customer Info'!B3442,'Customer Info'!B3442:B3941,1,0)</f>
        <v>#N/A</v>
      </c>
      <c r="H3450" s="6" t="e">
        <f>VLOOKUP('Customer Info'!C3442,'Customer Info'!C3442:C3941,1)</f>
        <v>#N/A</v>
      </c>
      <c r="I3450" s="6" t="e">
        <f>VLOOKUP('Customer Info'!E3442,'Customer Info'!E3442:E3941,1,0)</f>
        <v>#N/A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634</v>
      </c>
      <c r="R3450" s="2" t="s">
        <v>28</v>
      </c>
      <c r="S3450" s="9">
        <f t="shared" si="269"/>
        <v>0.05</v>
      </c>
    </row>
    <row r="3451" spans="1:19" x14ac:dyDescent="0.3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e">
        <f>VLOOKUP('Customer Info'!B3443,'Customer Info'!B3443:B3942,1,0)</f>
        <v>#N/A</v>
      </c>
      <c r="H3451" s="6" t="e">
        <f>VLOOKUP('Customer Info'!C3443,'Customer Info'!C3443:C3942,1)</f>
        <v>#N/A</v>
      </c>
      <c r="I3451" s="6" t="e">
        <f>VLOOKUP('Customer Info'!E3443,'Customer Info'!E3443:E3942,1,0)</f>
        <v>#N/A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1158</v>
      </c>
      <c r="R3451" s="2" t="s">
        <v>26</v>
      </c>
      <c r="S3451" s="9">
        <f t="shared" si="269"/>
        <v>0.05</v>
      </c>
    </row>
    <row r="3452" spans="1:19" x14ac:dyDescent="0.3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e">
        <f>VLOOKUP('Customer Info'!B3444,'Customer Info'!B3444:B3943,1,0)</f>
        <v>#N/A</v>
      </c>
      <c r="H3452" s="6" t="e">
        <f>VLOOKUP('Customer Info'!C3444,'Customer Info'!C3444:C3943,1)</f>
        <v>#N/A</v>
      </c>
      <c r="I3452" s="6" t="e">
        <f>VLOOKUP('Customer Info'!E3444,'Customer Info'!E3444:E3943,1,0)</f>
        <v>#N/A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3648</v>
      </c>
      <c r="R3452" s="2" t="s">
        <v>50</v>
      </c>
      <c r="S3452" s="9">
        <f t="shared" si="269"/>
        <v>7.0000000000000007E-2</v>
      </c>
    </row>
    <row r="3453" spans="1:19" x14ac:dyDescent="0.3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e">
        <f>VLOOKUP('Customer Info'!B3445,'Customer Info'!B3445:B3944,1,0)</f>
        <v>#N/A</v>
      </c>
      <c r="H3453" s="6" t="e">
        <f>VLOOKUP('Customer Info'!C3445,'Customer Info'!C3445:C3944,1)</f>
        <v>#N/A</v>
      </c>
      <c r="I3453" s="6" t="e">
        <f>VLOOKUP('Customer Info'!E3445,'Customer Info'!E3445:E3944,1,0)</f>
        <v>#N/A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46</v>
      </c>
      <c r="R3453" s="2" t="s">
        <v>28</v>
      </c>
      <c r="S3453" s="9">
        <f t="shared" si="269"/>
        <v>0.02</v>
      </c>
    </row>
    <row r="3454" spans="1:19" x14ac:dyDescent="0.3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e">
        <f>VLOOKUP('Customer Info'!B3446,'Customer Info'!B3446:B3945,1,0)</f>
        <v>#N/A</v>
      </c>
      <c r="H3454" s="6" t="e">
        <f>VLOOKUP('Customer Info'!C3446,'Customer Info'!C3446:C3945,1)</f>
        <v>#N/A</v>
      </c>
      <c r="I3454" s="6" t="e">
        <f>VLOOKUP('Customer Info'!E3446,'Customer Info'!E3446:E3945,1,0)</f>
        <v>#N/A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1416</v>
      </c>
      <c r="R3454" s="2" t="s">
        <v>50</v>
      </c>
      <c r="S3454" s="9">
        <f t="shared" si="269"/>
        <v>0.05</v>
      </c>
    </row>
    <row r="3455" spans="1:19" x14ac:dyDescent="0.3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e">
        <f>VLOOKUP('Customer Info'!B3447,'Customer Info'!B3447:B3946,1,0)</f>
        <v>#N/A</v>
      </c>
      <c r="H3455" s="6" t="e">
        <f>VLOOKUP('Customer Info'!C3447,'Customer Info'!C3447:C3946,1)</f>
        <v>#N/A</v>
      </c>
      <c r="I3455" s="6" t="e">
        <f>VLOOKUP('Customer Info'!E3447,'Customer Info'!E3447:E3946,1,0)</f>
        <v>#N/A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210</v>
      </c>
      <c r="R3455" s="2" t="s">
        <v>50</v>
      </c>
      <c r="S3455" s="9">
        <f t="shared" si="269"/>
        <v>0.02</v>
      </c>
    </row>
    <row r="3456" spans="1:19" x14ac:dyDescent="0.3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e">
        <f>VLOOKUP('Customer Info'!B3448,'Customer Info'!B3448:B3947,1,0)</f>
        <v>#N/A</v>
      </c>
      <c r="H3456" s="6" t="e">
        <f>VLOOKUP('Customer Info'!C3448,'Customer Info'!C3448:C3947,1)</f>
        <v>#N/A</v>
      </c>
      <c r="I3456" s="6" t="e">
        <f>VLOOKUP('Customer Info'!E3448,'Customer Info'!E3448:E3947,1,0)</f>
        <v>#N/A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348</v>
      </c>
      <c r="R3456" s="2" t="s">
        <v>28</v>
      </c>
      <c r="S3456" s="9">
        <f t="shared" si="269"/>
        <v>0.05</v>
      </c>
    </row>
    <row r="3457" spans="1:19" x14ac:dyDescent="0.3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e">
        <f>VLOOKUP('Customer Info'!B3449,'Customer Info'!B3449:B3948,1,0)</f>
        <v>#N/A</v>
      </c>
      <c r="H3457" s="6" t="e">
        <f>VLOOKUP('Customer Info'!C3449,'Customer Info'!C3449:C3948,1)</f>
        <v>#N/A</v>
      </c>
      <c r="I3457" s="6" t="e">
        <f>VLOOKUP('Customer Info'!E3449,'Customer Info'!E3449:E3948,1,0)</f>
        <v>#N/A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169</v>
      </c>
      <c r="R3457" s="2" t="s">
        <v>26</v>
      </c>
      <c r="S3457" s="9">
        <f t="shared" si="269"/>
        <v>0.05</v>
      </c>
    </row>
    <row r="3458" spans="1:19" x14ac:dyDescent="0.3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e">
        <f>VLOOKUP('Customer Info'!B3450,'Customer Info'!B3450:B3949,1,0)</f>
        <v>#N/A</v>
      </c>
      <c r="H3458" s="6" t="e">
        <f>VLOOKUP('Customer Info'!C3450,'Customer Info'!C3450:C3949,1)</f>
        <v>#N/A</v>
      </c>
      <c r="I3458" s="6" t="e">
        <f>VLOOKUP('Customer Info'!E3450,'Customer Info'!E3450:E3949,1,0)</f>
        <v>#N/A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170</v>
      </c>
      <c r="R3458" s="2" t="s">
        <v>28</v>
      </c>
      <c r="S3458" s="9">
        <f t="shared" si="269"/>
        <v>0.02</v>
      </c>
    </row>
    <row r="3459" spans="1:19" x14ac:dyDescent="0.3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e">
        <f>VLOOKUP('Customer Info'!B3451,'Customer Info'!B3451:B3950,1,0)</f>
        <v>#N/A</v>
      </c>
      <c r="H3459" s="6" t="e">
        <f>VLOOKUP('Customer Info'!C3451,'Customer Info'!C3451:C3950,1)</f>
        <v>#N/A</v>
      </c>
      <c r="I3459" s="6" t="e">
        <f>VLOOKUP('Customer Info'!E3451,'Customer Info'!E3451:E3950,1,0)</f>
        <v>#N/A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12</v>
      </c>
      <c r="R3459" s="2" t="s">
        <v>28</v>
      </c>
      <c r="S3459" s="9">
        <f t="shared" si="269"/>
        <v>0.02</v>
      </c>
    </row>
    <row r="3460" spans="1:19" x14ac:dyDescent="0.3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e">
        <f>VLOOKUP('Customer Info'!B3452,'Customer Info'!B3452:B3951,1,0)</f>
        <v>#N/A</v>
      </c>
      <c r="H3460" s="6" t="e">
        <f>VLOOKUP('Customer Info'!C3452,'Customer Info'!C3452:C3951,1)</f>
        <v>#N/A</v>
      </c>
      <c r="I3460" s="6" t="e">
        <f>VLOOKUP('Customer Info'!E3452,'Customer Info'!E3452:E3951,1,0)</f>
        <v>#N/A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756</v>
      </c>
      <c r="R3460" s="2" t="s">
        <v>28</v>
      </c>
      <c r="S3460" s="9">
        <f t="shared" si="269"/>
        <v>0.05</v>
      </c>
    </row>
    <row r="3461" spans="1:19" x14ac:dyDescent="0.3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e">
        <f>VLOOKUP('Customer Info'!B3453,'Customer Info'!B3453:B3952,1,0)</f>
        <v>#N/A</v>
      </c>
      <c r="H3461" s="6" t="e">
        <f>VLOOKUP('Customer Info'!C3453,'Customer Info'!C3453:C3952,1)</f>
        <v>#N/A</v>
      </c>
      <c r="I3461" s="6" t="e">
        <f>VLOOKUP('Customer Info'!E3453,'Customer Info'!E3453:E3952,1,0)</f>
        <v>#N/A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3</v>
      </c>
      <c r="R3461" s="2" t="s">
        <v>56</v>
      </c>
      <c r="S3461" s="9">
        <f t="shared" si="269"/>
        <v>0.02</v>
      </c>
    </row>
    <row r="3462" spans="1:19" x14ac:dyDescent="0.3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e">
        <f>VLOOKUP('Customer Info'!B3454,'Customer Info'!B3454:B3953,1,0)</f>
        <v>#N/A</v>
      </c>
      <c r="H3462" s="6" t="e">
        <f>VLOOKUP('Customer Info'!C3454,'Customer Info'!C3454:C3953,1)</f>
        <v>#N/A</v>
      </c>
      <c r="I3462" s="6" t="e">
        <f>VLOOKUP('Customer Info'!E3454,'Customer Info'!E3454:E3953,1,0)</f>
        <v>#N/A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150</v>
      </c>
      <c r="R3462" s="2" t="s">
        <v>28</v>
      </c>
      <c r="S3462" s="9">
        <f t="shared" si="269"/>
        <v>0.02</v>
      </c>
    </row>
    <row r="3463" spans="1:19" x14ac:dyDescent="0.3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e">
        <f>VLOOKUP('Customer Info'!B3455,'Customer Info'!B3455:B3954,1,0)</f>
        <v>#N/A</v>
      </c>
      <c r="H3463" s="6" t="e">
        <f>VLOOKUP('Customer Info'!C3455,'Customer Info'!C3455:C3954,1)</f>
        <v>#N/A</v>
      </c>
      <c r="I3463" s="6" t="e">
        <f>VLOOKUP('Customer Info'!E3455,'Customer Info'!E3455:E3954,1,0)</f>
        <v>#N/A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67</v>
      </c>
      <c r="R3463" s="2" t="s">
        <v>26</v>
      </c>
      <c r="S3463" s="9">
        <f t="shared" si="269"/>
        <v>0.02</v>
      </c>
    </row>
    <row r="3464" spans="1:19" x14ac:dyDescent="0.3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e">
        <f>VLOOKUP('Customer Info'!B3456,'Customer Info'!B3456:B3955,1,0)</f>
        <v>#N/A</v>
      </c>
      <c r="H3464" s="6" t="e">
        <f>VLOOKUP('Customer Info'!C3456,'Customer Info'!C3456:C3955,1)</f>
        <v>#N/A</v>
      </c>
      <c r="I3464" s="6" t="e">
        <f>VLOOKUP('Customer Info'!E3456,'Customer Info'!E3456:E3955,1,0)</f>
        <v>#N/A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162</v>
      </c>
      <c r="R3464" s="2" t="s">
        <v>28</v>
      </c>
      <c r="S3464" s="9">
        <f t="shared" si="269"/>
        <v>0.02</v>
      </c>
    </row>
    <row r="3465" spans="1:19" x14ac:dyDescent="0.3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e">
        <f>VLOOKUP('Customer Info'!B3457,'Customer Info'!B3457:B3956,1,0)</f>
        <v>#N/A</v>
      </c>
      <c r="H3465" s="6" t="e">
        <f>VLOOKUP('Customer Info'!C3457,'Customer Info'!C3457:C3956,1)</f>
        <v>#N/A</v>
      </c>
      <c r="I3465" s="6" t="e">
        <f>VLOOKUP('Customer Info'!E3457,'Customer Info'!E3457:E3956,1,0)</f>
        <v>#N/A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595</v>
      </c>
      <c r="R3465" s="2" t="s">
        <v>50</v>
      </c>
      <c r="S3465" s="9">
        <f t="shared" si="269"/>
        <v>0.05</v>
      </c>
    </row>
    <row r="3466" spans="1:19" x14ac:dyDescent="0.3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e">
        <f>VLOOKUP('Customer Info'!B3458,'Customer Info'!B3458:B3957,1,0)</f>
        <v>#N/A</v>
      </c>
      <c r="H3466" s="6" t="e">
        <f>VLOOKUP('Customer Info'!C3458,'Customer Info'!C3458:C3957,1)</f>
        <v>#N/A</v>
      </c>
      <c r="I3466" s="6" t="e">
        <f>VLOOKUP('Customer Info'!E3458,'Customer Info'!E3458:E3957,1,0)</f>
        <v>#N/A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90</v>
      </c>
      <c r="R3466" s="2" t="s">
        <v>28</v>
      </c>
      <c r="S3466" s="9">
        <f t="shared" si="269"/>
        <v>0.05</v>
      </c>
    </row>
    <row r="3467" spans="1:19" x14ac:dyDescent="0.3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e">
        <f>VLOOKUP('Customer Info'!B3459,'Customer Info'!B3459:B3958,1,0)</f>
        <v>#N/A</v>
      </c>
      <c r="H3467" s="6" t="e">
        <f>VLOOKUP('Customer Info'!C3459,'Customer Info'!C3459:C3958,1)</f>
        <v>#N/A</v>
      </c>
      <c r="I3467" s="6" t="e">
        <f>VLOOKUP('Customer Info'!E3459,'Customer Info'!E3459:E3958,1,0)</f>
        <v>#N/A</v>
      </c>
      <c r="J3467" s="2">
        <v>151</v>
      </c>
      <c r="K3467" s="2">
        <v>139</v>
      </c>
      <c r="L3467" s="2">
        <v>1</v>
      </c>
      <c r="M3467" s="7">
        <f t="shared" ref="M3467:M3530" si="270">(K3467*L3467)</f>
        <v>139</v>
      </c>
      <c r="N3467" s="7">
        <f t="shared" ref="N3467:N3530" si="271">(J3467*L3467)</f>
        <v>151</v>
      </c>
      <c r="O3467" s="2">
        <v>30</v>
      </c>
      <c r="P3467" s="8">
        <f t="shared" ref="P3467:P3530" si="272">(N3467+O3467)</f>
        <v>181</v>
      </c>
      <c r="Q3467" s="8">
        <f t="shared" ref="Q3467:Q3530" si="273">(N3467-M3467)</f>
        <v>12</v>
      </c>
      <c r="R3467" s="2" t="s">
        <v>50</v>
      </c>
      <c r="S3467" s="9">
        <f t="shared" ref="S3467:S3530" si="274">_xlfn.IFS(P3467&gt;250000,0.15,P3467&gt;100000,0.12,P3467&gt;50000,0.09,P3467&gt;25000,0.07,P3467&gt;5000,0.05,
 TRUE,0.02)</f>
        <v>0.02</v>
      </c>
    </row>
    <row r="3468" spans="1:19" x14ac:dyDescent="0.3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e">
        <f>VLOOKUP('Customer Info'!B3460,'Customer Info'!B3460:B3959,1,0)</f>
        <v>#N/A</v>
      </c>
      <c r="H3468" s="6" t="e">
        <f>VLOOKUP('Customer Info'!C3460,'Customer Info'!C3460:C3959,1)</f>
        <v>#N/A</v>
      </c>
      <c r="I3468" s="6" t="e">
        <f>VLOOKUP('Customer Info'!E3460,'Customer Info'!E3460:E3959,1,0)</f>
        <v>#N/A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1029</v>
      </c>
      <c r="R3468" s="2" t="s">
        <v>28</v>
      </c>
      <c r="S3468" s="9">
        <f t="shared" si="274"/>
        <v>0.05</v>
      </c>
    </row>
    <row r="3469" spans="1:19" x14ac:dyDescent="0.3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e">
        <f>VLOOKUP('Customer Info'!B3461,'Customer Info'!B3461:B3960,1,0)</f>
        <v>#N/A</v>
      </c>
      <c r="H3469" s="6" t="e">
        <f>VLOOKUP('Customer Info'!C3461,'Customer Info'!C3461:C3960,1)</f>
        <v>#N/A</v>
      </c>
      <c r="I3469" s="6" t="e">
        <f>VLOOKUP('Customer Info'!E3461,'Customer Info'!E3461:E3960,1,0)</f>
        <v>#N/A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308</v>
      </c>
      <c r="R3469" s="2" t="s">
        <v>26</v>
      </c>
      <c r="S3469" s="9">
        <f t="shared" si="274"/>
        <v>0.05</v>
      </c>
    </row>
    <row r="3470" spans="1:19" x14ac:dyDescent="0.3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e">
        <f>VLOOKUP('Customer Info'!B3462,'Customer Info'!B3462:B3961,1,0)</f>
        <v>#N/A</v>
      </c>
      <c r="H3470" s="6" t="e">
        <f>VLOOKUP('Customer Info'!C3462,'Customer Info'!C3462:C3961,1)</f>
        <v>#N/A</v>
      </c>
      <c r="I3470" s="6" t="e">
        <f>VLOOKUP('Customer Info'!E3462,'Customer Info'!E3462:E3961,1,0)</f>
        <v>#N/A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270</v>
      </c>
      <c r="R3470" s="2" t="s">
        <v>28</v>
      </c>
      <c r="S3470" s="9">
        <f t="shared" si="274"/>
        <v>0.02</v>
      </c>
    </row>
    <row r="3471" spans="1:19" x14ac:dyDescent="0.3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e">
        <f>VLOOKUP('Customer Info'!B3463,'Customer Info'!B3463:B3962,1,0)</f>
        <v>#N/A</v>
      </c>
      <c r="H3471" s="6" t="e">
        <f>VLOOKUP('Customer Info'!C3463,'Customer Info'!C3463:C3962,1)</f>
        <v>#N/A</v>
      </c>
      <c r="I3471" s="6" t="e">
        <f>VLOOKUP('Customer Info'!E3463,'Customer Info'!E3463:E3962,1,0)</f>
        <v>#N/A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1232</v>
      </c>
      <c r="R3471" s="2" t="s">
        <v>50</v>
      </c>
      <c r="S3471" s="9">
        <f t="shared" si="274"/>
        <v>0.05</v>
      </c>
    </row>
    <row r="3472" spans="1:19" x14ac:dyDescent="0.3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e">
        <f>VLOOKUP('Customer Info'!B3464,'Customer Info'!B3464:B3963,1,0)</f>
        <v>#N/A</v>
      </c>
      <c r="H3472" s="6" t="e">
        <f>VLOOKUP('Customer Info'!C3464,'Customer Info'!C3464:C3963,1)</f>
        <v>#N/A</v>
      </c>
      <c r="I3472" s="6" t="e">
        <f>VLOOKUP('Customer Info'!E3464,'Customer Info'!E3464:E3963,1,0)</f>
        <v>#N/A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960</v>
      </c>
      <c r="R3472" s="2" t="s">
        <v>28</v>
      </c>
      <c r="S3472" s="9">
        <f t="shared" si="274"/>
        <v>0.05</v>
      </c>
    </row>
    <row r="3473" spans="1:19" x14ac:dyDescent="0.3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e">
        <f>VLOOKUP('Customer Info'!B3465,'Customer Info'!B3465:B3964,1,0)</f>
        <v>#N/A</v>
      </c>
      <c r="H3473" s="6" t="e">
        <f>VLOOKUP('Customer Info'!C3465,'Customer Info'!C3465:C3964,1)</f>
        <v>#N/A</v>
      </c>
      <c r="I3473" s="6" t="e">
        <f>VLOOKUP('Customer Info'!E3465,'Customer Info'!E3465:E3964,1,0)</f>
        <v>#N/A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36</v>
      </c>
      <c r="R3473" s="2" t="s">
        <v>28</v>
      </c>
      <c r="S3473" s="9">
        <f t="shared" si="274"/>
        <v>0.02</v>
      </c>
    </row>
    <row r="3474" spans="1:19" x14ac:dyDescent="0.3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e">
        <f>VLOOKUP('Customer Info'!B3466,'Customer Info'!B3466:B3965,1,0)</f>
        <v>#N/A</v>
      </c>
      <c r="H3474" s="6" t="e">
        <f>VLOOKUP('Customer Info'!C3466,'Customer Info'!C3466:C3965,1)</f>
        <v>#N/A</v>
      </c>
      <c r="I3474" s="6" t="e">
        <f>VLOOKUP('Customer Info'!E3466,'Customer Info'!E3466:E3965,1,0)</f>
        <v>#N/A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84</v>
      </c>
      <c r="R3474" s="2" t="s">
        <v>28</v>
      </c>
      <c r="S3474" s="9">
        <f t="shared" si="274"/>
        <v>0.02</v>
      </c>
    </row>
    <row r="3475" spans="1:19" x14ac:dyDescent="0.3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e">
        <f>VLOOKUP('Customer Info'!B3467,'Customer Info'!B3467:B3966,1,0)</f>
        <v>#N/A</v>
      </c>
      <c r="H3475" s="6" t="e">
        <f>VLOOKUP('Customer Info'!C3467,'Customer Info'!C3467:C3966,1)</f>
        <v>#N/A</v>
      </c>
      <c r="I3475" s="6" t="e">
        <f>VLOOKUP('Customer Info'!E3467,'Customer Info'!E3467:E3966,1,0)</f>
        <v>#N/A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5</v>
      </c>
      <c r="R3475" s="2" t="s">
        <v>50</v>
      </c>
      <c r="S3475" s="9">
        <f t="shared" si="274"/>
        <v>0.02</v>
      </c>
    </row>
    <row r="3476" spans="1:19" x14ac:dyDescent="0.3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e">
        <f>VLOOKUP('Customer Info'!B3468,'Customer Info'!B3468:B3967,1,0)</f>
        <v>#N/A</v>
      </c>
      <c r="H3476" s="6" t="e">
        <f>VLOOKUP('Customer Info'!C3468,'Customer Info'!C3468:C3967,1)</f>
        <v>#N/A</v>
      </c>
      <c r="I3476" s="6" t="e">
        <f>VLOOKUP('Customer Info'!E3468,'Customer Info'!E3468:E3967,1,0)</f>
        <v>#N/A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15</v>
      </c>
      <c r="R3476" s="2" t="s">
        <v>28</v>
      </c>
      <c r="S3476" s="9">
        <f t="shared" si="274"/>
        <v>0.02</v>
      </c>
    </row>
    <row r="3477" spans="1:19" x14ac:dyDescent="0.3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e">
        <f>VLOOKUP('Customer Info'!B3469,'Customer Info'!B3469:B3968,1,0)</f>
        <v>#N/A</v>
      </c>
      <c r="H3477" s="6" t="e">
        <f>VLOOKUP('Customer Info'!C3469,'Customer Info'!C3469:C3968,1)</f>
        <v>#N/A</v>
      </c>
      <c r="I3477" s="6" t="e">
        <f>VLOOKUP('Customer Info'!E3469,'Customer Info'!E3469:E3968,1,0)</f>
        <v>#N/A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708</v>
      </c>
      <c r="R3477" s="2" t="s">
        <v>28</v>
      </c>
      <c r="S3477" s="9">
        <f t="shared" si="274"/>
        <v>0.05</v>
      </c>
    </row>
    <row r="3478" spans="1:19" x14ac:dyDescent="0.3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e">
        <f>VLOOKUP('Customer Info'!B3470,'Customer Info'!B3470:B3969,1,0)</f>
        <v>#N/A</v>
      </c>
      <c r="H3478" s="6" t="e">
        <f>VLOOKUP('Customer Info'!C3470,'Customer Info'!C3470:C3969,1)</f>
        <v>#N/A</v>
      </c>
      <c r="I3478" s="6" t="e">
        <f>VLOOKUP('Customer Info'!E3470,'Customer Info'!E3470:E3969,1,0)</f>
        <v>#N/A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62</v>
      </c>
      <c r="R3478" s="2" t="s">
        <v>28</v>
      </c>
      <c r="S3478" s="9">
        <f t="shared" si="274"/>
        <v>0.02</v>
      </c>
    </row>
    <row r="3479" spans="1:19" x14ac:dyDescent="0.3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e">
        <f>VLOOKUP('Customer Info'!B3471,'Customer Info'!B3471:B3970,1,0)</f>
        <v>#N/A</v>
      </c>
      <c r="H3479" s="6" t="e">
        <f>VLOOKUP('Customer Info'!C3471,'Customer Info'!C3471:C3970,1)</f>
        <v>#N/A</v>
      </c>
      <c r="I3479" s="6" t="e">
        <f>VLOOKUP('Customer Info'!E3471,'Customer Info'!E3471:E3970,1,0)</f>
        <v>#N/A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236</v>
      </c>
      <c r="R3479" s="2" t="s">
        <v>28</v>
      </c>
      <c r="S3479" s="9">
        <f t="shared" si="274"/>
        <v>0.02</v>
      </c>
    </row>
    <row r="3480" spans="1:19" x14ac:dyDescent="0.3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e">
        <f>VLOOKUP('Customer Info'!B3472,'Customer Info'!B3472:B3971,1,0)</f>
        <v>#N/A</v>
      </c>
      <c r="H3480" s="6" t="e">
        <f>VLOOKUP('Customer Info'!C3472,'Customer Info'!C3472:C3971,1)</f>
        <v>#N/A</v>
      </c>
      <c r="I3480" s="6" t="e">
        <f>VLOOKUP('Customer Info'!E3472,'Customer Info'!E3472:E3971,1,0)</f>
        <v>#N/A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122</v>
      </c>
      <c r="R3480" s="2" t="s">
        <v>50</v>
      </c>
      <c r="S3480" s="9">
        <f t="shared" si="274"/>
        <v>0.02</v>
      </c>
    </row>
    <row r="3481" spans="1:19" x14ac:dyDescent="0.3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e">
        <f>VLOOKUP('Customer Info'!B3473,'Customer Info'!B3473:B3972,1,0)</f>
        <v>#N/A</v>
      </c>
      <c r="H3481" s="6" t="e">
        <f>VLOOKUP('Customer Info'!C3473,'Customer Info'!C3473:C3972,1)</f>
        <v>#N/A</v>
      </c>
      <c r="I3481" s="6" t="e">
        <f>VLOOKUP('Customer Info'!E3473,'Customer Info'!E3473:E3972,1,0)</f>
        <v>#N/A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362</v>
      </c>
      <c r="R3481" s="2" t="s">
        <v>50</v>
      </c>
      <c r="S3481" s="9">
        <f t="shared" si="274"/>
        <v>0.02</v>
      </c>
    </row>
    <row r="3482" spans="1:19" x14ac:dyDescent="0.3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e">
        <f>VLOOKUP('Customer Info'!B3474,'Customer Info'!B3474:B3973,1,0)</f>
        <v>#N/A</v>
      </c>
      <c r="H3482" s="6" t="e">
        <f>VLOOKUP('Customer Info'!C3474,'Customer Info'!C3474:C3973,1)</f>
        <v>#N/A</v>
      </c>
      <c r="I3482" s="6" t="e">
        <f>VLOOKUP('Customer Info'!E3474,'Customer Info'!E3474:E3973,1,0)</f>
        <v>#N/A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31</v>
      </c>
      <c r="R3482" s="2" t="s">
        <v>28</v>
      </c>
      <c r="S3482" s="9">
        <f t="shared" si="274"/>
        <v>0.02</v>
      </c>
    </row>
    <row r="3483" spans="1:19" x14ac:dyDescent="0.3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e">
        <f>VLOOKUP('Customer Info'!B3475,'Customer Info'!B3475:B3974,1,0)</f>
        <v>#N/A</v>
      </c>
      <c r="H3483" s="6" t="e">
        <f>VLOOKUP('Customer Info'!C3475,'Customer Info'!C3475:C3974,1)</f>
        <v>#N/A</v>
      </c>
      <c r="I3483" s="6" t="e">
        <f>VLOOKUP('Customer Info'!E3475,'Customer Info'!E3475:E3974,1,0)</f>
        <v>#N/A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78</v>
      </c>
      <c r="R3483" s="2" t="s">
        <v>50</v>
      </c>
      <c r="S3483" s="9">
        <f t="shared" si="274"/>
        <v>0.02</v>
      </c>
    </row>
    <row r="3484" spans="1:19" x14ac:dyDescent="0.3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e">
        <f>VLOOKUP('Customer Info'!B3476,'Customer Info'!B3476:B3975,1,0)</f>
        <v>#N/A</v>
      </c>
      <c r="H3484" s="6" t="e">
        <f>VLOOKUP('Customer Info'!C3476,'Customer Info'!C3476:C3975,1)</f>
        <v>#N/A</v>
      </c>
      <c r="I3484" s="6" t="e">
        <f>VLOOKUP('Customer Info'!E3476,'Customer Info'!E3476:E3975,1,0)</f>
        <v>#N/A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273</v>
      </c>
      <c r="R3484" s="2" t="s">
        <v>28</v>
      </c>
      <c r="S3484" s="9">
        <f t="shared" si="274"/>
        <v>0.02</v>
      </c>
    </row>
    <row r="3485" spans="1:19" x14ac:dyDescent="0.3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e">
        <f>VLOOKUP('Customer Info'!B3477,'Customer Info'!B3477:B3976,1,0)</f>
        <v>#N/A</v>
      </c>
      <c r="H3485" s="6" t="e">
        <f>VLOOKUP('Customer Info'!C3477,'Customer Info'!C3477:C3976,1)</f>
        <v>#N/A</v>
      </c>
      <c r="I3485" s="6" t="e">
        <f>VLOOKUP('Customer Info'!E3477,'Customer Info'!E3477:E3976,1,0)</f>
        <v>#N/A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190</v>
      </c>
      <c r="R3485" s="2" t="s">
        <v>50</v>
      </c>
      <c r="S3485" s="9">
        <f t="shared" si="274"/>
        <v>0.02</v>
      </c>
    </row>
    <row r="3486" spans="1:19" x14ac:dyDescent="0.3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e">
        <f>VLOOKUP('Customer Info'!B3478,'Customer Info'!B3478:B3977,1,0)</f>
        <v>#N/A</v>
      </c>
      <c r="H3486" s="6" t="e">
        <f>VLOOKUP('Customer Info'!C3478,'Customer Info'!C3478:C3977,1)</f>
        <v>#N/A</v>
      </c>
      <c r="I3486" s="6" t="e">
        <f>VLOOKUP('Customer Info'!E3478,'Customer Info'!E3478:E3977,1,0)</f>
        <v>#N/A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78</v>
      </c>
      <c r="R3486" s="2" t="s">
        <v>50</v>
      </c>
      <c r="S3486" s="9">
        <f t="shared" si="274"/>
        <v>0.02</v>
      </c>
    </row>
    <row r="3487" spans="1:19" x14ac:dyDescent="0.3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e">
        <f>VLOOKUP('Customer Info'!B3479,'Customer Info'!B3479:B3978,1,0)</f>
        <v>#N/A</v>
      </c>
      <c r="H3487" s="6" t="e">
        <f>VLOOKUP('Customer Info'!C3479,'Customer Info'!C3479:C3978,1)</f>
        <v>#N/A</v>
      </c>
      <c r="I3487" s="6" t="e">
        <f>VLOOKUP('Customer Info'!E3479,'Customer Info'!E3479:E3978,1,0)</f>
        <v>#N/A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378</v>
      </c>
      <c r="R3487" s="2" t="s">
        <v>26</v>
      </c>
      <c r="S3487" s="9">
        <f t="shared" si="274"/>
        <v>0.02</v>
      </c>
    </row>
    <row r="3488" spans="1:19" x14ac:dyDescent="0.3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e">
        <f>VLOOKUP('Customer Info'!B3480,'Customer Info'!B3480:B3979,1,0)</f>
        <v>#N/A</v>
      </c>
      <c r="H3488" s="6" t="e">
        <f>VLOOKUP('Customer Info'!C3480,'Customer Info'!C3480:C3979,1)</f>
        <v>#N/A</v>
      </c>
      <c r="I3488" s="6" t="e">
        <f>VLOOKUP('Customer Info'!E3480,'Customer Info'!E3480:E3979,1,0)</f>
        <v>#N/A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5070</v>
      </c>
      <c r="R3488" s="2" t="s">
        <v>28</v>
      </c>
      <c r="S3488" s="9">
        <f t="shared" si="274"/>
        <v>0.09</v>
      </c>
    </row>
    <row r="3489" spans="1:19" x14ac:dyDescent="0.3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e">
        <f>VLOOKUP('Customer Info'!B3481,'Customer Info'!B3481:B3980,1,0)</f>
        <v>#N/A</v>
      </c>
      <c r="H3489" s="6" t="e">
        <f>VLOOKUP('Customer Info'!C3481,'Customer Info'!C3481:C3980,1)</f>
        <v>#N/A</v>
      </c>
      <c r="I3489" s="6" t="e">
        <f>VLOOKUP('Customer Info'!E3481,'Customer Info'!E3481:E3980,1,0)</f>
        <v>#N/A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64</v>
      </c>
      <c r="R3489" s="2" t="s">
        <v>50</v>
      </c>
      <c r="S3489" s="9">
        <f t="shared" si="274"/>
        <v>0.02</v>
      </c>
    </row>
    <row r="3490" spans="1:19" x14ac:dyDescent="0.3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e">
        <f>VLOOKUP('Customer Info'!B3482,'Customer Info'!B3482:B3981,1,0)</f>
        <v>#N/A</v>
      </c>
      <c r="H3490" s="6" t="e">
        <f>VLOOKUP('Customer Info'!C3482,'Customer Info'!C3482:C3981,1)</f>
        <v>#N/A</v>
      </c>
      <c r="I3490" s="6" t="e">
        <f>VLOOKUP('Customer Info'!E3482,'Customer Info'!E3482:E3981,1,0)</f>
        <v>#N/A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366</v>
      </c>
      <c r="R3490" s="2" t="s">
        <v>28</v>
      </c>
      <c r="S3490" s="9">
        <f t="shared" si="274"/>
        <v>0.02</v>
      </c>
    </row>
    <row r="3491" spans="1:19" x14ac:dyDescent="0.3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e">
        <f>VLOOKUP('Customer Info'!B3483,'Customer Info'!B3483:B3982,1,0)</f>
        <v>#N/A</v>
      </c>
      <c r="H3491" s="6" t="e">
        <f>VLOOKUP('Customer Info'!C3483,'Customer Info'!C3483:C3982,1)</f>
        <v>#N/A</v>
      </c>
      <c r="I3491" s="6" t="e">
        <f>VLOOKUP('Customer Info'!E3483,'Customer Info'!E3483:E3982,1,0)</f>
        <v>#N/A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180</v>
      </c>
      <c r="R3491" s="2" t="s">
        <v>26</v>
      </c>
      <c r="S3491" s="9">
        <f t="shared" si="274"/>
        <v>0.02</v>
      </c>
    </row>
    <row r="3492" spans="1:19" x14ac:dyDescent="0.3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e">
        <f>VLOOKUP('Customer Info'!B3484,'Customer Info'!B3484:B3983,1,0)</f>
        <v>#N/A</v>
      </c>
      <c r="H3492" s="6" t="e">
        <f>VLOOKUP('Customer Info'!C3484,'Customer Info'!C3484:C3983,1)</f>
        <v>#N/A</v>
      </c>
      <c r="I3492" s="6" t="e">
        <f>VLOOKUP('Customer Info'!E3484,'Customer Info'!E3484:E3983,1,0)</f>
        <v>#N/A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984</v>
      </c>
      <c r="R3492" s="2" t="s">
        <v>50</v>
      </c>
      <c r="S3492" s="9">
        <f t="shared" si="274"/>
        <v>0.05</v>
      </c>
    </row>
    <row r="3493" spans="1:19" x14ac:dyDescent="0.3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e">
        <f>VLOOKUP('Customer Info'!B3485,'Customer Info'!B3485:B3984,1,0)</f>
        <v>#N/A</v>
      </c>
      <c r="H3493" s="6" t="e">
        <f>VLOOKUP('Customer Info'!C3485,'Customer Info'!C3485:C3984,1)</f>
        <v>#N/A</v>
      </c>
      <c r="I3493" s="6" t="e">
        <f>VLOOKUP('Customer Info'!E3485,'Customer Info'!E3485:E3984,1,0)</f>
        <v>#N/A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660</v>
      </c>
      <c r="R3493" s="2" t="s">
        <v>50</v>
      </c>
      <c r="S3493" s="9">
        <f t="shared" si="274"/>
        <v>7.0000000000000007E-2</v>
      </c>
    </row>
    <row r="3494" spans="1:19" x14ac:dyDescent="0.3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e">
        <f>VLOOKUP('Customer Info'!B3486,'Customer Info'!B3486:B3985,1,0)</f>
        <v>#N/A</v>
      </c>
      <c r="H3494" s="6" t="e">
        <f>VLOOKUP('Customer Info'!C3486,'Customer Info'!C3486:C3985,1)</f>
        <v>#N/A</v>
      </c>
      <c r="I3494" s="6" t="e">
        <f>VLOOKUP('Customer Info'!E3486,'Customer Info'!E3486:E3985,1,0)</f>
        <v>#N/A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360</v>
      </c>
      <c r="R3494" s="2" t="s">
        <v>28</v>
      </c>
      <c r="S3494" s="9">
        <f t="shared" si="274"/>
        <v>0.05</v>
      </c>
    </row>
    <row r="3495" spans="1:19" x14ac:dyDescent="0.3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e">
        <f>VLOOKUP('Customer Info'!B3487,'Customer Info'!B3487:B3986,1,0)</f>
        <v>#N/A</v>
      </c>
      <c r="H3495" s="6" t="e">
        <f>VLOOKUP('Customer Info'!C3487,'Customer Info'!C3487:C3986,1)</f>
        <v>#N/A</v>
      </c>
      <c r="I3495" s="6" t="e">
        <f>VLOOKUP('Customer Info'!E3487,'Customer Info'!E3487:E3986,1,0)</f>
        <v>#N/A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206</v>
      </c>
      <c r="R3495" s="2" t="s">
        <v>28</v>
      </c>
      <c r="S3495" s="9">
        <f t="shared" si="274"/>
        <v>0.02</v>
      </c>
    </row>
    <row r="3496" spans="1:19" x14ac:dyDescent="0.3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e">
        <f>VLOOKUP('Customer Info'!B3488,'Customer Info'!B3488:B3987,1,0)</f>
        <v>#N/A</v>
      </c>
      <c r="H3496" s="6" t="e">
        <f>VLOOKUP('Customer Info'!C3488,'Customer Info'!C3488:C3987,1)</f>
        <v>#N/A</v>
      </c>
      <c r="I3496" s="6" t="e">
        <f>VLOOKUP('Customer Info'!E3488,'Customer Info'!E3488:E3987,1,0)</f>
        <v>#N/A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2007</v>
      </c>
      <c r="R3496" s="2" t="s">
        <v>28</v>
      </c>
      <c r="S3496" s="9">
        <f t="shared" si="274"/>
        <v>0.05</v>
      </c>
    </row>
    <row r="3497" spans="1:19" x14ac:dyDescent="0.3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e">
        <f>VLOOKUP('Customer Info'!B3489,'Customer Info'!B3489:B3988,1,0)</f>
        <v>#N/A</v>
      </c>
      <c r="H3497" s="6" t="e">
        <f>VLOOKUP('Customer Info'!C3489,'Customer Info'!C3489:C3988,1)</f>
        <v>#N/A</v>
      </c>
      <c r="I3497" s="6" t="e">
        <f>VLOOKUP('Customer Info'!E3489,'Customer Info'!E3489:E3988,1,0)</f>
        <v>#N/A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172</v>
      </c>
      <c r="R3497" s="2" t="s">
        <v>28</v>
      </c>
      <c r="S3497" s="9">
        <f t="shared" si="274"/>
        <v>0.05</v>
      </c>
    </row>
    <row r="3498" spans="1:19" x14ac:dyDescent="0.3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e">
        <f>VLOOKUP('Customer Info'!B3490,'Customer Info'!B3490:B3989,1,0)</f>
        <v>#N/A</v>
      </c>
      <c r="H3498" s="6" t="e">
        <f>VLOOKUP('Customer Info'!C3490,'Customer Info'!C3490:C3989,1)</f>
        <v>#N/A</v>
      </c>
      <c r="I3498" s="6" t="e">
        <f>VLOOKUP('Customer Info'!E3490,'Customer Info'!E3490:E3989,1,0)</f>
        <v>#N/A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1928</v>
      </c>
      <c r="R3498" s="2" t="s">
        <v>50</v>
      </c>
      <c r="S3498" s="9">
        <f t="shared" si="274"/>
        <v>0.05</v>
      </c>
    </row>
    <row r="3499" spans="1:19" x14ac:dyDescent="0.3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e">
        <f>VLOOKUP('Customer Info'!B3491,'Customer Info'!B3491:B3990,1,0)</f>
        <v>#N/A</v>
      </c>
      <c r="H3499" s="6" t="e">
        <f>VLOOKUP('Customer Info'!C3491,'Customer Info'!C3491:C3990,1)</f>
        <v>#N/A</v>
      </c>
      <c r="I3499" s="6" t="e">
        <f>VLOOKUP('Customer Info'!E3491,'Customer Info'!E3491:E3990,1,0)</f>
        <v>#N/A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396</v>
      </c>
      <c r="R3499" s="2" t="s">
        <v>28</v>
      </c>
      <c r="S3499" s="9">
        <f t="shared" si="274"/>
        <v>0.05</v>
      </c>
    </row>
    <row r="3500" spans="1:19" x14ac:dyDescent="0.3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e">
        <f>VLOOKUP('Customer Info'!B3492,'Customer Info'!B3492:B3991,1,0)</f>
        <v>#N/A</v>
      </c>
      <c r="H3500" s="6" t="e">
        <f>VLOOKUP('Customer Info'!C3492,'Customer Info'!C3492:C3991,1)</f>
        <v>#N/A</v>
      </c>
      <c r="I3500" s="6" t="e">
        <f>VLOOKUP('Customer Info'!E3492,'Customer Info'!E3492:E3991,1,0)</f>
        <v>#N/A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45</v>
      </c>
      <c r="R3500" s="2" t="s">
        <v>28</v>
      </c>
      <c r="S3500" s="9">
        <f t="shared" si="274"/>
        <v>0.02</v>
      </c>
    </row>
    <row r="3501" spans="1:19" x14ac:dyDescent="0.3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e">
        <f>VLOOKUP('Customer Info'!B3493,'Customer Info'!B3493:B3992,1,0)</f>
        <v>#N/A</v>
      </c>
      <c r="H3501" s="6" t="e">
        <f>VLOOKUP('Customer Info'!C3493,'Customer Info'!C3493:C3992,1)</f>
        <v>#N/A</v>
      </c>
      <c r="I3501" s="6" t="e">
        <f>VLOOKUP('Customer Info'!E3493,'Customer Info'!E3493:E3992,1,0)</f>
        <v>#N/A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420</v>
      </c>
      <c r="R3501" s="2" t="s">
        <v>28</v>
      </c>
      <c r="S3501" s="9">
        <f t="shared" si="274"/>
        <v>0.05</v>
      </c>
    </row>
    <row r="3502" spans="1:19" x14ac:dyDescent="0.3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e">
        <f>VLOOKUP('Customer Info'!B3494,'Customer Info'!B3494:B3993,1,0)</f>
        <v>#N/A</v>
      </c>
      <c r="H3502" s="6" t="e">
        <f>VLOOKUP('Customer Info'!C3494,'Customer Info'!C3494:C3993,1)</f>
        <v>#N/A</v>
      </c>
      <c r="I3502" s="6" t="e">
        <f>VLOOKUP('Customer Info'!E3494,'Customer Info'!E3494:E3993,1,0)</f>
        <v>#N/A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92</v>
      </c>
      <c r="R3502" s="2" t="s">
        <v>28</v>
      </c>
      <c r="S3502" s="9">
        <f t="shared" si="274"/>
        <v>0.02</v>
      </c>
    </row>
    <row r="3503" spans="1:19" x14ac:dyDescent="0.3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e">
        <f>VLOOKUP('Customer Info'!B3495,'Customer Info'!B3495:B3994,1,0)</f>
        <v>#N/A</v>
      </c>
      <c r="H3503" s="6" t="e">
        <f>VLOOKUP('Customer Info'!C3495,'Customer Info'!C3495:C3994,1)</f>
        <v>#N/A</v>
      </c>
      <c r="I3503" s="6" t="e">
        <f>VLOOKUP('Customer Info'!E3495,'Customer Info'!E3495:E3994,1,0)</f>
        <v>#N/A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425</v>
      </c>
      <c r="R3503" s="2" t="s">
        <v>26</v>
      </c>
      <c r="S3503" s="9">
        <f t="shared" si="274"/>
        <v>0.05</v>
      </c>
    </row>
    <row r="3504" spans="1:19" x14ac:dyDescent="0.3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e">
        <f>VLOOKUP('Customer Info'!B3496,'Customer Info'!B3496:B3995,1,0)</f>
        <v>#N/A</v>
      </c>
      <c r="H3504" s="6" t="e">
        <f>VLOOKUP('Customer Info'!C3496,'Customer Info'!C3496:C3995,1)</f>
        <v>#N/A</v>
      </c>
      <c r="I3504" s="6" t="e">
        <f>VLOOKUP('Customer Info'!E3496,'Customer Info'!E3496:E3995,1,0)</f>
        <v>#N/A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644</v>
      </c>
      <c r="R3504" s="2" t="s">
        <v>28</v>
      </c>
      <c r="S3504" s="9">
        <f t="shared" si="274"/>
        <v>0.05</v>
      </c>
    </row>
    <row r="3505" spans="1:19" x14ac:dyDescent="0.3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e">
        <f>VLOOKUP('Customer Info'!B3497,'Customer Info'!B3497:B3996,1,0)</f>
        <v>#N/A</v>
      </c>
      <c r="H3505" s="6" t="e">
        <f>VLOOKUP('Customer Info'!C3497,'Customer Info'!C3497:C3996,1)</f>
        <v>#N/A</v>
      </c>
      <c r="I3505" s="6" t="e">
        <f>VLOOKUP('Customer Info'!E3497,'Customer Info'!E3497:E3996,1,0)</f>
        <v>#N/A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393</v>
      </c>
      <c r="R3505" s="2" t="s">
        <v>28</v>
      </c>
      <c r="S3505" s="9">
        <f t="shared" si="274"/>
        <v>0.05</v>
      </c>
    </row>
    <row r="3506" spans="1:19" x14ac:dyDescent="0.3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e">
        <f>VLOOKUP('Customer Info'!B3498,'Customer Info'!B3498:B3997,1,0)</f>
        <v>#N/A</v>
      </c>
      <c r="H3506" s="6" t="e">
        <f>VLOOKUP('Customer Info'!C3498,'Customer Info'!C3498:C3997,1)</f>
        <v>#N/A</v>
      </c>
      <c r="I3506" s="6" t="e">
        <f>VLOOKUP('Customer Info'!E3498,'Customer Info'!E3498:E3997,1,0)</f>
        <v>#N/A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423</v>
      </c>
      <c r="R3506" s="2" t="s">
        <v>28</v>
      </c>
      <c r="S3506" s="9">
        <f t="shared" si="274"/>
        <v>0.05</v>
      </c>
    </row>
    <row r="3507" spans="1:19" x14ac:dyDescent="0.3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e">
        <f>VLOOKUP('Customer Info'!B3499,'Customer Info'!B3499:B3998,1,0)</f>
        <v>#N/A</v>
      </c>
      <c r="H3507" s="6" t="e">
        <f>VLOOKUP('Customer Info'!C3499,'Customer Info'!C3499:C3998,1)</f>
        <v>#N/A</v>
      </c>
      <c r="I3507" s="6" t="e">
        <f>VLOOKUP('Customer Info'!E3499,'Customer Info'!E3499:E3998,1,0)</f>
        <v>#N/A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54</v>
      </c>
      <c r="R3507" s="2" t="s">
        <v>50</v>
      </c>
      <c r="S3507" s="9">
        <f t="shared" si="274"/>
        <v>0.02</v>
      </c>
    </row>
    <row r="3508" spans="1:19" x14ac:dyDescent="0.3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e">
        <f>VLOOKUP('Customer Info'!B3500,'Customer Info'!B3500:B3999,1,0)</f>
        <v>#N/A</v>
      </c>
      <c r="H3508" s="6" t="e">
        <f>VLOOKUP('Customer Info'!C3500,'Customer Info'!C3500:C3999,1)</f>
        <v>#N/A</v>
      </c>
      <c r="I3508" s="6" t="e">
        <f>VLOOKUP('Customer Info'!E3500,'Customer Info'!E3500:E3999,1,0)</f>
        <v>#N/A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322</v>
      </c>
      <c r="R3508" s="2" t="s">
        <v>26</v>
      </c>
      <c r="S3508" s="9">
        <f t="shared" si="274"/>
        <v>0.02</v>
      </c>
    </row>
    <row r="3509" spans="1:19" x14ac:dyDescent="0.3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e">
        <f>VLOOKUP('Customer Info'!B3501,'Customer Info'!B3501:B4000,1,0)</f>
        <v>#N/A</v>
      </c>
      <c r="H3509" s="6" t="e">
        <f>VLOOKUP('Customer Info'!C3501,'Customer Info'!C3501:C4000,1)</f>
        <v>#N/A</v>
      </c>
      <c r="I3509" s="6" t="e">
        <f>VLOOKUP('Customer Info'!E3501,'Customer Info'!E3501:E4000,1,0)</f>
        <v>#N/A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5970</v>
      </c>
      <c r="R3509" s="2" t="s">
        <v>26</v>
      </c>
      <c r="S3509" s="9">
        <f t="shared" si="274"/>
        <v>0.09</v>
      </c>
    </row>
    <row r="3510" spans="1:19" x14ac:dyDescent="0.3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e">
        <f>VLOOKUP('Customer Info'!B3502,'Customer Info'!B3502:B4001,1,0)</f>
        <v>#N/A</v>
      </c>
      <c r="H3510" s="6" t="e">
        <f>VLOOKUP('Customer Info'!C3502,'Customer Info'!C3502:C4001,1)</f>
        <v>#N/A</v>
      </c>
      <c r="I3510" s="6" t="e">
        <f>VLOOKUP('Customer Info'!E3502,'Customer Info'!E3502:E4001,1,0)</f>
        <v>#N/A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360</v>
      </c>
      <c r="R3510" s="2" t="s">
        <v>28</v>
      </c>
      <c r="S3510" s="9">
        <f t="shared" si="274"/>
        <v>0.02</v>
      </c>
    </row>
    <row r="3511" spans="1:19" x14ac:dyDescent="0.3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e">
        <f>VLOOKUP('Customer Info'!B3503,'Customer Info'!B3503:B4002,1,0)</f>
        <v>#N/A</v>
      </c>
      <c r="H3511" s="6" t="e">
        <f>VLOOKUP('Customer Info'!C3503,'Customer Info'!C3503:C4002,1)</f>
        <v>#N/A</v>
      </c>
      <c r="I3511" s="6" t="e">
        <f>VLOOKUP('Customer Info'!E3503,'Customer Info'!E3503:E4002,1,0)</f>
        <v>#N/A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654</v>
      </c>
      <c r="R3511" s="2" t="s">
        <v>28</v>
      </c>
      <c r="S3511" s="9">
        <f t="shared" si="274"/>
        <v>0.05</v>
      </c>
    </row>
    <row r="3512" spans="1:19" x14ac:dyDescent="0.3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e">
        <f>VLOOKUP('Customer Info'!B3504,'Customer Info'!B3504:B4003,1,0)</f>
        <v>#N/A</v>
      </c>
      <c r="H3512" s="6" t="e">
        <f>VLOOKUP('Customer Info'!C3504,'Customer Info'!C3504:C4003,1)</f>
        <v>#N/A</v>
      </c>
      <c r="I3512" s="6" t="e">
        <f>VLOOKUP('Customer Info'!E3504,'Customer Info'!E3504:E4003,1,0)</f>
        <v>#N/A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77</v>
      </c>
      <c r="R3512" s="2" t="s">
        <v>50</v>
      </c>
      <c r="S3512" s="9">
        <f t="shared" si="274"/>
        <v>0.02</v>
      </c>
    </row>
    <row r="3513" spans="1:19" x14ac:dyDescent="0.3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e">
        <f>VLOOKUP('Customer Info'!B3505,'Customer Info'!B3505:B4004,1,0)</f>
        <v>#N/A</v>
      </c>
      <c r="H3513" s="6" t="e">
        <f>VLOOKUP('Customer Info'!C3505,'Customer Info'!C3505:C4004,1)</f>
        <v>#N/A</v>
      </c>
      <c r="I3513" s="6" t="e">
        <f>VLOOKUP('Customer Info'!E3505,'Customer Info'!E3505:E4004,1,0)</f>
        <v>#N/A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42</v>
      </c>
      <c r="R3513" s="2" t="s">
        <v>28</v>
      </c>
      <c r="S3513" s="9">
        <f t="shared" si="274"/>
        <v>0.02</v>
      </c>
    </row>
    <row r="3514" spans="1:19" x14ac:dyDescent="0.3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e">
        <f>VLOOKUP('Customer Info'!B3506,'Customer Info'!B3506:B4005,1,0)</f>
        <v>#N/A</v>
      </c>
      <c r="H3514" s="6" t="e">
        <f>VLOOKUP('Customer Info'!C3506,'Customer Info'!C3506:C4005,1)</f>
        <v>#N/A</v>
      </c>
      <c r="I3514" s="6" t="e">
        <f>VLOOKUP('Customer Info'!E3506,'Customer Info'!E3506:E4005,1,0)</f>
        <v>#N/A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288</v>
      </c>
      <c r="R3514" s="2" t="s">
        <v>28</v>
      </c>
      <c r="S3514" s="9">
        <f t="shared" si="274"/>
        <v>0.02</v>
      </c>
    </row>
    <row r="3515" spans="1:19" x14ac:dyDescent="0.3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e">
        <f>VLOOKUP('Customer Info'!B3507,'Customer Info'!B3507:B4006,1,0)</f>
        <v>#N/A</v>
      </c>
      <c r="H3515" s="6" t="e">
        <f>VLOOKUP('Customer Info'!C3507,'Customer Info'!C3507:C4006,1)</f>
        <v>#N/A</v>
      </c>
      <c r="I3515" s="6" t="e">
        <f>VLOOKUP('Customer Info'!E3507,'Customer Info'!E3507:E4006,1,0)</f>
        <v>#N/A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119</v>
      </c>
      <c r="R3515" s="2" t="s">
        <v>28</v>
      </c>
      <c r="S3515" s="9">
        <f t="shared" si="274"/>
        <v>0.02</v>
      </c>
    </row>
    <row r="3516" spans="1:19" x14ac:dyDescent="0.3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e">
        <f>VLOOKUP('Customer Info'!B3508,'Customer Info'!B3508:B4007,1,0)</f>
        <v>#N/A</v>
      </c>
      <c r="H3516" s="6" t="e">
        <f>VLOOKUP('Customer Info'!C3508,'Customer Info'!C3508:C4007,1)</f>
        <v>#N/A</v>
      </c>
      <c r="I3516" s="6" t="e">
        <f>VLOOKUP('Customer Info'!E3508,'Customer Info'!E3508:E4007,1,0)</f>
        <v>#N/A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25</v>
      </c>
      <c r="R3516" s="2" t="s">
        <v>28</v>
      </c>
      <c r="S3516" s="9">
        <f t="shared" si="274"/>
        <v>0.02</v>
      </c>
    </row>
    <row r="3517" spans="1:19" x14ac:dyDescent="0.3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e">
        <f>VLOOKUP('Customer Info'!B3509,'Customer Info'!B3509:B4008,1,0)</f>
        <v>#N/A</v>
      </c>
      <c r="H3517" s="6" t="e">
        <f>VLOOKUP('Customer Info'!C3509,'Customer Info'!C3509:C4008,1)</f>
        <v>#N/A</v>
      </c>
      <c r="I3517" s="6" t="e">
        <f>VLOOKUP('Customer Info'!E3509,'Customer Info'!E3509:E4008,1,0)</f>
        <v>#N/A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1194</v>
      </c>
      <c r="R3517" s="2" t="s">
        <v>50</v>
      </c>
      <c r="S3517" s="9">
        <f t="shared" si="274"/>
        <v>7.0000000000000007E-2</v>
      </c>
    </row>
    <row r="3518" spans="1:19" x14ac:dyDescent="0.3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e">
        <f>VLOOKUP('Customer Info'!B3510,'Customer Info'!B3510:B4009,1,0)</f>
        <v>#N/A</v>
      </c>
      <c r="H3518" s="6" t="e">
        <f>VLOOKUP('Customer Info'!C3510,'Customer Info'!C3510:C4009,1)</f>
        <v>#N/A</v>
      </c>
      <c r="I3518" s="6" t="e">
        <f>VLOOKUP('Customer Info'!E3510,'Customer Info'!E3510:E4009,1,0)</f>
        <v>#N/A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264</v>
      </c>
      <c r="R3518" s="2" t="s">
        <v>28</v>
      </c>
      <c r="S3518" s="9">
        <f t="shared" si="274"/>
        <v>0.05</v>
      </c>
    </row>
    <row r="3519" spans="1:19" x14ac:dyDescent="0.3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e">
        <f>VLOOKUP('Customer Info'!B3511,'Customer Info'!B3511:B4010,1,0)</f>
        <v>#N/A</v>
      </c>
      <c r="H3519" s="6" t="e">
        <f>VLOOKUP('Customer Info'!C3511,'Customer Info'!C3511:C4010,1)</f>
        <v>#N/A</v>
      </c>
      <c r="I3519" s="6" t="e">
        <f>VLOOKUP('Customer Info'!E3511,'Customer Info'!E3511:E4010,1,0)</f>
        <v>#N/A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42</v>
      </c>
      <c r="R3519" s="2" t="s">
        <v>28</v>
      </c>
      <c r="S3519" s="9">
        <f t="shared" si="274"/>
        <v>0.02</v>
      </c>
    </row>
    <row r="3520" spans="1:19" x14ac:dyDescent="0.3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e">
        <f>VLOOKUP('Customer Info'!B3512,'Customer Info'!B3512:B4011,1,0)</f>
        <v>#N/A</v>
      </c>
      <c r="H3520" s="6" t="e">
        <f>VLOOKUP('Customer Info'!C3512,'Customer Info'!C3512:C4011,1)</f>
        <v>#N/A</v>
      </c>
      <c r="I3520" s="6" t="e">
        <f>VLOOKUP('Customer Info'!E3512,'Customer Info'!E3512:E4011,1,0)</f>
        <v>#N/A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-3</v>
      </c>
      <c r="R3520" s="2" t="s">
        <v>28</v>
      </c>
      <c r="S3520" s="9">
        <f t="shared" si="274"/>
        <v>0.05</v>
      </c>
    </row>
    <row r="3521" spans="1:19" x14ac:dyDescent="0.3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e">
        <f>VLOOKUP('Customer Info'!B3513,'Customer Info'!B3513:B4012,1,0)</f>
        <v>#N/A</v>
      </c>
      <c r="H3521" s="6" t="e">
        <f>VLOOKUP('Customer Info'!C3513,'Customer Info'!C3513:C4012,1)</f>
        <v>#N/A</v>
      </c>
      <c r="I3521" s="6" t="e">
        <f>VLOOKUP('Customer Info'!E3513,'Customer Info'!E3513:E4012,1,0)</f>
        <v>#N/A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2340</v>
      </c>
      <c r="R3521" s="2" t="s">
        <v>28</v>
      </c>
      <c r="S3521" s="9">
        <f t="shared" si="274"/>
        <v>7.0000000000000007E-2</v>
      </c>
    </row>
    <row r="3522" spans="1:19" x14ac:dyDescent="0.3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e">
        <f>VLOOKUP('Customer Info'!B3514,'Customer Info'!B3514:B4013,1,0)</f>
        <v>#N/A</v>
      </c>
      <c r="H3522" s="6" t="e">
        <f>VLOOKUP('Customer Info'!C3514,'Customer Info'!C3514:C4013,1)</f>
        <v>#N/A</v>
      </c>
      <c r="I3522" s="6" t="e">
        <f>VLOOKUP('Customer Info'!E3514,'Customer Info'!E3514:E4013,1,0)</f>
        <v>#N/A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88</v>
      </c>
      <c r="R3522" s="2" t="s">
        <v>28</v>
      </c>
      <c r="S3522" s="9">
        <f t="shared" si="274"/>
        <v>0.02</v>
      </c>
    </row>
    <row r="3523" spans="1:19" x14ac:dyDescent="0.3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e">
        <f>VLOOKUP('Customer Info'!B3515,'Customer Info'!B3515:B4014,1,0)</f>
        <v>#N/A</v>
      </c>
      <c r="H3523" s="6" t="e">
        <f>VLOOKUP('Customer Info'!C3515,'Customer Info'!C3515:C4014,1)</f>
        <v>#N/A</v>
      </c>
      <c r="I3523" s="6" t="e">
        <f>VLOOKUP('Customer Info'!E3515,'Customer Info'!E3515:E4014,1,0)</f>
        <v>#N/A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666</v>
      </c>
      <c r="R3523" s="2" t="s">
        <v>50</v>
      </c>
      <c r="S3523" s="9">
        <f t="shared" si="274"/>
        <v>0.05</v>
      </c>
    </row>
    <row r="3524" spans="1:19" x14ac:dyDescent="0.3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e">
        <f>VLOOKUP('Customer Info'!B3516,'Customer Info'!B3516:B4015,1,0)</f>
        <v>#N/A</v>
      </c>
      <c r="H3524" s="6" t="e">
        <f>VLOOKUP('Customer Info'!C3516,'Customer Info'!C3516:C4015,1)</f>
        <v>#N/A</v>
      </c>
      <c r="I3524" s="6" t="e">
        <f>VLOOKUP('Customer Info'!E3516,'Customer Info'!E3516:E4015,1,0)</f>
        <v>#N/A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364</v>
      </c>
      <c r="R3524" s="2" t="s">
        <v>28</v>
      </c>
      <c r="S3524" s="9">
        <f t="shared" si="274"/>
        <v>0.05</v>
      </c>
    </row>
    <row r="3525" spans="1:19" x14ac:dyDescent="0.3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e">
        <f>VLOOKUP('Customer Info'!B3517,'Customer Info'!B3517:B4016,1,0)</f>
        <v>#N/A</v>
      </c>
      <c r="H3525" s="6" t="e">
        <f>VLOOKUP('Customer Info'!C3517,'Customer Info'!C3517:C4016,1)</f>
        <v>#N/A</v>
      </c>
      <c r="I3525" s="6" t="e">
        <f>VLOOKUP('Customer Info'!E3517,'Customer Info'!E3517:E4016,1,0)</f>
        <v>#N/A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323</v>
      </c>
      <c r="R3525" s="2" t="s">
        <v>28</v>
      </c>
      <c r="S3525" s="9">
        <f t="shared" si="274"/>
        <v>0.02</v>
      </c>
    </row>
    <row r="3526" spans="1:19" x14ac:dyDescent="0.3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e">
        <f>VLOOKUP('Customer Info'!B3518,'Customer Info'!B3518:B4017,1,0)</f>
        <v>#N/A</v>
      </c>
      <c r="H3526" s="6" t="e">
        <f>VLOOKUP('Customer Info'!C3518,'Customer Info'!C3518:C4017,1)</f>
        <v>#N/A</v>
      </c>
      <c r="I3526" s="6" t="e">
        <f>VLOOKUP('Customer Info'!E3518,'Customer Info'!E3518:E4017,1,0)</f>
        <v>#N/A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1802</v>
      </c>
      <c r="R3526" s="2" t="s">
        <v>56</v>
      </c>
      <c r="S3526" s="9">
        <f t="shared" si="274"/>
        <v>0.05</v>
      </c>
    </row>
    <row r="3527" spans="1:19" x14ac:dyDescent="0.3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e">
        <f>VLOOKUP('Customer Info'!B3519,'Customer Info'!B3519:B4018,1,0)</f>
        <v>#N/A</v>
      </c>
      <c r="H3527" s="6" t="e">
        <f>VLOOKUP('Customer Info'!C3519,'Customer Info'!C3519:C4018,1)</f>
        <v>#N/A</v>
      </c>
      <c r="I3527" s="6" t="e">
        <f>VLOOKUP('Customer Info'!E3519,'Customer Info'!E3519:E4018,1,0)</f>
        <v>#N/A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1593</v>
      </c>
      <c r="R3527" s="2" t="s">
        <v>28</v>
      </c>
      <c r="S3527" s="9">
        <f t="shared" si="274"/>
        <v>0.05</v>
      </c>
    </row>
    <row r="3528" spans="1:19" x14ac:dyDescent="0.3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e">
        <f>VLOOKUP('Customer Info'!B3520,'Customer Info'!B3520:B4019,1,0)</f>
        <v>#N/A</v>
      </c>
      <c r="H3528" s="6" t="e">
        <f>VLOOKUP('Customer Info'!C3520,'Customer Info'!C3520:C4019,1)</f>
        <v>#N/A</v>
      </c>
      <c r="I3528" s="6" t="e">
        <f>VLOOKUP('Customer Info'!E3520,'Customer Info'!E3520:E4019,1,0)</f>
        <v>#N/A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486</v>
      </c>
      <c r="R3528" s="2" t="s">
        <v>28</v>
      </c>
      <c r="S3528" s="9">
        <f t="shared" si="274"/>
        <v>0.05</v>
      </c>
    </row>
    <row r="3529" spans="1:19" x14ac:dyDescent="0.3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e">
        <f>VLOOKUP('Customer Info'!B3521,'Customer Info'!B3521:B4020,1,0)</f>
        <v>#N/A</v>
      </c>
      <c r="H3529" s="6" t="e">
        <f>VLOOKUP('Customer Info'!C3521,'Customer Info'!C3521:C4020,1)</f>
        <v>#N/A</v>
      </c>
      <c r="I3529" s="6" t="e">
        <f>VLOOKUP('Customer Info'!E3521,'Customer Info'!E3521:E4020,1,0)</f>
        <v>#N/A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124</v>
      </c>
      <c r="R3529" s="2" t="s">
        <v>28</v>
      </c>
      <c r="S3529" s="9">
        <f t="shared" si="274"/>
        <v>0.02</v>
      </c>
    </row>
    <row r="3530" spans="1:19" x14ac:dyDescent="0.3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e">
        <f>VLOOKUP('Customer Info'!B3522,'Customer Info'!B3522:B4021,1,0)</f>
        <v>#N/A</v>
      </c>
      <c r="H3530" s="6" t="e">
        <f>VLOOKUP('Customer Info'!C3522,'Customer Info'!C3522:C4021,1)</f>
        <v>#N/A</v>
      </c>
      <c r="I3530" s="6" t="e">
        <f>VLOOKUP('Customer Info'!E3522,'Customer Info'!E3522:E4021,1,0)</f>
        <v>#N/A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108</v>
      </c>
      <c r="R3530" s="2" t="s">
        <v>28</v>
      </c>
      <c r="S3530" s="9">
        <f t="shared" si="274"/>
        <v>0.02</v>
      </c>
    </row>
    <row r="3531" spans="1:19" x14ac:dyDescent="0.3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e">
        <f>VLOOKUP('Customer Info'!B3523,'Customer Info'!B3523:B4022,1,0)</f>
        <v>#N/A</v>
      </c>
      <c r="H3531" s="6" t="e">
        <f>VLOOKUP('Customer Info'!C3523,'Customer Info'!C3523:C4022,1)</f>
        <v>#N/A</v>
      </c>
      <c r="I3531" s="6" t="e">
        <f>VLOOKUP('Customer Info'!E3523,'Customer Info'!E3523:E4022,1,0)</f>
        <v>#N/A</v>
      </c>
      <c r="J3531" s="2">
        <v>1372</v>
      </c>
      <c r="K3531" s="2">
        <v>1308</v>
      </c>
      <c r="L3531" s="2">
        <v>4</v>
      </c>
      <c r="M3531" s="7">
        <f t="shared" ref="M3531:M3594" si="275">(K3531*L3531)</f>
        <v>5232</v>
      </c>
      <c r="N3531" s="7">
        <f t="shared" ref="N3531:N3594" si="276">(J3531*L3531)</f>
        <v>5488</v>
      </c>
      <c r="O3531" s="2">
        <v>99</v>
      </c>
      <c r="P3531" s="8">
        <f t="shared" ref="P3531:P3594" si="277">(N3531+O3531)</f>
        <v>5587</v>
      </c>
      <c r="Q3531" s="8">
        <f t="shared" ref="Q3531:Q3594" si="278">(N3531-M3531)</f>
        <v>256</v>
      </c>
      <c r="R3531" s="2" t="s">
        <v>28</v>
      </c>
      <c r="S3531" s="9">
        <f t="shared" ref="S3531:S3594" si="279">_xlfn.IFS(P3531&gt;250000,0.15,P3531&gt;100000,0.12,P3531&gt;50000,0.09,P3531&gt;25000,0.07,P3531&gt;5000,0.05,
 TRUE,0.02)</f>
        <v>0.05</v>
      </c>
    </row>
    <row r="3532" spans="1:19" x14ac:dyDescent="0.3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e">
        <f>VLOOKUP('Customer Info'!B3524,'Customer Info'!B3524:B4023,1,0)</f>
        <v>#N/A</v>
      </c>
      <c r="H3532" s="6" t="e">
        <f>VLOOKUP('Customer Info'!C3524,'Customer Info'!C3524:C4023,1)</f>
        <v>#N/A</v>
      </c>
      <c r="I3532" s="6" t="e">
        <f>VLOOKUP('Customer Info'!E3524,'Customer Info'!E3524:E4023,1,0)</f>
        <v>#N/A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100</v>
      </c>
      <c r="R3532" s="2" t="s">
        <v>50</v>
      </c>
      <c r="S3532" s="9">
        <f t="shared" si="279"/>
        <v>0.02</v>
      </c>
    </row>
    <row r="3533" spans="1:19" x14ac:dyDescent="0.3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e">
        <f>VLOOKUP('Customer Info'!B3525,'Customer Info'!B3525:B4024,1,0)</f>
        <v>#N/A</v>
      </c>
      <c r="H3533" s="6" t="e">
        <f>VLOOKUP('Customer Info'!C3525,'Customer Info'!C3525:C4024,1)</f>
        <v>#N/A</v>
      </c>
      <c r="I3533" s="6" t="e">
        <f>VLOOKUP('Customer Info'!E3525,'Customer Info'!E3525:E4024,1,0)</f>
        <v>#N/A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80</v>
      </c>
      <c r="R3533" s="2" t="s">
        <v>50</v>
      </c>
      <c r="S3533" s="9">
        <f t="shared" si="279"/>
        <v>0.02</v>
      </c>
    </row>
    <row r="3534" spans="1:19" x14ac:dyDescent="0.3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e">
        <f>VLOOKUP('Customer Info'!B3526,'Customer Info'!B3526:B4025,1,0)</f>
        <v>#N/A</v>
      </c>
      <c r="H3534" s="6" t="e">
        <f>VLOOKUP('Customer Info'!C3526,'Customer Info'!C3526:C4025,1)</f>
        <v>#N/A</v>
      </c>
      <c r="I3534" s="6" t="e">
        <f>VLOOKUP('Customer Info'!E3526,'Customer Info'!E3526:E4025,1,0)</f>
        <v>#N/A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762</v>
      </c>
      <c r="R3534" s="2" t="s">
        <v>50</v>
      </c>
      <c r="S3534" s="9">
        <f t="shared" si="279"/>
        <v>0.05</v>
      </c>
    </row>
    <row r="3535" spans="1:19" x14ac:dyDescent="0.3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e">
        <f>VLOOKUP('Customer Info'!B3527,'Customer Info'!B3527:B4026,1,0)</f>
        <v>#N/A</v>
      </c>
      <c r="H3535" s="6" t="e">
        <f>VLOOKUP('Customer Info'!C3527,'Customer Info'!C3527:C4026,1)</f>
        <v>#N/A</v>
      </c>
      <c r="I3535" s="6" t="e">
        <f>VLOOKUP('Customer Info'!E3527,'Customer Info'!E3527:E4026,1,0)</f>
        <v>#N/A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331</v>
      </c>
      <c r="R3535" s="2" t="s">
        <v>50</v>
      </c>
      <c r="S3535" s="9">
        <f t="shared" si="279"/>
        <v>0.05</v>
      </c>
    </row>
    <row r="3536" spans="1:19" x14ac:dyDescent="0.3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e">
        <f>VLOOKUP('Customer Info'!B3528,'Customer Info'!B3528:B4027,1,0)</f>
        <v>#N/A</v>
      </c>
      <c r="H3536" s="6" t="e">
        <f>VLOOKUP('Customer Info'!C3528,'Customer Info'!C3528:C4027,1)</f>
        <v>#N/A</v>
      </c>
      <c r="I3536" s="6" t="e">
        <f>VLOOKUP('Customer Info'!E3528,'Customer Info'!E3528:E4027,1,0)</f>
        <v>#N/A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398</v>
      </c>
      <c r="R3536" s="2" t="s">
        <v>28</v>
      </c>
      <c r="S3536" s="9">
        <f t="shared" si="279"/>
        <v>0.02</v>
      </c>
    </row>
    <row r="3537" spans="1:19" x14ac:dyDescent="0.3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e">
        <f>VLOOKUP('Customer Info'!B3529,'Customer Info'!B3529:B4028,1,0)</f>
        <v>#N/A</v>
      </c>
      <c r="H3537" s="6" t="e">
        <f>VLOOKUP('Customer Info'!C3529,'Customer Info'!C3529:C4028,1)</f>
        <v>#N/A</v>
      </c>
      <c r="I3537" s="6" t="e">
        <f>VLOOKUP('Customer Info'!E3529,'Customer Info'!E3529:E4028,1,0)</f>
        <v>#N/A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3255</v>
      </c>
      <c r="R3537" s="2" t="s">
        <v>28</v>
      </c>
      <c r="S3537" s="9">
        <f t="shared" si="279"/>
        <v>7.0000000000000007E-2</v>
      </c>
    </row>
    <row r="3538" spans="1:19" x14ac:dyDescent="0.3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e">
        <f>VLOOKUP('Customer Info'!B3530,'Customer Info'!B3530:B4029,1,0)</f>
        <v>#N/A</v>
      </c>
      <c r="H3538" s="6" t="e">
        <f>VLOOKUP('Customer Info'!C3530,'Customer Info'!C3530:C4029,1)</f>
        <v>#N/A</v>
      </c>
      <c r="I3538" s="6" t="e">
        <f>VLOOKUP('Customer Info'!E3530,'Customer Info'!E3530:E4029,1,0)</f>
        <v>#N/A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70</v>
      </c>
      <c r="R3538" s="2" t="s">
        <v>26</v>
      </c>
      <c r="S3538" s="9">
        <f t="shared" si="279"/>
        <v>0.02</v>
      </c>
    </row>
    <row r="3539" spans="1:19" x14ac:dyDescent="0.3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e">
        <f>VLOOKUP('Customer Info'!B3531,'Customer Info'!B3531:B4030,1,0)</f>
        <v>#N/A</v>
      </c>
      <c r="H3539" s="6" t="e">
        <f>VLOOKUP('Customer Info'!C3531,'Customer Info'!C3531:C4030,1)</f>
        <v>#N/A</v>
      </c>
      <c r="I3539" s="6" t="e">
        <f>VLOOKUP('Customer Info'!E3531,'Customer Info'!E3531:E4030,1,0)</f>
        <v>#N/A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531</v>
      </c>
      <c r="R3539" s="2" t="s">
        <v>26</v>
      </c>
      <c r="S3539" s="9">
        <f t="shared" si="279"/>
        <v>0.02</v>
      </c>
    </row>
    <row r="3540" spans="1:19" x14ac:dyDescent="0.3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e">
        <f>VLOOKUP('Customer Info'!B3532,'Customer Info'!B3532:B4031,1,0)</f>
        <v>#N/A</v>
      </c>
      <c r="H3540" s="6" t="e">
        <f>VLOOKUP('Customer Info'!C3532,'Customer Info'!C3532:C4031,1)</f>
        <v>#N/A</v>
      </c>
      <c r="I3540" s="6" t="e">
        <f>VLOOKUP('Customer Info'!E3532,'Customer Info'!E3532:E4031,1,0)</f>
        <v>#N/A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10</v>
      </c>
      <c r="R3540" s="2" t="s">
        <v>28</v>
      </c>
      <c r="S3540" s="9">
        <f t="shared" si="279"/>
        <v>0.02</v>
      </c>
    </row>
    <row r="3541" spans="1:19" x14ac:dyDescent="0.3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e">
        <f>VLOOKUP('Customer Info'!B3533,'Customer Info'!B3533:B4032,1,0)</f>
        <v>#N/A</v>
      </c>
      <c r="H3541" s="6" t="e">
        <f>VLOOKUP('Customer Info'!C3533,'Customer Info'!C3533:C4032,1)</f>
        <v>#N/A</v>
      </c>
      <c r="I3541" s="6" t="e">
        <f>VLOOKUP('Customer Info'!E3533,'Customer Info'!E3533:E4032,1,0)</f>
        <v>#N/A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330</v>
      </c>
      <c r="R3541" s="2" t="s">
        <v>28</v>
      </c>
      <c r="S3541" s="9">
        <f t="shared" si="279"/>
        <v>0.05</v>
      </c>
    </row>
    <row r="3542" spans="1:19" x14ac:dyDescent="0.3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e">
        <f>VLOOKUP('Customer Info'!B3534,'Customer Info'!B3534:B4033,1,0)</f>
        <v>#N/A</v>
      </c>
      <c r="H3542" s="6" t="e">
        <f>VLOOKUP('Customer Info'!C3534,'Customer Info'!C3534:C4033,1)</f>
        <v>#N/A</v>
      </c>
      <c r="I3542" s="6" t="e">
        <f>VLOOKUP('Customer Info'!E3534,'Customer Info'!E3534:E4033,1,0)</f>
        <v>#N/A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340</v>
      </c>
      <c r="R3542" s="2" t="s">
        <v>50</v>
      </c>
      <c r="S3542" s="9">
        <f t="shared" si="279"/>
        <v>0.05</v>
      </c>
    </row>
    <row r="3543" spans="1:19" x14ac:dyDescent="0.3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e">
        <f>VLOOKUP('Customer Info'!B3535,'Customer Info'!B3535:B4034,1,0)</f>
        <v>#N/A</v>
      </c>
      <c r="H3543" s="6" t="e">
        <f>VLOOKUP('Customer Info'!C3535,'Customer Info'!C3535:C4034,1)</f>
        <v>#N/A</v>
      </c>
      <c r="I3543" s="6" t="e">
        <f>VLOOKUP('Customer Info'!E3535,'Customer Info'!E3535:E4034,1,0)</f>
        <v>#N/A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240</v>
      </c>
      <c r="R3543" s="2" t="s">
        <v>26</v>
      </c>
      <c r="S3543" s="9">
        <f t="shared" si="279"/>
        <v>0.02</v>
      </c>
    </row>
    <row r="3544" spans="1:19" x14ac:dyDescent="0.3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e">
        <f>VLOOKUP('Customer Info'!B3536,'Customer Info'!B3536:B4035,1,0)</f>
        <v>#N/A</v>
      </c>
      <c r="H3544" s="6" t="e">
        <f>VLOOKUP('Customer Info'!C3536,'Customer Info'!C3536:C4035,1)</f>
        <v>#N/A</v>
      </c>
      <c r="I3544" s="6" t="e">
        <f>VLOOKUP('Customer Info'!E3536,'Customer Info'!E3536:E4035,1,0)</f>
        <v>#N/A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626</v>
      </c>
      <c r="R3544" s="2" t="s">
        <v>50</v>
      </c>
      <c r="S3544" s="9">
        <f t="shared" si="279"/>
        <v>0.05</v>
      </c>
    </row>
    <row r="3545" spans="1:19" x14ac:dyDescent="0.3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e">
        <f>VLOOKUP('Customer Info'!B3537,'Customer Info'!B3537:B4036,1,0)</f>
        <v>#N/A</v>
      </c>
      <c r="H3545" s="6" t="e">
        <f>VLOOKUP('Customer Info'!C3537,'Customer Info'!C3537:C4036,1)</f>
        <v>#N/A</v>
      </c>
      <c r="I3545" s="6" t="e">
        <f>VLOOKUP('Customer Info'!E3537,'Customer Info'!E3537:E4036,1,0)</f>
        <v>#N/A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234</v>
      </c>
      <c r="R3545" s="2" t="s">
        <v>28</v>
      </c>
      <c r="S3545" s="9">
        <f t="shared" si="279"/>
        <v>0.05</v>
      </c>
    </row>
    <row r="3546" spans="1:19" x14ac:dyDescent="0.3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e">
        <f>VLOOKUP('Customer Info'!B3538,'Customer Info'!B3538:B4037,1,0)</f>
        <v>#N/A</v>
      </c>
      <c r="H3546" s="6" t="e">
        <f>VLOOKUP('Customer Info'!C3538,'Customer Info'!C3538:C4037,1)</f>
        <v>#N/A</v>
      </c>
      <c r="I3546" s="6" t="e">
        <f>VLOOKUP('Customer Info'!E3538,'Customer Info'!E3538:E4037,1,0)</f>
        <v>#N/A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237</v>
      </c>
      <c r="R3546" s="2" t="s">
        <v>28</v>
      </c>
      <c r="S3546" s="9">
        <f t="shared" si="279"/>
        <v>0.02</v>
      </c>
    </row>
    <row r="3547" spans="1:19" x14ac:dyDescent="0.3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e">
        <f>VLOOKUP('Customer Info'!B3539,'Customer Info'!B3539:B4038,1,0)</f>
        <v>#N/A</v>
      </c>
      <c r="H3547" s="6" t="e">
        <f>VLOOKUP('Customer Info'!C3539,'Customer Info'!C3539:C4038,1)</f>
        <v>#N/A</v>
      </c>
      <c r="I3547" s="6" t="e">
        <f>VLOOKUP('Customer Info'!E3539,'Customer Info'!E3539:E4038,1,0)</f>
        <v>#N/A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602</v>
      </c>
      <c r="R3547" s="2" t="s">
        <v>50</v>
      </c>
      <c r="S3547" s="9">
        <f t="shared" si="279"/>
        <v>0.05</v>
      </c>
    </row>
    <row r="3548" spans="1:19" x14ac:dyDescent="0.3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e">
        <f>VLOOKUP('Customer Info'!B3540,'Customer Info'!B3540:B4039,1,0)</f>
        <v>#N/A</v>
      </c>
      <c r="H3548" s="6" t="e">
        <f>VLOOKUP('Customer Info'!C3540,'Customer Info'!C3540:C4039,1)</f>
        <v>#N/A</v>
      </c>
      <c r="I3548" s="6" t="e">
        <f>VLOOKUP('Customer Info'!E3540,'Customer Info'!E3540:E4039,1,0)</f>
        <v>#N/A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12</v>
      </c>
      <c r="R3548" s="2" t="s">
        <v>26</v>
      </c>
      <c r="S3548" s="9">
        <f t="shared" si="279"/>
        <v>0.02</v>
      </c>
    </row>
    <row r="3549" spans="1:19" x14ac:dyDescent="0.3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e">
        <f>VLOOKUP('Customer Info'!B3541,'Customer Info'!B3541:B4040,1,0)</f>
        <v>#N/A</v>
      </c>
      <c r="H3549" s="6" t="e">
        <f>VLOOKUP('Customer Info'!C3541,'Customer Info'!C3541:C4040,1)</f>
        <v>#N/A</v>
      </c>
      <c r="I3549" s="6" t="e">
        <f>VLOOKUP('Customer Info'!E3541,'Customer Info'!E3541:E4040,1,0)</f>
        <v>#N/A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9606</v>
      </c>
      <c r="R3549" s="2" t="s">
        <v>28</v>
      </c>
      <c r="S3549" s="9">
        <f t="shared" si="279"/>
        <v>0.12</v>
      </c>
    </row>
    <row r="3550" spans="1:19" x14ac:dyDescent="0.3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e">
        <f>VLOOKUP('Customer Info'!B3542,'Customer Info'!B3542:B4041,1,0)</f>
        <v>#N/A</v>
      </c>
      <c r="H3550" s="6" t="e">
        <f>VLOOKUP('Customer Info'!C3542,'Customer Info'!C3542:C4041,1)</f>
        <v>#N/A</v>
      </c>
      <c r="I3550" s="6" t="e">
        <f>VLOOKUP('Customer Info'!E3542,'Customer Info'!E3542:E4041,1,0)</f>
        <v>#N/A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39</v>
      </c>
      <c r="R3550" s="2" t="s">
        <v>50</v>
      </c>
      <c r="S3550" s="9">
        <f t="shared" si="279"/>
        <v>0.02</v>
      </c>
    </row>
    <row r="3551" spans="1:19" x14ac:dyDescent="0.3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e">
        <f>VLOOKUP('Customer Info'!B3543,'Customer Info'!B3543:B4042,1,0)</f>
        <v>#N/A</v>
      </c>
      <c r="H3551" s="6" t="e">
        <f>VLOOKUP('Customer Info'!C3543,'Customer Info'!C3543:C4042,1)</f>
        <v>#N/A</v>
      </c>
      <c r="I3551" s="6" t="e">
        <f>VLOOKUP('Customer Info'!E3543,'Customer Info'!E3543:E4042,1,0)</f>
        <v>#N/A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96</v>
      </c>
      <c r="R3551" s="2" t="s">
        <v>50</v>
      </c>
      <c r="S3551" s="9">
        <f t="shared" si="279"/>
        <v>0.05</v>
      </c>
    </row>
    <row r="3552" spans="1:19" x14ac:dyDescent="0.3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e">
        <f>VLOOKUP('Customer Info'!B3544,'Customer Info'!B3544:B4043,1,0)</f>
        <v>#N/A</v>
      </c>
      <c r="H3552" s="6" t="e">
        <f>VLOOKUP('Customer Info'!C3544,'Customer Info'!C3544:C4043,1)</f>
        <v>#N/A</v>
      </c>
      <c r="I3552" s="6" t="e">
        <f>VLOOKUP('Customer Info'!E3544,'Customer Info'!E3544:E4043,1,0)</f>
        <v>#N/A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88</v>
      </c>
      <c r="R3552" s="2" t="s">
        <v>50</v>
      </c>
      <c r="S3552" s="9">
        <f t="shared" si="279"/>
        <v>0.02</v>
      </c>
    </row>
    <row r="3553" spans="1:19" x14ac:dyDescent="0.3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e">
        <f>VLOOKUP('Customer Info'!B3545,'Customer Info'!B3545:B4044,1,0)</f>
        <v>#N/A</v>
      </c>
      <c r="H3553" s="6" t="e">
        <f>VLOOKUP('Customer Info'!C3545,'Customer Info'!C3545:C4044,1)</f>
        <v>#N/A</v>
      </c>
      <c r="I3553" s="6" t="e">
        <f>VLOOKUP('Customer Info'!E3545,'Customer Info'!E3545:E4044,1,0)</f>
        <v>#N/A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30</v>
      </c>
      <c r="R3553" s="2" t="s">
        <v>50</v>
      </c>
      <c r="S3553" s="9">
        <f t="shared" si="279"/>
        <v>0.02</v>
      </c>
    </row>
    <row r="3554" spans="1:19" x14ac:dyDescent="0.3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e">
        <f>VLOOKUP('Customer Info'!B3546,'Customer Info'!B3546:B4045,1,0)</f>
        <v>#N/A</v>
      </c>
      <c r="H3554" s="6" t="e">
        <f>VLOOKUP('Customer Info'!C3546,'Customer Info'!C3546:C4045,1)</f>
        <v>#N/A</v>
      </c>
      <c r="I3554" s="6" t="e">
        <f>VLOOKUP('Customer Info'!E3546,'Customer Info'!E3546:E4045,1,0)</f>
        <v>#N/A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662</v>
      </c>
      <c r="R3554" s="2" t="s">
        <v>28</v>
      </c>
      <c r="S3554" s="9">
        <f t="shared" si="279"/>
        <v>0.05</v>
      </c>
    </row>
    <row r="3555" spans="1:19" x14ac:dyDescent="0.3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e">
        <f>VLOOKUP('Customer Info'!B3547,'Customer Info'!B3547:B4046,1,0)</f>
        <v>#N/A</v>
      </c>
      <c r="H3555" s="6" t="e">
        <f>VLOOKUP('Customer Info'!C3547,'Customer Info'!C3547:C4046,1)</f>
        <v>#N/A</v>
      </c>
      <c r="I3555" s="6" t="e">
        <f>VLOOKUP('Customer Info'!E3547,'Customer Info'!E3547:E4046,1,0)</f>
        <v>#N/A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84</v>
      </c>
      <c r="R3555" s="2" t="s">
        <v>56</v>
      </c>
      <c r="S3555" s="9">
        <f t="shared" si="279"/>
        <v>0.02</v>
      </c>
    </row>
    <row r="3556" spans="1:19" x14ac:dyDescent="0.3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e">
        <f>VLOOKUP('Customer Info'!B3548,'Customer Info'!B3548:B4047,1,0)</f>
        <v>#N/A</v>
      </c>
      <c r="H3556" s="6" t="e">
        <f>VLOOKUP('Customer Info'!C3548,'Customer Info'!C3548:C4047,1)</f>
        <v>#N/A</v>
      </c>
      <c r="I3556" s="6" t="e">
        <f>VLOOKUP('Customer Info'!E3548,'Customer Info'!E3548:E4047,1,0)</f>
        <v>#N/A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31</v>
      </c>
      <c r="R3556" s="2" t="s">
        <v>28</v>
      </c>
      <c r="S3556" s="9">
        <f t="shared" si="279"/>
        <v>0.02</v>
      </c>
    </row>
    <row r="3557" spans="1:19" x14ac:dyDescent="0.3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e">
        <f>VLOOKUP('Customer Info'!B3549,'Customer Info'!B3549:B4048,1,0)</f>
        <v>#N/A</v>
      </c>
      <c r="H3557" s="6" t="e">
        <f>VLOOKUP('Customer Info'!C3549,'Customer Info'!C3549:C4048,1)</f>
        <v>#N/A</v>
      </c>
      <c r="I3557" s="6" t="e">
        <f>VLOOKUP('Customer Info'!E3549,'Customer Info'!E3549:E4048,1,0)</f>
        <v>#N/A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318</v>
      </c>
      <c r="R3557" s="2" t="s">
        <v>26</v>
      </c>
      <c r="S3557" s="9">
        <f t="shared" si="279"/>
        <v>0.02</v>
      </c>
    </row>
    <row r="3558" spans="1:19" x14ac:dyDescent="0.3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e">
        <f>VLOOKUP('Customer Info'!B3550,'Customer Info'!B3550:B4049,1,0)</f>
        <v>#N/A</v>
      </c>
      <c r="H3558" s="6" t="e">
        <f>VLOOKUP('Customer Info'!C3550,'Customer Info'!C3550:C4049,1)</f>
        <v>#N/A</v>
      </c>
      <c r="I3558" s="6" t="e">
        <f>VLOOKUP('Customer Info'!E3550,'Customer Info'!E3550:E4049,1,0)</f>
        <v>#N/A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1840</v>
      </c>
      <c r="R3558" s="2" t="s">
        <v>50</v>
      </c>
      <c r="S3558" s="9">
        <f t="shared" si="279"/>
        <v>7.0000000000000007E-2</v>
      </c>
    </row>
    <row r="3559" spans="1:19" x14ac:dyDescent="0.3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e">
        <f>VLOOKUP('Customer Info'!B3551,'Customer Info'!B3551:B4050,1,0)</f>
        <v>#N/A</v>
      </c>
      <c r="H3559" s="6" t="e">
        <f>VLOOKUP('Customer Info'!C3551,'Customer Info'!C3551:C4050,1)</f>
        <v>#N/A</v>
      </c>
      <c r="I3559" s="6" t="e">
        <f>VLOOKUP('Customer Info'!E3551,'Customer Info'!E3551:E4050,1,0)</f>
        <v>#N/A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720</v>
      </c>
      <c r="R3559" s="2" t="s">
        <v>50</v>
      </c>
      <c r="S3559" s="9">
        <f t="shared" si="279"/>
        <v>0.05</v>
      </c>
    </row>
    <row r="3560" spans="1:19" x14ac:dyDescent="0.3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e">
        <f>VLOOKUP('Customer Info'!B3552,'Customer Info'!B3552:B4051,1,0)</f>
        <v>#N/A</v>
      </c>
      <c r="H3560" s="6" t="e">
        <f>VLOOKUP('Customer Info'!C3552,'Customer Info'!C3552:C4051,1)</f>
        <v>#N/A</v>
      </c>
      <c r="I3560" s="6" t="e">
        <f>VLOOKUP('Customer Info'!E3552,'Customer Info'!E3552:E4051,1,0)</f>
        <v>#N/A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144</v>
      </c>
      <c r="R3560" s="2" t="s">
        <v>26</v>
      </c>
      <c r="S3560" s="9">
        <f t="shared" si="279"/>
        <v>0.02</v>
      </c>
    </row>
    <row r="3561" spans="1:19" x14ac:dyDescent="0.3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e">
        <f>VLOOKUP('Customer Info'!B3553,'Customer Info'!B3553:B4052,1,0)</f>
        <v>#N/A</v>
      </c>
      <c r="H3561" s="6" t="e">
        <f>VLOOKUP('Customer Info'!C3553,'Customer Info'!C3553:C4052,1)</f>
        <v>#N/A</v>
      </c>
      <c r="I3561" s="6" t="e">
        <f>VLOOKUP('Customer Info'!E3553,'Customer Info'!E3553:E4052,1,0)</f>
        <v>#N/A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330</v>
      </c>
      <c r="R3561" s="2" t="s">
        <v>28</v>
      </c>
      <c r="S3561" s="9">
        <f t="shared" si="279"/>
        <v>0.05</v>
      </c>
    </row>
    <row r="3562" spans="1:19" x14ac:dyDescent="0.3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e">
        <f>VLOOKUP('Customer Info'!B3554,'Customer Info'!B3554:B4053,1,0)</f>
        <v>#N/A</v>
      </c>
      <c r="H3562" s="6" t="e">
        <f>VLOOKUP('Customer Info'!C3554,'Customer Info'!C3554:C4053,1)</f>
        <v>#N/A</v>
      </c>
      <c r="I3562" s="6" t="e">
        <f>VLOOKUP('Customer Info'!E3554,'Customer Info'!E3554:E4053,1,0)</f>
        <v>#N/A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45</v>
      </c>
      <c r="R3562" s="2" t="s">
        <v>28</v>
      </c>
      <c r="S3562" s="9">
        <f t="shared" si="279"/>
        <v>0.02</v>
      </c>
    </row>
    <row r="3563" spans="1:19" x14ac:dyDescent="0.3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e">
        <f>VLOOKUP('Customer Info'!B3555,'Customer Info'!B3555:B4054,1,0)</f>
        <v>#N/A</v>
      </c>
      <c r="H3563" s="6" t="e">
        <f>VLOOKUP('Customer Info'!C3555,'Customer Info'!C3555:C4054,1)</f>
        <v>#N/A</v>
      </c>
      <c r="I3563" s="6" t="e">
        <f>VLOOKUP('Customer Info'!E3555,'Customer Info'!E3555:E4054,1,0)</f>
        <v>#N/A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132</v>
      </c>
      <c r="R3563" s="2" t="s">
        <v>28</v>
      </c>
      <c r="S3563" s="9">
        <f t="shared" si="279"/>
        <v>0.02</v>
      </c>
    </row>
    <row r="3564" spans="1:19" x14ac:dyDescent="0.3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e">
        <f>VLOOKUP('Customer Info'!B3556,'Customer Info'!B3556:B4055,1,0)</f>
        <v>#N/A</v>
      </c>
      <c r="H3564" s="6" t="e">
        <f>VLOOKUP('Customer Info'!C3556,'Customer Info'!C3556:C4055,1)</f>
        <v>#N/A</v>
      </c>
      <c r="I3564" s="6" t="e">
        <f>VLOOKUP('Customer Info'!E3556,'Customer Info'!E3556:E4055,1,0)</f>
        <v>#N/A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60</v>
      </c>
      <c r="R3564" s="2" t="s">
        <v>28</v>
      </c>
      <c r="S3564" s="9">
        <f t="shared" si="279"/>
        <v>0.02</v>
      </c>
    </row>
    <row r="3565" spans="1:19" x14ac:dyDescent="0.3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e">
        <f>VLOOKUP('Customer Info'!B3557,'Customer Info'!B3557:B4056,1,0)</f>
        <v>#N/A</v>
      </c>
      <c r="H3565" s="6" t="e">
        <f>VLOOKUP('Customer Info'!C3557,'Customer Info'!C3557:C4056,1)</f>
        <v>#N/A</v>
      </c>
      <c r="I3565" s="6" t="e">
        <f>VLOOKUP('Customer Info'!E3557,'Customer Info'!E3557:E4056,1,0)</f>
        <v>#N/A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2392</v>
      </c>
      <c r="R3565" s="2" t="s">
        <v>28</v>
      </c>
      <c r="S3565" s="9">
        <f t="shared" si="279"/>
        <v>7.0000000000000007E-2</v>
      </c>
    </row>
    <row r="3566" spans="1:19" x14ac:dyDescent="0.3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e">
        <f>VLOOKUP('Customer Info'!B3558,'Customer Info'!B3558:B4057,1,0)</f>
        <v>#N/A</v>
      </c>
      <c r="H3566" s="6" t="e">
        <f>VLOOKUP('Customer Info'!C3558,'Customer Info'!C3558:C4057,1)</f>
        <v>#N/A</v>
      </c>
      <c r="I3566" s="6" t="e">
        <f>VLOOKUP('Customer Info'!E3558,'Customer Info'!E3558:E4057,1,0)</f>
        <v>#N/A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63</v>
      </c>
      <c r="R3566" s="2" t="s">
        <v>28</v>
      </c>
      <c r="S3566" s="9">
        <f t="shared" si="279"/>
        <v>0.02</v>
      </c>
    </row>
    <row r="3567" spans="1:19" x14ac:dyDescent="0.3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e">
        <f>VLOOKUP('Customer Info'!B3559,'Customer Info'!B3559:B4058,1,0)</f>
        <v>#N/A</v>
      </c>
      <c r="H3567" s="6" t="e">
        <f>VLOOKUP('Customer Info'!C3559,'Customer Info'!C3559:C4058,1)</f>
        <v>#N/A</v>
      </c>
      <c r="I3567" s="6" t="e">
        <f>VLOOKUP('Customer Info'!E3559,'Customer Info'!E3559:E4058,1,0)</f>
        <v>#N/A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8</v>
      </c>
      <c r="R3567" s="2" t="s">
        <v>50</v>
      </c>
      <c r="S3567" s="9">
        <f t="shared" si="279"/>
        <v>0.02</v>
      </c>
    </row>
    <row r="3568" spans="1:19" x14ac:dyDescent="0.3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e">
        <f>VLOOKUP('Customer Info'!B3560,'Customer Info'!B3560:B4059,1,0)</f>
        <v>#N/A</v>
      </c>
      <c r="H3568" s="6" t="e">
        <f>VLOOKUP('Customer Info'!C3560,'Customer Info'!C3560:C4059,1)</f>
        <v>#N/A</v>
      </c>
      <c r="I3568" s="6" t="e">
        <f>VLOOKUP('Customer Info'!E3560,'Customer Info'!E3560:E4059,1,0)</f>
        <v>#N/A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872</v>
      </c>
      <c r="R3568" s="2" t="s">
        <v>28</v>
      </c>
      <c r="S3568" s="9">
        <f t="shared" si="279"/>
        <v>0.05</v>
      </c>
    </row>
    <row r="3569" spans="1:19" x14ac:dyDescent="0.3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e">
        <f>VLOOKUP('Customer Info'!B3561,'Customer Info'!B3561:B4060,1,0)</f>
        <v>#N/A</v>
      </c>
      <c r="H3569" s="6" t="e">
        <f>VLOOKUP('Customer Info'!C3561,'Customer Info'!C3561:C4060,1)</f>
        <v>#N/A</v>
      </c>
      <c r="I3569" s="6" t="e">
        <f>VLOOKUP('Customer Info'!E3561,'Customer Info'!E3561:E4060,1,0)</f>
        <v>#N/A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195</v>
      </c>
      <c r="R3569" s="2" t="s">
        <v>28</v>
      </c>
      <c r="S3569" s="9">
        <f t="shared" si="279"/>
        <v>0.02</v>
      </c>
    </row>
    <row r="3570" spans="1:19" x14ac:dyDescent="0.3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e">
        <f>VLOOKUP('Customer Info'!B3562,'Customer Info'!B3562:B4061,1,0)</f>
        <v>#N/A</v>
      </c>
      <c r="H3570" s="6" t="e">
        <f>VLOOKUP('Customer Info'!C3562,'Customer Info'!C3562:C4061,1)</f>
        <v>#N/A</v>
      </c>
      <c r="I3570" s="6" t="e">
        <f>VLOOKUP('Customer Info'!E3562,'Customer Info'!E3562:E4061,1,0)</f>
        <v>#N/A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52</v>
      </c>
      <c r="R3570" s="2" t="s">
        <v>50</v>
      </c>
      <c r="S3570" s="9">
        <f t="shared" si="279"/>
        <v>0.02</v>
      </c>
    </row>
    <row r="3571" spans="1:19" x14ac:dyDescent="0.3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e">
        <f>VLOOKUP('Customer Info'!B3563,'Customer Info'!B3563:B4062,1,0)</f>
        <v>#N/A</v>
      </c>
      <c r="H3571" s="6" t="e">
        <f>VLOOKUP('Customer Info'!C3563,'Customer Info'!C3563:C4062,1)</f>
        <v>#N/A</v>
      </c>
      <c r="I3571" s="6" t="e">
        <f>VLOOKUP('Customer Info'!E3563,'Customer Info'!E3563:E4062,1,0)</f>
        <v>#N/A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1953</v>
      </c>
      <c r="R3571" s="2" t="s">
        <v>28</v>
      </c>
      <c r="S3571" s="9">
        <f t="shared" si="279"/>
        <v>7.0000000000000007E-2</v>
      </c>
    </row>
    <row r="3572" spans="1:19" x14ac:dyDescent="0.3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e">
        <f>VLOOKUP('Customer Info'!B3564,'Customer Info'!B3564:B4063,1,0)</f>
        <v>#N/A</v>
      </c>
      <c r="H3572" s="6" t="e">
        <f>VLOOKUP('Customer Info'!C3564,'Customer Info'!C3564:C4063,1)</f>
        <v>#N/A</v>
      </c>
      <c r="I3572" s="6" t="e">
        <f>VLOOKUP('Customer Info'!E3564,'Customer Info'!E3564:E4063,1,0)</f>
        <v>#N/A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600</v>
      </c>
      <c r="R3572" s="2" t="s">
        <v>28</v>
      </c>
      <c r="S3572" s="9">
        <f t="shared" si="279"/>
        <v>0.05</v>
      </c>
    </row>
    <row r="3573" spans="1:19" x14ac:dyDescent="0.3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e">
        <f>VLOOKUP('Customer Info'!B3565,'Customer Info'!B3565:B4064,1,0)</f>
        <v>#N/A</v>
      </c>
      <c r="H3573" s="6" t="e">
        <f>VLOOKUP('Customer Info'!C3565,'Customer Info'!C3565:C4064,1)</f>
        <v>#N/A</v>
      </c>
      <c r="I3573" s="6" t="e">
        <f>VLOOKUP('Customer Info'!E3565,'Customer Info'!E3565:E4064,1,0)</f>
        <v>#N/A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708</v>
      </c>
      <c r="R3573" s="2" t="s">
        <v>28</v>
      </c>
      <c r="S3573" s="9">
        <f t="shared" si="279"/>
        <v>0.05</v>
      </c>
    </row>
    <row r="3574" spans="1:19" x14ac:dyDescent="0.3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e">
        <f>VLOOKUP('Customer Info'!B3566,'Customer Info'!B3566:B4065,1,0)</f>
        <v>#N/A</v>
      </c>
      <c r="H3574" s="6" t="e">
        <f>VLOOKUP('Customer Info'!C3566,'Customer Info'!C3566:C4065,1)</f>
        <v>#N/A</v>
      </c>
      <c r="I3574" s="6" t="e">
        <f>VLOOKUP('Customer Info'!E3566,'Customer Info'!E3566:E4065,1,0)</f>
        <v>#N/A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26</v>
      </c>
      <c r="R3574" s="2" t="s">
        <v>50</v>
      </c>
      <c r="S3574" s="9">
        <f t="shared" si="279"/>
        <v>0.02</v>
      </c>
    </row>
    <row r="3575" spans="1:19" x14ac:dyDescent="0.3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e">
        <f>VLOOKUP('Customer Info'!B3567,'Customer Info'!B3567:B4066,1,0)</f>
        <v>#N/A</v>
      </c>
      <c r="H3575" s="6" t="e">
        <f>VLOOKUP('Customer Info'!C3567,'Customer Info'!C3567:C4066,1)</f>
        <v>#N/A</v>
      </c>
      <c r="I3575" s="6" t="e">
        <f>VLOOKUP('Customer Info'!E3567,'Customer Info'!E3567:E4066,1,0)</f>
        <v>#N/A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68</v>
      </c>
      <c r="R3575" s="2" t="s">
        <v>28</v>
      </c>
      <c r="S3575" s="9">
        <f t="shared" si="279"/>
        <v>0.02</v>
      </c>
    </row>
    <row r="3576" spans="1:19" x14ac:dyDescent="0.3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e">
        <f>VLOOKUP('Customer Info'!B3568,'Customer Info'!B3568:B4067,1,0)</f>
        <v>#N/A</v>
      </c>
      <c r="H3576" s="6" t="e">
        <f>VLOOKUP('Customer Info'!C3568,'Customer Info'!C3568:C4067,1)</f>
        <v>#N/A</v>
      </c>
      <c r="I3576" s="6" t="e">
        <f>VLOOKUP('Customer Info'!E3568,'Customer Info'!E3568:E4067,1,0)</f>
        <v>#N/A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495</v>
      </c>
      <c r="R3576" s="2" t="s">
        <v>28</v>
      </c>
      <c r="S3576" s="9">
        <f t="shared" si="279"/>
        <v>0.05</v>
      </c>
    </row>
    <row r="3577" spans="1:19" x14ac:dyDescent="0.3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e">
        <f>VLOOKUP('Customer Info'!B3569,'Customer Info'!B3569:B4068,1,0)</f>
        <v>#N/A</v>
      </c>
      <c r="H3577" s="6" t="e">
        <f>VLOOKUP('Customer Info'!C3569,'Customer Info'!C3569:C4068,1)</f>
        <v>#N/A</v>
      </c>
      <c r="I3577" s="6" t="e">
        <f>VLOOKUP('Customer Info'!E3569,'Customer Info'!E3569:E4068,1,0)</f>
        <v>#N/A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24</v>
      </c>
      <c r="R3577" s="2" t="s">
        <v>28</v>
      </c>
      <c r="S3577" s="9">
        <f t="shared" si="279"/>
        <v>0.02</v>
      </c>
    </row>
    <row r="3578" spans="1:19" x14ac:dyDescent="0.3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e">
        <f>VLOOKUP('Customer Info'!B3570,'Customer Info'!B3570:B4069,1,0)</f>
        <v>#N/A</v>
      </c>
      <c r="H3578" s="6" t="e">
        <f>VLOOKUP('Customer Info'!C3570,'Customer Info'!C3570:C4069,1)</f>
        <v>#N/A</v>
      </c>
      <c r="I3578" s="6" t="e">
        <f>VLOOKUP('Customer Info'!E3570,'Customer Info'!E3570:E4069,1,0)</f>
        <v>#N/A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48</v>
      </c>
      <c r="R3578" s="2" t="s">
        <v>50</v>
      </c>
      <c r="S3578" s="9">
        <f t="shared" si="279"/>
        <v>0.02</v>
      </c>
    </row>
    <row r="3579" spans="1:19" x14ac:dyDescent="0.3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e">
        <f>VLOOKUP('Customer Info'!B3571,'Customer Info'!B3571:B4070,1,0)</f>
        <v>#N/A</v>
      </c>
      <c r="H3579" s="6" t="e">
        <f>VLOOKUP('Customer Info'!C3571,'Customer Info'!C3571:C4070,1)</f>
        <v>#N/A</v>
      </c>
      <c r="I3579" s="6" t="e">
        <f>VLOOKUP('Customer Info'!E3571,'Customer Info'!E3571:E4070,1,0)</f>
        <v>#N/A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1755</v>
      </c>
      <c r="R3579" s="2" t="s">
        <v>50</v>
      </c>
      <c r="S3579" s="9">
        <f t="shared" si="279"/>
        <v>0.05</v>
      </c>
    </row>
    <row r="3580" spans="1:19" x14ac:dyDescent="0.3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e">
        <f>VLOOKUP('Customer Info'!B3572,'Customer Info'!B3572:B4071,1,0)</f>
        <v>#N/A</v>
      </c>
      <c r="H3580" s="6" t="e">
        <f>VLOOKUP('Customer Info'!C3572,'Customer Info'!C3572:C4071,1)</f>
        <v>#N/A</v>
      </c>
      <c r="I3580" s="6" t="e">
        <f>VLOOKUP('Customer Info'!E3572,'Customer Info'!E3572:E4071,1,0)</f>
        <v>#N/A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14</v>
      </c>
      <c r="R3580" s="2" t="s">
        <v>56</v>
      </c>
      <c r="S3580" s="9">
        <f t="shared" si="279"/>
        <v>0.02</v>
      </c>
    </row>
    <row r="3581" spans="1:19" x14ac:dyDescent="0.3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e">
        <f>VLOOKUP('Customer Info'!B3573,'Customer Info'!B3573:B4072,1,0)</f>
        <v>#N/A</v>
      </c>
      <c r="H3581" s="6" t="e">
        <f>VLOOKUP('Customer Info'!C3573,'Customer Info'!C3573:C4072,1)</f>
        <v>#N/A</v>
      </c>
      <c r="I3581" s="6" t="e">
        <f>VLOOKUP('Customer Info'!E3573,'Customer Info'!E3573:E4072,1,0)</f>
        <v>#N/A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135</v>
      </c>
      <c r="R3581" s="2" t="s">
        <v>28</v>
      </c>
      <c r="S3581" s="9">
        <f t="shared" si="279"/>
        <v>0.02</v>
      </c>
    </row>
    <row r="3582" spans="1:19" x14ac:dyDescent="0.3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e">
        <f>VLOOKUP('Customer Info'!B3574,'Customer Info'!B3574:B4073,1,0)</f>
        <v>#N/A</v>
      </c>
      <c r="H3582" s="6" t="e">
        <f>VLOOKUP('Customer Info'!C3574,'Customer Info'!C3574:C4073,1)</f>
        <v>#N/A</v>
      </c>
      <c r="I3582" s="6" t="e">
        <f>VLOOKUP('Customer Info'!E3574,'Customer Info'!E3574:E4073,1,0)</f>
        <v>#N/A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1896</v>
      </c>
      <c r="R3582" s="2" t="s">
        <v>50</v>
      </c>
      <c r="S3582" s="9">
        <f t="shared" si="279"/>
        <v>7.0000000000000007E-2</v>
      </c>
    </row>
    <row r="3583" spans="1:19" x14ac:dyDescent="0.3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e">
        <f>VLOOKUP('Customer Info'!B3575,'Customer Info'!B3575:B4074,1,0)</f>
        <v>#N/A</v>
      </c>
      <c r="H3583" s="6" t="e">
        <f>VLOOKUP('Customer Info'!C3575,'Customer Info'!C3575:C4074,1)</f>
        <v>#N/A</v>
      </c>
      <c r="I3583" s="6" t="e">
        <f>VLOOKUP('Customer Info'!E3575,'Customer Info'!E3575:E4074,1,0)</f>
        <v>#N/A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2</v>
      </c>
      <c r="R3583" s="2" t="s">
        <v>28</v>
      </c>
      <c r="S3583" s="9">
        <f t="shared" si="279"/>
        <v>0.02</v>
      </c>
    </row>
    <row r="3584" spans="1:19" x14ac:dyDescent="0.3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e">
        <f>VLOOKUP('Customer Info'!B3576,'Customer Info'!B3576:B4075,1,0)</f>
        <v>#N/A</v>
      </c>
      <c r="H3584" s="6" t="e">
        <f>VLOOKUP('Customer Info'!C3576,'Customer Info'!C3576:C4075,1)</f>
        <v>#N/A</v>
      </c>
      <c r="I3584" s="6" t="e">
        <f>VLOOKUP('Customer Info'!E3576,'Customer Info'!E3576:E4075,1,0)</f>
        <v>#N/A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810</v>
      </c>
      <c r="R3584" s="2" t="s">
        <v>28</v>
      </c>
      <c r="S3584" s="9">
        <f t="shared" si="279"/>
        <v>0.05</v>
      </c>
    </row>
    <row r="3585" spans="1:19" x14ac:dyDescent="0.3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e">
        <f>VLOOKUP('Customer Info'!B3577,'Customer Info'!B3577:B4076,1,0)</f>
        <v>#N/A</v>
      </c>
      <c r="H3585" s="6" t="e">
        <f>VLOOKUP('Customer Info'!C3577,'Customer Info'!C3577:C4076,1)</f>
        <v>#N/A</v>
      </c>
      <c r="I3585" s="6" t="e">
        <f>VLOOKUP('Customer Info'!E3577,'Customer Info'!E3577:E4076,1,0)</f>
        <v>#N/A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546</v>
      </c>
      <c r="R3585" s="2" t="s">
        <v>28</v>
      </c>
      <c r="S3585" s="9">
        <f t="shared" si="279"/>
        <v>0.05</v>
      </c>
    </row>
    <row r="3586" spans="1:19" x14ac:dyDescent="0.3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e">
        <f>VLOOKUP('Customer Info'!B3578,'Customer Info'!B3578:B4077,1,0)</f>
        <v>#N/A</v>
      </c>
      <c r="H3586" s="6" t="e">
        <f>VLOOKUP('Customer Info'!C3578,'Customer Info'!C3578:C4077,1)</f>
        <v>#N/A</v>
      </c>
      <c r="I3586" s="6" t="e">
        <f>VLOOKUP('Customer Info'!E3578,'Customer Info'!E3578:E4077,1,0)</f>
        <v>#N/A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5</v>
      </c>
      <c r="R3586" s="2" t="s">
        <v>28</v>
      </c>
      <c r="S3586" s="9">
        <f t="shared" si="279"/>
        <v>0.02</v>
      </c>
    </row>
    <row r="3587" spans="1:19" x14ac:dyDescent="0.3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e">
        <f>VLOOKUP('Customer Info'!B3579,'Customer Info'!B3579:B4078,1,0)</f>
        <v>#N/A</v>
      </c>
      <c r="H3587" s="6" t="e">
        <f>VLOOKUP('Customer Info'!C3579,'Customer Info'!C3579:C4078,1)</f>
        <v>#N/A</v>
      </c>
      <c r="I3587" s="6" t="e">
        <f>VLOOKUP('Customer Info'!E3579,'Customer Info'!E3579:E4078,1,0)</f>
        <v>#N/A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85</v>
      </c>
      <c r="R3587" s="2" t="s">
        <v>28</v>
      </c>
      <c r="S3587" s="9">
        <f t="shared" si="279"/>
        <v>0.02</v>
      </c>
    </row>
    <row r="3588" spans="1:19" x14ac:dyDescent="0.3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e">
        <f>VLOOKUP('Customer Info'!B3580,'Customer Info'!B3580:B4079,1,0)</f>
        <v>#N/A</v>
      </c>
      <c r="H3588" s="6" t="e">
        <f>VLOOKUP('Customer Info'!C3580,'Customer Info'!C3580:C4079,1)</f>
        <v>#N/A</v>
      </c>
      <c r="I3588" s="6" t="e">
        <f>VLOOKUP('Customer Info'!E3580,'Customer Info'!E3580:E4079,1,0)</f>
        <v>#N/A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5590</v>
      </c>
      <c r="R3588" s="2" t="s">
        <v>28</v>
      </c>
      <c r="S3588" s="9">
        <f t="shared" si="279"/>
        <v>0.09</v>
      </c>
    </row>
    <row r="3589" spans="1:19" x14ac:dyDescent="0.3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e">
        <f>VLOOKUP('Customer Info'!B3581,'Customer Info'!B3581:B4080,1,0)</f>
        <v>#N/A</v>
      </c>
      <c r="H3589" s="6" t="e">
        <f>VLOOKUP('Customer Info'!C3581,'Customer Info'!C3581:C4080,1)</f>
        <v>#N/A</v>
      </c>
      <c r="I3589" s="6" t="e">
        <f>VLOOKUP('Customer Info'!E3581,'Customer Info'!E3581:E4080,1,0)</f>
        <v>#N/A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44</v>
      </c>
      <c r="R3589" s="2" t="s">
        <v>26</v>
      </c>
      <c r="S3589" s="9">
        <f t="shared" si="279"/>
        <v>0.02</v>
      </c>
    </row>
    <row r="3590" spans="1:19" x14ac:dyDescent="0.3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e">
        <f>VLOOKUP('Customer Info'!B3582,'Customer Info'!B3582:B4081,1,0)</f>
        <v>#N/A</v>
      </c>
      <c r="H3590" s="6" t="e">
        <f>VLOOKUP('Customer Info'!C3582,'Customer Info'!C3582:C4081,1)</f>
        <v>#N/A</v>
      </c>
      <c r="I3590" s="6" t="e">
        <f>VLOOKUP('Customer Info'!E3582,'Customer Info'!E3582:E4081,1,0)</f>
        <v>#N/A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204</v>
      </c>
      <c r="R3590" s="2" t="s">
        <v>28</v>
      </c>
      <c r="S3590" s="9">
        <f t="shared" si="279"/>
        <v>0.05</v>
      </c>
    </row>
    <row r="3591" spans="1:19" x14ac:dyDescent="0.3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e">
        <f>VLOOKUP('Customer Info'!B3583,'Customer Info'!B3583:B4082,1,0)</f>
        <v>#N/A</v>
      </c>
      <c r="H3591" s="6" t="e">
        <f>VLOOKUP('Customer Info'!C3583,'Customer Info'!C3583:C4082,1)</f>
        <v>#N/A</v>
      </c>
      <c r="I3591" s="6" t="e">
        <f>VLOOKUP('Customer Info'!E3583,'Customer Info'!E3583:E4082,1,0)</f>
        <v>#N/A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860</v>
      </c>
      <c r="R3591" s="2" t="s">
        <v>50</v>
      </c>
      <c r="S3591" s="9">
        <f t="shared" si="279"/>
        <v>0.05</v>
      </c>
    </row>
    <row r="3592" spans="1:19" x14ac:dyDescent="0.3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e">
        <f>VLOOKUP('Customer Info'!B3584,'Customer Info'!B3584:B4083,1,0)</f>
        <v>#N/A</v>
      </c>
      <c r="H3592" s="6" t="e">
        <f>VLOOKUP('Customer Info'!C3584,'Customer Info'!C3584:C4083,1)</f>
        <v>#N/A</v>
      </c>
      <c r="I3592" s="6" t="e">
        <f>VLOOKUP('Customer Info'!E3584,'Customer Info'!E3584:E4083,1,0)</f>
        <v>#N/A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306</v>
      </c>
      <c r="R3592" s="2" t="s">
        <v>50</v>
      </c>
      <c r="S3592" s="9">
        <f t="shared" si="279"/>
        <v>0.05</v>
      </c>
    </row>
    <row r="3593" spans="1:19" x14ac:dyDescent="0.3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e">
        <f>VLOOKUP('Customer Info'!B3585,'Customer Info'!B3585:B4084,1,0)</f>
        <v>#N/A</v>
      </c>
      <c r="H3593" s="6" t="e">
        <f>VLOOKUP('Customer Info'!C3585,'Customer Info'!C3585:C4084,1)</f>
        <v>#N/A</v>
      </c>
      <c r="I3593" s="6" t="e">
        <f>VLOOKUP('Customer Info'!E3585,'Customer Info'!E3585:E4084,1,0)</f>
        <v>#N/A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216</v>
      </c>
      <c r="R3593" s="2" t="s">
        <v>28</v>
      </c>
      <c r="S3593" s="9">
        <f t="shared" si="279"/>
        <v>0.02</v>
      </c>
    </row>
    <row r="3594" spans="1:19" x14ac:dyDescent="0.3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e">
        <f>VLOOKUP('Customer Info'!B3586,'Customer Info'!B3586:B4085,1,0)</f>
        <v>#N/A</v>
      </c>
      <c r="H3594" s="6" t="e">
        <f>VLOOKUP('Customer Info'!C3586,'Customer Info'!C3586:C4085,1)</f>
        <v>#N/A</v>
      </c>
      <c r="I3594" s="6" t="e">
        <f>VLOOKUP('Customer Info'!E3586,'Customer Info'!E3586:E4085,1,0)</f>
        <v>#N/A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16</v>
      </c>
      <c r="R3594" s="2" t="s">
        <v>28</v>
      </c>
      <c r="S3594" s="9">
        <f t="shared" si="279"/>
        <v>0.02</v>
      </c>
    </row>
    <row r="3595" spans="1:19" x14ac:dyDescent="0.3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e">
        <f>VLOOKUP('Customer Info'!B3587,'Customer Info'!B3587:B4086,1,0)</f>
        <v>#N/A</v>
      </c>
      <c r="H3595" s="6" t="e">
        <f>VLOOKUP('Customer Info'!C3587,'Customer Info'!C3587:C4086,1)</f>
        <v>#N/A</v>
      </c>
      <c r="I3595" s="6" t="e">
        <f>VLOOKUP('Customer Info'!E3587,'Customer Info'!E3587:E4086,1,0)</f>
        <v>#N/A</v>
      </c>
      <c r="J3595" s="2">
        <v>183</v>
      </c>
      <c r="K3595" s="2">
        <v>168</v>
      </c>
      <c r="L3595" s="2">
        <v>4</v>
      </c>
      <c r="M3595" s="7">
        <f t="shared" ref="M3595:M3658" si="280">(K3595*L3595)</f>
        <v>672</v>
      </c>
      <c r="N3595" s="7">
        <f t="shared" ref="N3595:N3658" si="281">(J3595*L3595)</f>
        <v>732</v>
      </c>
      <c r="O3595" s="2">
        <v>30</v>
      </c>
      <c r="P3595" s="8">
        <f t="shared" ref="P3595:P3658" si="282">(N3595+O3595)</f>
        <v>762</v>
      </c>
      <c r="Q3595" s="8">
        <f t="shared" ref="Q3595:Q3658" si="283">(N3595-M3595)</f>
        <v>60</v>
      </c>
      <c r="R3595" s="2" t="s">
        <v>26</v>
      </c>
      <c r="S3595" s="9">
        <f t="shared" ref="S3595:S3658" si="284">_xlfn.IFS(P3595&gt;250000,0.15,P3595&gt;100000,0.12,P3595&gt;50000,0.09,P3595&gt;25000,0.07,P3595&gt;5000,0.05,
 TRUE,0.02)</f>
        <v>0.02</v>
      </c>
    </row>
    <row r="3596" spans="1:19" x14ac:dyDescent="0.3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e">
        <f>VLOOKUP('Customer Info'!B3588,'Customer Info'!B3588:B4087,1,0)</f>
        <v>#N/A</v>
      </c>
      <c r="H3596" s="6" t="e">
        <f>VLOOKUP('Customer Info'!C3588,'Customer Info'!C3588:C4087,1)</f>
        <v>#N/A</v>
      </c>
      <c r="I3596" s="6" t="e">
        <f>VLOOKUP('Customer Info'!E3588,'Customer Info'!E3588:E4087,1,0)</f>
        <v>#N/A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3582</v>
      </c>
      <c r="R3596" s="2" t="s">
        <v>28</v>
      </c>
      <c r="S3596" s="9">
        <f t="shared" si="284"/>
        <v>7.0000000000000007E-2</v>
      </c>
    </row>
    <row r="3597" spans="1:19" x14ac:dyDescent="0.3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e">
        <f>VLOOKUP('Customer Info'!B3589,'Customer Info'!B3589:B4088,1,0)</f>
        <v>#N/A</v>
      </c>
      <c r="H3597" s="6" t="e">
        <f>VLOOKUP('Customer Info'!C3589,'Customer Info'!C3589:C4088,1)</f>
        <v>#N/A</v>
      </c>
      <c r="I3597" s="6" t="e">
        <f>VLOOKUP('Customer Info'!E3589,'Customer Info'!E3589:E4088,1,0)</f>
        <v>#N/A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162</v>
      </c>
      <c r="R3597" s="2" t="s">
        <v>50</v>
      </c>
      <c r="S3597" s="9">
        <f t="shared" si="284"/>
        <v>0.02</v>
      </c>
    </row>
    <row r="3598" spans="1:19" x14ac:dyDescent="0.3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e">
        <f>VLOOKUP('Customer Info'!B3590,'Customer Info'!B3590:B4089,1,0)</f>
        <v>#N/A</v>
      </c>
      <c r="H3598" s="6" t="e">
        <f>VLOOKUP('Customer Info'!C3590,'Customer Info'!C3590:C4089,1)</f>
        <v>#N/A</v>
      </c>
      <c r="I3598" s="6" t="e">
        <f>VLOOKUP('Customer Info'!E3590,'Customer Info'!E3590:E4089,1,0)</f>
        <v>#N/A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38</v>
      </c>
      <c r="R3598" s="2" t="s">
        <v>50</v>
      </c>
      <c r="S3598" s="9">
        <f t="shared" si="284"/>
        <v>0.02</v>
      </c>
    </row>
    <row r="3599" spans="1:19" x14ac:dyDescent="0.3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e">
        <f>VLOOKUP('Customer Info'!B3591,'Customer Info'!B3591:B4090,1,0)</f>
        <v>#N/A</v>
      </c>
      <c r="H3599" s="6" t="e">
        <f>VLOOKUP('Customer Info'!C3591,'Customer Info'!C3591:C4090,1)</f>
        <v>#N/A</v>
      </c>
      <c r="I3599" s="6" t="e">
        <f>VLOOKUP('Customer Info'!E3591,'Customer Info'!E3591:E4090,1,0)</f>
        <v>#N/A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12</v>
      </c>
      <c r="R3599" s="2" t="s">
        <v>28</v>
      </c>
      <c r="S3599" s="9">
        <f t="shared" si="284"/>
        <v>0.02</v>
      </c>
    </row>
    <row r="3600" spans="1:19" x14ac:dyDescent="0.3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e">
        <f>VLOOKUP('Customer Info'!B3592,'Customer Info'!B3592:B4091,1,0)</f>
        <v>#N/A</v>
      </c>
      <c r="H3600" s="6" t="e">
        <f>VLOOKUP('Customer Info'!C3592,'Customer Info'!C3592:C4091,1)</f>
        <v>#N/A</v>
      </c>
      <c r="I3600" s="6" t="e">
        <f>VLOOKUP('Customer Info'!E3592,'Customer Info'!E3592:E4091,1,0)</f>
        <v>#N/A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594</v>
      </c>
      <c r="R3600" s="2" t="s">
        <v>50</v>
      </c>
      <c r="S3600" s="9">
        <f t="shared" si="284"/>
        <v>0.05</v>
      </c>
    </row>
    <row r="3601" spans="1:19" x14ac:dyDescent="0.3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e">
        <f>VLOOKUP('Customer Info'!B3593,'Customer Info'!B3593:B4092,1,0)</f>
        <v>#N/A</v>
      </c>
      <c r="H3601" s="6" t="e">
        <f>VLOOKUP('Customer Info'!C3593,'Customer Info'!C3593:C4092,1)</f>
        <v>#N/A</v>
      </c>
      <c r="I3601" s="6" t="e">
        <f>VLOOKUP('Customer Info'!E3593,'Customer Info'!E3593:E4092,1,0)</f>
        <v>#N/A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1029</v>
      </c>
      <c r="R3601" s="2" t="s">
        <v>28</v>
      </c>
      <c r="S3601" s="9">
        <f t="shared" si="284"/>
        <v>0.05</v>
      </c>
    </row>
    <row r="3602" spans="1:19" x14ac:dyDescent="0.3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e">
        <f>VLOOKUP('Customer Info'!B3594,'Customer Info'!B3594:B4093,1,0)</f>
        <v>#N/A</v>
      </c>
      <c r="H3602" s="6" t="e">
        <f>VLOOKUP('Customer Info'!C3594,'Customer Info'!C3594:C4093,1)</f>
        <v>#N/A</v>
      </c>
      <c r="I3602" s="6" t="e">
        <f>VLOOKUP('Customer Info'!E3594,'Customer Info'!E3594:E4093,1,0)</f>
        <v>#N/A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579</v>
      </c>
      <c r="R3602" s="2" t="s">
        <v>28</v>
      </c>
      <c r="S3602" s="9">
        <f t="shared" si="284"/>
        <v>0.05</v>
      </c>
    </row>
    <row r="3603" spans="1:19" x14ac:dyDescent="0.3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e">
        <f>VLOOKUP('Customer Info'!B3595,'Customer Info'!B3595:B4094,1,0)</f>
        <v>#N/A</v>
      </c>
      <c r="H3603" s="6" t="e">
        <f>VLOOKUP('Customer Info'!C3595,'Customer Info'!C3595:C4094,1)</f>
        <v>#N/A</v>
      </c>
      <c r="I3603" s="6" t="e">
        <f>VLOOKUP('Customer Info'!E3595,'Customer Info'!E3595:E4094,1,0)</f>
        <v>#N/A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1167</v>
      </c>
      <c r="R3603" s="2" t="s">
        <v>50</v>
      </c>
      <c r="S3603" s="9">
        <f t="shared" si="284"/>
        <v>0.05</v>
      </c>
    </row>
    <row r="3604" spans="1:19" x14ac:dyDescent="0.3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e">
        <f>VLOOKUP('Customer Info'!B3596,'Customer Info'!B3596:B4095,1,0)</f>
        <v>#N/A</v>
      </c>
      <c r="H3604" s="6" t="e">
        <f>VLOOKUP('Customer Info'!C3596,'Customer Info'!C3596:C4095,1)</f>
        <v>#N/A</v>
      </c>
      <c r="I3604" s="6" t="e">
        <f>VLOOKUP('Customer Info'!E3596,'Customer Info'!E3596:E4095,1,0)</f>
        <v>#N/A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1112</v>
      </c>
      <c r="R3604" s="2" t="s">
        <v>28</v>
      </c>
      <c r="S3604" s="9">
        <f t="shared" si="284"/>
        <v>0.05</v>
      </c>
    </row>
    <row r="3605" spans="1:19" x14ac:dyDescent="0.3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e">
        <f>VLOOKUP('Customer Info'!B3597,'Customer Info'!B3597:B4096,1,0)</f>
        <v>#N/A</v>
      </c>
      <c r="H3605" s="6" t="e">
        <f>VLOOKUP('Customer Info'!C3597,'Customer Info'!C3597:C4096,1)</f>
        <v>#N/A</v>
      </c>
      <c r="I3605" s="6" t="e">
        <f>VLOOKUP('Customer Info'!E3597,'Customer Info'!E3597:E4096,1,0)</f>
        <v>#N/A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330</v>
      </c>
      <c r="R3605" s="2" t="s">
        <v>50</v>
      </c>
      <c r="S3605" s="9">
        <f t="shared" si="284"/>
        <v>0.02</v>
      </c>
    </row>
    <row r="3606" spans="1:19" x14ac:dyDescent="0.3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e">
        <f>VLOOKUP('Customer Info'!B3598,'Customer Info'!B3598:B4097,1,0)</f>
        <v>#N/A</v>
      </c>
      <c r="H3606" s="6" t="e">
        <f>VLOOKUP('Customer Info'!C3598,'Customer Info'!C3598:C4097,1)</f>
        <v>#N/A</v>
      </c>
      <c r="I3606" s="6" t="e">
        <f>VLOOKUP('Customer Info'!E3598,'Customer Info'!E3598:E4097,1,0)</f>
        <v>#N/A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1716</v>
      </c>
      <c r="R3606" s="2" t="s">
        <v>50</v>
      </c>
      <c r="S3606" s="9">
        <f t="shared" si="284"/>
        <v>7.0000000000000007E-2</v>
      </c>
    </row>
    <row r="3607" spans="1:19" x14ac:dyDescent="0.3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e">
        <f>VLOOKUP('Customer Info'!B3599,'Customer Info'!B3599:B4098,1,0)</f>
        <v>#N/A</v>
      </c>
      <c r="H3607" s="6" t="e">
        <f>VLOOKUP('Customer Info'!C3599,'Customer Info'!C3599:C4098,1)</f>
        <v>#N/A</v>
      </c>
      <c r="I3607" s="6" t="e">
        <f>VLOOKUP('Customer Info'!E3599,'Customer Info'!E3599:E4098,1,0)</f>
        <v>#N/A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21</v>
      </c>
      <c r="R3607" s="2" t="s">
        <v>26</v>
      </c>
      <c r="S3607" s="9">
        <f t="shared" si="284"/>
        <v>0.02</v>
      </c>
    </row>
    <row r="3608" spans="1:19" x14ac:dyDescent="0.3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e">
        <f>VLOOKUP('Customer Info'!B3600,'Customer Info'!B3600:B4099,1,0)</f>
        <v>#N/A</v>
      </c>
      <c r="H3608" s="6" t="e">
        <f>VLOOKUP('Customer Info'!C3600,'Customer Info'!C3600:C4099,1)</f>
        <v>#N/A</v>
      </c>
      <c r="I3608" s="6" t="e">
        <f>VLOOKUP('Customer Info'!E3600,'Customer Info'!E3600:E4099,1,0)</f>
        <v>#N/A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2616</v>
      </c>
      <c r="R3608" s="2" t="s">
        <v>28</v>
      </c>
      <c r="S3608" s="9">
        <f t="shared" si="284"/>
        <v>7.0000000000000007E-2</v>
      </c>
    </row>
    <row r="3609" spans="1:19" x14ac:dyDescent="0.3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e">
        <f>VLOOKUP('Customer Info'!B3601,'Customer Info'!B3601:B4100,1,0)</f>
        <v>#N/A</v>
      </c>
      <c r="H3609" s="6" t="e">
        <f>VLOOKUP('Customer Info'!C3601,'Customer Info'!C3601:C4100,1)</f>
        <v>#N/A</v>
      </c>
      <c r="I3609" s="6" t="e">
        <f>VLOOKUP('Customer Info'!E3601,'Customer Info'!E3601:E4100,1,0)</f>
        <v>#N/A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182</v>
      </c>
      <c r="R3609" s="2" t="s">
        <v>28</v>
      </c>
      <c r="S3609" s="9">
        <f t="shared" si="284"/>
        <v>0.02</v>
      </c>
    </row>
    <row r="3610" spans="1:19" x14ac:dyDescent="0.3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e">
        <f>VLOOKUP('Customer Info'!B3602,'Customer Info'!B3602:B4101,1,0)</f>
        <v>#N/A</v>
      </c>
      <c r="H3610" s="6" t="e">
        <f>VLOOKUP('Customer Info'!C3602,'Customer Info'!C3602:C4101,1)</f>
        <v>#N/A</v>
      </c>
      <c r="I3610" s="6" t="e">
        <f>VLOOKUP('Customer Info'!E3602,'Customer Info'!E3602:E4101,1,0)</f>
        <v>#N/A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1422</v>
      </c>
      <c r="R3610" s="2" t="s">
        <v>50</v>
      </c>
      <c r="S3610" s="9">
        <f t="shared" si="284"/>
        <v>0.05</v>
      </c>
    </row>
    <row r="3611" spans="1:19" x14ac:dyDescent="0.3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e">
        <f>VLOOKUP('Customer Info'!B3603,'Customer Info'!B3603:B4102,1,0)</f>
        <v>#N/A</v>
      </c>
      <c r="H3611" s="6" t="e">
        <f>VLOOKUP('Customer Info'!C3603,'Customer Info'!C3603:C4102,1)</f>
        <v>#N/A</v>
      </c>
      <c r="I3611" s="6" t="e">
        <f>VLOOKUP('Customer Info'!E3603,'Customer Info'!E3603:E4102,1,0)</f>
        <v>#N/A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5915</v>
      </c>
      <c r="R3611" s="2" t="s">
        <v>50</v>
      </c>
      <c r="S3611" s="9">
        <f t="shared" si="284"/>
        <v>0.09</v>
      </c>
    </row>
    <row r="3612" spans="1:19" x14ac:dyDescent="0.3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e">
        <f>VLOOKUP('Customer Info'!B3604,'Customer Info'!B3604:B4103,1,0)</f>
        <v>#N/A</v>
      </c>
      <c r="H3612" s="6" t="e">
        <f>VLOOKUP('Customer Info'!C3604,'Customer Info'!C3604:C4103,1)</f>
        <v>#N/A</v>
      </c>
      <c r="I3612" s="6" t="e">
        <f>VLOOKUP('Customer Info'!E3604,'Customer Info'!E3604:E4103,1,0)</f>
        <v>#N/A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246</v>
      </c>
      <c r="R3612" s="2" t="s">
        <v>28</v>
      </c>
      <c r="S3612" s="9">
        <f t="shared" si="284"/>
        <v>0.02</v>
      </c>
    </row>
    <row r="3613" spans="1:19" x14ac:dyDescent="0.3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e">
        <f>VLOOKUP('Customer Info'!B3605,'Customer Info'!B3605:B4104,1,0)</f>
        <v>#N/A</v>
      </c>
      <c r="H3613" s="6" t="e">
        <f>VLOOKUP('Customer Info'!C3605,'Customer Info'!C3605:C4104,1)</f>
        <v>#N/A</v>
      </c>
      <c r="I3613" s="6" t="e">
        <f>VLOOKUP('Customer Info'!E3605,'Customer Info'!E3605:E4104,1,0)</f>
        <v>#N/A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64</v>
      </c>
      <c r="R3613" s="2" t="s">
        <v>26</v>
      </c>
      <c r="S3613" s="9">
        <f t="shared" si="284"/>
        <v>0.02</v>
      </c>
    </row>
    <row r="3614" spans="1:19" x14ac:dyDescent="0.3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e">
        <f>VLOOKUP('Customer Info'!B3606,'Customer Info'!B3606:B4105,1,0)</f>
        <v>#N/A</v>
      </c>
      <c r="H3614" s="6" t="e">
        <f>VLOOKUP('Customer Info'!C3606,'Customer Info'!C3606:C4105,1)</f>
        <v>#N/A</v>
      </c>
      <c r="I3614" s="6" t="e">
        <f>VLOOKUP('Customer Info'!E3606,'Customer Info'!E3606:E4105,1,0)</f>
        <v>#N/A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333</v>
      </c>
      <c r="R3614" s="2" t="s">
        <v>26</v>
      </c>
      <c r="S3614" s="9">
        <f t="shared" si="284"/>
        <v>0.02</v>
      </c>
    </row>
    <row r="3615" spans="1:19" x14ac:dyDescent="0.3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e">
        <f>VLOOKUP('Customer Info'!B3607,'Customer Info'!B3607:B4106,1,0)</f>
        <v>#N/A</v>
      </c>
      <c r="H3615" s="6" t="e">
        <f>VLOOKUP('Customer Info'!C3607,'Customer Info'!C3607:C4106,1)</f>
        <v>#N/A</v>
      </c>
      <c r="I3615" s="6" t="e">
        <f>VLOOKUP('Customer Info'!E3607,'Customer Info'!E3607:E4106,1,0)</f>
        <v>#N/A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2046</v>
      </c>
      <c r="R3615" s="2" t="s">
        <v>50</v>
      </c>
      <c r="S3615" s="9">
        <f t="shared" si="284"/>
        <v>0.05</v>
      </c>
    </row>
    <row r="3616" spans="1:19" x14ac:dyDescent="0.3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e">
        <f>VLOOKUP('Customer Info'!B3608,'Customer Info'!B3608:B4107,1,0)</f>
        <v>#N/A</v>
      </c>
      <c r="H3616" s="6" t="e">
        <f>VLOOKUP('Customer Info'!C3608,'Customer Info'!C3608:C4107,1)</f>
        <v>#N/A</v>
      </c>
      <c r="I3616" s="6" t="e">
        <f>VLOOKUP('Customer Info'!E3608,'Customer Info'!E3608:E4107,1,0)</f>
        <v>#N/A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172</v>
      </c>
      <c r="R3616" s="2" t="s">
        <v>28</v>
      </c>
      <c r="S3616" s="9">
        <f t="shared" si="284"/>
        <v>0.02</v>
      </c>
    </row>
    <row r="3617" spans="1:19" x14ac:dyDescent="0.3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e">
        <f>VLOOKUP('Customer Info'!B3609,'Customer Info'!B3609:B4108,1,0)</f>
        <v>#N/A</v>
      </c>
      <c r="H3617" s="6" t="e">
        <f>VLOOKUP('Customer Info'!C3609,'Customer Info'!C3609:C4108,1)</f>
        <v>#N/A</v>
      </c>
      <c r="I3617" s="6" t="e">
        <f>VLOOKUP('Customer Info'!E3609,'Customer Info'!E3609:E4108,1,0)</f>
        <v>#N/A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1005</v>
      </c>
      <c r="R3617" s="2" t="s">
        <v>50</v>
      </c>
      <c r="S3617" s="9">
        <f t="shared" si="284"/>
        <v>0.05</v>
      </c>
    </row>
    <row r="3618" spans="1:19" x14ac:dyDescent="0.3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e">
        <f>VLOOKUP('Customer Info'!B3610,'Customer Info'!B3610:B4109,1,0)</f>
        <v>#N/A</v>
      </c>
      <c r="H3618" s="6" t="e">
        <f>VLOOKUP('Customer Info'!C3610,'Customer Info'!C3610:C4109,1)</f>
        <v>#N/A</v>
      </c>
      <c r="I3618" s="6" t="e">
        <f>VLOOKUP('Customer Info'!E3610,'Customer Info'!E3610:E4109,1,0)</f>
        <v>#N/A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24</v>
      </c>
      <c r="R3618" s="2" t="s">
        <v>50</v>
      </c>
      <c r="S3618" s="9">
        <f t="shared" si="284"/>
        <v>0.02</v>
      </c>
    </row>
    <row r="3619" spans="1:19" x14ac:dyDescent="0.3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e">
        <f>VLOOKUP('Customer Info'!B3611,'Customer Info'!B3611:B4110,1,0)</f>
        <v>#N/A</v>
      </c>
      <c r="H3619" s="6" t="e">
        <f>VLOOKUP('Customer Info'!C3611,'Customer Info'!C3611:C4110,1)</f>
        <v>#N/A</v>
      </c>
      <c r="I3619" s="6" t="e">
        <f>VLOOKUP('Customer Info'!E3611,'Customer Info'!E3611:E4110,1,0)</f>
        <v>#N/A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10</v>
      </c>
      <c r="R3619" s="2" t="s">
        <v>50</v>
      </c>
      <c r="S3619" s="9">
        <f t="shared" si="284"/>
        <v>0.02</v>
      </c>
    </row>
    <row r="3620" spans="1:19" x14ac:dyDescent="0.3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e">
        <f>VLOOKUP('Customer Info'!B3612,'Customer Info'!B3612:B4111,1,0)</f>
        <v>#N/A</v>
      </c>
      <c r="H3620" s="6" t="e">
        <f>VLOOKUP('Customer Info'!C3612,'Customer Info'!C3612:C4111,1)</f>
        <v>#N/A</v>
      </c>
      <c r="I3620" s="6" t="e">
        <f>VLOOKUP('Customer Info'!E3612,'Customer Info'!E3612:E4111,1,0)</f>
        <v>#N/A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372</v>
      </c>
      <c r="R3620" s="2" t="s">
        <v>28</v>
      </c>
      <c r="S3620" s="9">
        <f t="shared" si="284"/>
        <v>0.05</v>
      </c>
    </row>
    <row r="3621" spans="1:19" x14ac:dyDescent="0.3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e">
        <f>VLOOKUP('Customer Info'!B3613,'Customer Info'!B3613:B4112,1,0)</f>
        <v>#N/A</v>
      </c>
      <c r="H3621" s="6" t="e">
        <f>VLOOKUP('Customer Info'!C3613,'Customer Info'!C3613:C4112,1)</f>
        <v>#N/A</v>
      </c>
      <c r="I3621" s="6" t="e">
        <f>VLOOKUP('Customer Info'!E3613,'Customer Info'!E3613:E4112,1,0)</f>
        <v>#N/A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61</v>
      </c>
      <c r="R3621" s="2" t="s">
        <v>26</v>
      </c>
      <c r="S3621" s="9">
        <f t="shared" si="284"/>
        <v>0.02</v>
      </c>
    </row>
    <row r="3622" spans="1:19" x14ac:dyDescent="0.3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e">
        <f>VLOOKUP('Customer Info'!B3614,'Customer Info'!B3614:B4113,1,0)</f>
        <v>#N/A</v>
      </c>
      <c r="H3622" s="6" t="e">
        <f>VLOOKUP('Customer Info'!C3614,'Customer Info'!C3614:C4113,1)</f>
        <v>#N/A</v>
      </c>
      <c r="I3622" s="6" t="e">
        <f>VLOOKUP('Customer Info'!E3614,'Customer Info'!E3614:E4113,1,0)</f>
        <v>#N/A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366</v>
      </c>
      <c r="R3622" s="2" t="s">
        <v>50</v>
      </c>
      <c r="S3622" s="9">
        <f t="shared" si="284"/>
        <v>0.05</v>
      </c>
    </row>
    <row r="3623" spans="1:19" x14ac:dyDescent="0.3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e">
        <f>VLOOKUP('Customer Info'!B3615,'Customer Info'!B3615:B4114,1,0)</f>
        <v>#N/A</v>
      </c>
      <c r="H3623" s="6" t="e">
        <f>VLOOKUP('Customer Info'!C3615,'Customer Info'!C3615:C4114,1)</f>
        <v>#N/A</v>
      </c>
      <c r="I3623" s="6" t="e">
        <f>VLOOKUP('Customer Info'!E3615,'Customer Info'!E3615:E4114,1,0)</f>
        <v>#N/A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2889</v>
      </c>
      <c r="R3623" s="2" t="s">
        <v>28</v>
      </c>
      <c r="S3623" s="9">
        <f t="shared" si="284"/>
        <v>7.0000000000000007E-2</v>
      </c>
    </row>
    <row r="3624" spans="1:19" x14ac:dyDescent="0.3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e">
        <f>VLOOKUP('Customer Info'!B3616,'Customer Info'!B3616:B4115,1,0)</f>
        <v>#N/A</v>
      </c>
      <c r="H3624" s="6" t="e">
        <f>VLOOKUP('Customer Info'!C3616,'Customer Info'!C3616:C4115,1)</f>
        <v>#N/A</v>
      </c>
      <c r="I3624" s="6" t="e">
        <f>VLOOKUP('Customer Info'!E3616,'Customer Info'!E3616:E4115,1,0)</f>
        <v>#N/A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520</v>
      </c>
      <c r="R3624" s="2" t="s">
        <v>28</v>
      </c>
      <c r="S3624" s="9">
        <f t="shared" si="284"/>
        <v>0.05</v>
      </c>
    </row>
    <row r="3625" spans="1:19" x14ac:dyDescent="0.3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e">
        <f>VLOOKUP('Customer Info'!B3617,'Customer Info'!B3617:B4116,1,0)</f>
        <v>#N/A</v>
      </c>
      <c r="H3625" s="6" t="e">
        <f>VLOOKUP('Customer Info'!C3617,'Customer Info'!C3617:C4116,1)</f>
        <v>#N/A</v>
      </c>
      <c r="I3625" s="6" t="e">
        <f>VLOOKUP('Customer Info'!E3617,'Customer Info'!E3617:E4116,1,0)</f>
        <v>#N/A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396</v>
      </c>
      <c r="R3625" s="2" t="s">
        <v>28</v>
      </c>
      <c r="S3625" s="9">
        <f t="shared" si="284"/>
        <v>0.05</v>
      </c>
    </row>
    <row r="3626" spans="1:19" x14ac:dyDescent="0.3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e">
        <f>VLOOKUP('Customer Info'!B3618,'Customer Info'!B3618:B4117,1,0)</f>
        <v>#N/A</v>
      </c>
      <c r="H3626" s="6" t="e">
        <f>VLOOKUP('Customer Info'!C3618,'Customer Info'!C3618:C4117,1)</f>
        <v>#N/A</v>
      </c>
      <c r="I3626" s="6" t="e">
        <f>VLOOKUP('Customer Info'!E3618,'Customer Info'!E3618:E4117,1,0)</f>
        <v>#N/A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2985</v>
      </c>
      <c r="R3626" s="2" t="s">
        <v>28</v>
      </c>
      <c r="S3626" s="9">
        <f t="shared" si="284"/>
        <v>7.0000000000000007E-2</v>
      </c>
    </row>
    <row r="3627" spans="1:19" x14ac:dyDescent="0.3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e">
        <f>VLOOKUP('Customer Info'!B3619,'Customer Info'!B3619:B4118,1,0)</f>
        <v>#N/A</v>
      </c>
      <c r="H3627" s="6" t="e">
        <f>VLOOKUP('Customer Info'!C3619,'Customer Info'!C3619:C4118,1)</f>
        <v>#N/A</v>
      </c>
      <c r="I3627" s="6" t="e">
        <f>VLOOKUP('Customer Info'!E3619,'Customer Info'!E3619:E4118,1,0)</f>
        <v>#N/A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1696</v>
      </c>
      <c r="R3627" s="2" t="s">
        <v>28</v>
      </c>
      <c r="S3627" s="9">
        <f t="shared" si="284"/>
        <v>0.05</v>
      </c>
    </row>
    <row r="3628" spans="1:19" x14ac:dyDescent="0.3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e">
        <f>VLOOKUP('Customer Info'!B3620,'Customer Info'!B3620:B4119,1,0)</f>
        <v>#N/A</v>
      </c>
      <c r="H3628" s="6" t="e">
        <f>VLOOKUP('Customer Info'!C3620,'Customer Info'!C3620:C4119,1)</f>
        <v>#N/A</v>
      </c>
      <c r="I3628" s="6" t="e">
        <f>VLOOKUP('Customer Info'!E3620,'Customer Info'!E3620:E4119,1,0)</f>
        <v>#N/A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1694</v>
      </c>
      <c r="R3628" s="2" t="s">
        <v>28</v>
      </c>
      <c r="S3628" s="9">
        <f t="shared" si="284"/>
        <v>7.0000000000000007E-2</v>
      </c>
    </row>
    <row r="3629" spans="1:19" x14ac:dyDescent="0.3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e">
        <f>VLOOKUP('Customer Info'!B3621,'Customer Info'!B3621:B4120,1,0)</f>
        <v>#N/A</v>
      </c>
      <c r="H3629" s="6" t="e">
        <f>VLOOKUP('Customer Info'!C3621,'Customer Info'!C3621:C4120,1)</f>
        <v>#N/A</v>
      </c>
      <c r="I3629" s="6" t="e">
        <f>VLOOKUP('Customer Info'!E3621,'Customer Info'!E3621:E4120,1,0)</f>
        <v>#N/A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306</v>
      </c>
      <c r="R3629" s="2" t="s">
        <v>50</v>
      </c>
      <c r="S3629" s="9">
        <f t="shared" si="284"/>
        <v>0.05</v>
      </c>
    </row>
    <row r="3630" spans="1:19" x14ac:dyDescent="0.3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e">
        <f>VLOOKUP('Customer Info'!B3622,'Customer Info'!B3622:B4121,1,0)</f>
        <v>#N/A</v>
      </c>
      <c r="H3630" s="6" t="e">
        <f>VLOOKUP('Customer Info'!C3622,'Customer Info'!C3622:C4121,1)</f>
        <v>#N/A</v>
      </c>
      <c r="I3630" s="6" t="e">
        <f>VLOOKUP('Customer Info'!E3622,'Customer Info'!E3622:E4121,1,0)</f>
        <v>#N/A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36</v>
      </c>
      <c r="R3630" s="2" t="s">
        <v>50</v>
      </c>
      <c r="S3630" s="9">
        <f t="shared" si="284"/>
        <v>0.02</v>
      </c>
    </row>
    <row r="3631" spans="1:19" x14ac:dyDescent="0.3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e">
        <f>VLOOKUP('Customer Info'!B3623,'Customer Info'!B3623:B4122,1,0)</f>
        <v>#N/A</v>
      </c>
      <c r="H3631" s="6" t="e">
        <f>VLOOKUP('Customer Info'!C3623,'Customer Info'!C3623:C4122,1)</f>
        <v>#N/A</v>
      </c>
      <c r="I3631" s="6" t="e">
        <f>VLOOKUP('Customer Info'!E3623,'Customer Info'!E3623:E4122,1,0)</f>
        <v>#N/A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34</v>
      </c>
      <c r="R3631" s="2" t="s">
        <v>50</v>
      </c>
      <c r="S3631" s="9">
        <f t="shared" si="284"/>
        <v>0.02</v>
      </c>
    </row>
    <row r="3632" spans="1:19" x14ac:dyDescent="0.3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e">
        <f>VLOOKUP('Customer Info'!B3624,'Customer Info'!B3624:B4123,1,0)</f>
        <v>#N/A</v>
      </c>
      <c r="H3632" s="6" t="e">
        <f>VLOOKUP('Customer Info'!C3624,'Customer Info'!C3624:C4123,1)</f>
        <v>#N/A</v>
      </c>
      <c r="I3632" s="6" t="e">
        <f>VLOOKUP('Customer Info'!E3624,'Customer Info'!E3624:E4123,1,0)</f>
        <v>#N/A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2140</v>
      </c>
      <c r="R3632" s="2" t="s">
        <v>50</v>
      </c>
      <c r="S3632" s="9">
        <f t="shared" si="284"/>
        <v>7.0000000000000007E-2</v>
      </c>
    </row>
    <row r="3633" spans="1:19" x14ac:dyDescent="0.3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e">
        <f>VLOOKUP('Customer Info'!B3625,'Customer Info'!B3625:B4124,1,0)</f>
        <v>#N/A</v>
      </c>
      <c r="H3633" s="6" t="e">
        <f>VLOOKUP('Customer Info'!C3625,'Customer Info'!C3625:C4124,1)</f>
        <v>#N/A</v>
      </c>
      <c r="I3633" s="6" t="e">
        <f>VLOOKUP('Customer Info'!E3625,'Customer Info'!E3625:E4124,1,0)</f>
        <v>#N/A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3582</v>
      </c>
      <c r="R3633" s="2" t="s">
        <v>28</v>
      </c>
      <c r="S3633" s="9">
        <f t="shared" si="284"/>
        <v>0.09</v>
      </c>
    </row>
    <row r="3634" spans="1:19" x14ac:dyDescent="0.3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e">
        <f>VLOOKUP('Customer Info'!B3626,'Customer Info'!B3626:B4125,1,0)</f>
        <v>#N/A</v>
      </c>
      <c r="H3634" s="6" t="e">
        <f>VLOOKUP('Customer Info'!C3626,'Customer Info'!C3626:C4125,1)</f>
        <v>#N/A</v>
      </c>
      <c r="I3634" s="6" t="e">
        <f>VLOOKUP('Customer Info'!E3626,'Customer Info'!E3626:E4125,1,0)</f>
        <v>#N/A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129</v>
      </c>
      <c r="R3634" s="2" t="s">
        <v>56</v>
      </c>
      <c r="S3634" s="9">
        <f t="shared" si="284"/>
        <v>0.02</v>
      </c>
    </row>
    <row r="3635" spans="1:19" x14ac:dyDescent="0.3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e">
        <f>VLOOKUP('Customer Info'!B3627,'Customer Info'!B3627:B4126,1,0)</f>
        <v>#N/A</v>
      </c>
      <c r="H3635" s="6" t="e">
        <f>VLOOKUP('Customer Info'!C3627,'Customer Info'!C3627:C4126,1)</f>
        <v>#N/A</v>
      </c>
      <c r="I3635" s="6" t="e">
        <f>VLOOKUP('Customer Info'!E3627,'Customer Info'!E3627:E4126,1,0)</f>
        <v>#N/A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6</v>
      </c>
      <c r="R3635" s="2" t="s">
        <v>28</v>
      </c>
      <c r="S3635" s="9">
        <f t="shared" si="284"/>
        <v>0.02</v>
      </c>
    </row>
    <row r="3636" spans="1:19" x14ac:dyDescent="0.3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e">
        <f>VLOOKUP('Customer Info'!B3628,'Customer Info'!B3628:B4127,1,0)</f>
        <v>#N/A</v>
      </c>
      <c r="H3636" s="6" t="e">
        <f>VLOOKUP('Customer Info'!C3628,'Customer Info'!C3628:C4127,1)</f>
        <v>#N/A</v>
      </c>
      <c r="I3636" s="6" t="e">
        <f>VLOOKUP('Customer Info'!E3628,'Customer Info'!E3628:E4127,1,0)</f>
        <v>#N/A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92</v>
      </c>
      <c r="R3636" s="2" t="s">
        <v>50</v>
      </c>
      <c r="S3636" s="9">
        <f t="shared" si="284"/>
        <v>0.02</v>
      </c>
    </row>
    <row r="3637" spans="1:19" x14ac:dyDescent="0.3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e">
        <f>VLOOKUP('Customer Info'!B3629,'Customer Info'!B3629:B4128,1,0)</f>
        <v>#N/A</v>
      </c>
      <c r="H3637" s="6" t="e">
        <f>VLOOKUP('Customer Info'!C3629,'Customer Info'!C3629:C4128,1)</f>
        <v>#N/A</v>
      </c>
      <c r="I3637" s="6" t="e">
        <f>VLOOKUP('Customer Info'!E3629,'Customer Info'!E3629:E4128,1,0)</f>
        <v>#N/A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420</v>
      </c>
      <c r="R3637" s="2" t="s">
        <v>28</v>
      </c>
      <c r="S3637" s="9">
        <f t="shared" si="284"/>
        <v>0.05</v>
      </c>
    </row>
    <row r="3638" spans="1:19" x14ac:dyDescent="0.3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e">
        <f>VLOOKUP('Customer Info'!B3630,'Customer Info'!B3630:B4129,1,0)</f>
        <v>#N/A</v>
      </c>
      <c r="H3638" s="6" t="e">
        <f>VLOOKUP('Customer Info'!C3630,'Customer Info'!C3630:C4129,1)</f>
        <v>#N/A</v>
      </c>
      <c r="I3638" s="6" t="e">
        <f>VLOOKUP('Customer Info'!E3630,'Customer Info'!E3630:E4129,1,0)</f>
        <v>#N/A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51</v>
      </c>
      <c r="R3638" s="2" t="s">
        <v>28</v>
      </c>
      <c r="S3638" s="9">
        <f t="shared" si="284"/>
        <v>0.02</v>
      </c>
    </row>
    <row r="3639" spans="1:19" x14ac:dyDescent="0.3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e">
        <f>VLOOKUP('Customer Info'!B3631,'Customer Info'!B3631:B4130,1,0)</f>
        <v>#N/A</v>
      </c>
      <c r="H3639" s="6" t="e">
        <f>VLOOKUP('Customer Info'!C3631,'Customer Info'!C3631:C4130,1)</f>
        <v>#N/A</v>
      </c>
      <c r="I3639" s="6" t="e">
        <f>VLOOKUP('Customer Info'!E3631,'Customer Info'!E3631:E4130,1,0)</f>
        <v>#N/A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472</v>
      </c>
      <c r="R3639" s="2" t="s">
        <v>50</v>
      </c>
      <c r="S3639" s="9">
        <f t="shared" si="284"/>
        <v>0.05</v>
      </c>
    </row>
    <row r="3640" spans="1:19" x14ac:dyDescent="0.3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e">
        <f>VLOOKUP('Customer Info'!B3632,'Customer Info'!B3632:B4131,1,0)</f>
        <v>#N/A</v>
      </c>
      <c r="H3640" s="6" t="e">
        <f>VLOOKUP('Customer Info'!C3632,'Customer Info'!C3632:C4131,1)</f>
        <v>#N/A</v>
      </c>
      <c r="I3640" s="6" t="e">
        <f>VLOOKUP('Customer Info'!E3632,'Customer Info'!E3632:E4131,1,0)</f>
        <v>#N/A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1775</v>
      </c>
      <c r="R3640" s="2" t="s">
        <v>50</v>
      </c>
      <c r="S3640" s="9">
        <f t="shared" si="284"/>
        <v>0.05</v>
      </c>
    </row>
    <row r="3641" spans="1:19" x14ac:dyDescent="0.3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e">
        <f>VLOOKUP('Customer Info'!B3633,'Customer Info'!B3633:B4132,1,0)</f>
        <v>#N/A</v>
      </c>
      <c r="H3641" s="6" t="e">
        <f>VLOOKUP('Customer Info'!C3633,'Customer Info'!C3633:C4132,1)</f>
        <v>#N/A</v>
      </c>
      <c r="I3641" s="6" t="e">
        <f>VLOOKUP('Customer Info'!E3633,'Customer Info'!E3633:E4132,1,0)</f>
        <v>#N/A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30</v>
      </c>
      <c r="R3641" s="2" t="s">
        <v>28</v>
      </c>
      <c r="S3641" s="9">
        <f t="shared" si="284"/>
        <v>0.02</v>
      </c>
    </row>
    <row r="3642" spans="1:19" x14ac:dyDescent="0.3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e">
        <f>VLOOKUP('Customer Info'!B3634,'Customer Info'!B3634:B4133,1,0)</f>
        <v>#N/A</v>
      </c>
      <c r="H3642" s="6" t="e">
        <f>VLOOKUP('Customer Info'!C3634,'Customer Info'!C3634:C4133,1)</f>
        <v>#N/A</v>
      </c>
      <c r="I3642" s="6" t="e">
        <f>VLOOKUP('Customer Info'!E3634,'Customer Info'!E3634:E4133,1,0)</f>
        <v>#N/A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1884</v>
      </c>
      <c r="R3642" s="2" t="s">
        <v>28</v>
      </c>
      <c r="S3642" s="9">
        <f t="shared" si="284"/>
        <v>7.0000000000000007E-2</v>
      </c>
    </row>
    <row r="3643" spans="1:19" x14ac:dyDescent="0.3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e">
        <f>VLOOKUP('Customer Info'!B3635,'Customer Info'!B3635:B4134,1,0)</f>
        <v>#N/A</v>
      </c>
      <c r="H3643" s="6" t="e">
        <f>VLOOKUP('Customer Info'!C3635,'Customer Info'!C3635:C4134,1)</f>
        <v>#N/A</v>
      </c>
      <c r="I3643" s="6" t="e">
        <f>VLOOKUP('Customer Info'!E3635,'Customer Info'!E3635:E4134,1,0)</f>
        <v>#N/A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64</v>
      </c>
      <c r="R3643" s="2" t="s">
        <v>50</v>
      </c>
      <c r="S3643" s="9">
        <f t="shared" si="284"/>
        <v>0.02</v>
      </c>
    </row>
    <row r="3644" spans="1:19" x14ac:dyDescent="0.3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e">
        <f>VLOOKUP('Customer Info'!B3636,'Customer Info'!B3636:B4135,1,0)</f>
        <v>#N/A</v>
      </c>
      <c r="H3644" s="6" t="e">
        <f>VLOOKUP('Customer Info'!C3636,'Customer Info'!C3636:C4135,1)</f>
        <v>#N/A</v>
      </c>
      <c r="I3644" s="6" t="e">
        <f>VLOOKUP('Customer Info'!E3636,'Customer Info'!E3636:E4135,1,0)</f>
        <v>#N/A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948</v>
      </c>
      <c r="R3644" s="2" t="s">
        <v>50</v>
      </c>
      <c r="S3644" s="9">
        <f t="shared" si="284"/>
        <v>0.05</v>
      </c>
    </row>
    <row r="3645" spans="1:19" x14ac:dyDescent="0.3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e">
        <f>VLOOKUP('Customer Info'!B3637,'Customer Info'!B3637:B4136,1,0)</f>
        <v>#N/A</v>
      </c>
      <c r="H3645" s="6" t="e">
        <f>VLOOKUP('Customer Info'!C3637,'Customer Info'!C3637:C4136,1)</f>
        <v>#N/A</v>
      </c>
      <c r="I3645" s="6" t="e">
        <f>VLOOKUP('Customer Info'!E3637,'Customer Info'!E3637:E4136,1,0)</f>
        <v>#N/A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474</v>
      </c>
      <c r="R3645" s="2" t="s">
        <v>26</v>
      </c>
      <c r="S3645" s="9">
        <f t="shared" si="284"/>
        <v>0.05</v>
      </c>
    </row>
    <row r="3646" spans="1:19" x14ac:dyDescent="0.3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e">
        <f>VLOOKUP('Customer Info'!B3638,'Customer Info'!B3638:B4137,1,0)</f>
        <v>#N/A</v>
      </c>
      <c r="H3646" s="6" t="e">
        <f>VLOOKUP('Customer Info'!C3638,'Customer Info'!C3638:C4137,1)</f>
        <v>#N/A</v>
      </c>
      <c r="I3646" s="6" t="e">
        <f>VLOOKUP('Customer Info'!E3638,'Customer Info'!E3638:E4137,1,0)</f>
        <v>#N/A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252</v>
      </c>
      <c r="R3646" s="2" t="s">
        <v>28</v>
      </c>
      <c r="S3646" s="9">
        <f t="shared" si="284"/>
        <v>0.02</v>
      </c>
    </row>
    <row r="3647" spans="1:19" x14ac:dyDescent="0.3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e">
        <f>VLOOKUP('Customer Info'!B3639,'Customer Info'!B3639:B4138,1,0)</f>
        <v>#N/A</v>
      </c>
      <c r="H3647" s="6" t="e">
        <f>VLOOKUP('Customer Info'!C3639,'Customer Info'!C3639:C4138,1)</f>
        <v>#N/A</v>
      </c>
      <c r="I3647" s="6" t="e">
        <f>VLOOKUP('Customer Info'!E3639,'Customer Info'!E3639:E4138,1,0)</f>
        <v>#N/A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602</v>
      </c>
      <c r="R3647" s="2" t="s">
        <v>50</v>
      </c>
      <c r="S3647" s="9">
        <f t="shared" si="284"/>
        <v>0.05</v>
      </c>
    </row>
    <row r="3648" spans="1:19" x14ac:dyDescent="0.3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e">
        <f>VLOOKUP('Customer Info'!B3640,'Customer Info'!B3640:B4139,1,0)</f>
        <v>#N/A</v>
      </c>
      <c r="H3648" s="6" t="e">
        <f>VLOOKUP('Customer Info'!C3640,'Customer Info'!C3640:C4139,1)</f>
        <v>#N/A</v>
      </c>
      <c r="I3648" s="6" t="e">
        <f>VLOOKUP('Customer Info'!E3640,'Customer Info'!E3640:E4139,1,0)</f>
        <v>#N/A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30</v>
      </c>
      <c r="R3648" s="2" t="s">
        <v>28</v>
      </c>
      <c r="S3648" s="9">
        <f t="shared" si="284"/>
        <v>0.02</v>
      </c>
    </row>
    <row r="3649" spans="1:19" x14ac:dyDescent="0.3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e">
        <f>VLOOKUP('Customer Info'!B3641,'Customer Info'!B3641:B4140,1,0)</f>
        <v>#N/A</v>
      </c>
      <c r="H3649" s="6" t="e">
        <f>VLOOKUP('Customer Info'!C3641,'Customer Info'!C3641:C4140,1)</f>
        <v>#N/A</v>
      </c>
      <c r="I3649" s="6" t="e">
        <f>VLOOKUP('Customer Info'!E3641,'Customer Info'!E3641:E4140,1,0)</f>
        <v>#N/A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528</v>
      </c>
      <c r="R3649" s="2" t="s">
        <v>50</v>
      </c>
      <c r="S3649" s="9">
        <f t="shared" si="284"/>
        <v>0.05</v>
      </c>
    </row>
    <row r="3650" spans="1:19" x14ac:dyDescent="0.3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e">
        <f>VLOOKUP('Customer Info'!B3642,'Customer Info'!B3642:B4141,1,0)</f>
        <v>#N/A</v>
      </c>
      <c r="H3650" s="6" t="e">
        <f>VLOOKUP('Customer Info'!C3642,'Customer Info'!C3642:C4141,1)</f>
        <v>#N/A</v>
      </c>
      <c r="I3650" s="6" t="e">
        <f>VLOOKUP('Customer Info'!E3642,'Customer Info'!E3642:E4141,1,0)</f>
        <v>#N/A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252</v>
      </c>
      <c r="R3650" s="2" t="s">
        <v>28</v>
      </c>
      <c r="S3650" s="9">
        <f t="shared" si="284"/>
        <v>0.02</v>
      </c>
    </row>
    <row r="3651" spans="1:19" x14ac:dyDescent="0.3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e">
        <f>VLOOKUP('Customer Info'!B3643,'Customer Info'!B3643:B4142,1,0)</f>
        <v>#N/A</v>
      </c>
      <c r="H3651" s="6" t="e">
        <f>VLOOKUP('Customer Info'!C3643,'Customer Info'!C3643:C4142,1)</f>
        <v>#N/A</v>
      </c>
      <c r="I3651" s="6" t="e">
        <f>VLOOKUP('Customer Info'!E3643,'Customer Info'!E3643:E4142,1,0)</f>
        <v>#N/A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592</v>
      </c>
      <c r="R3651" s="2" t="s">
        <v>28</v>
      </c>
      <c r="S3651" s="9">
        <f t="shared" si="284"/>
        <v>0.05</v>
      </c>
    </row>
    <row r="3652" spans="1:19" x14ac:dyDescent="0.3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e">
        <f>VLOOKUP('Customer Info'!B3644,'Customer Info'!B3644:B4143,1,0)</f>
        <v>#N/A</v>
      </c>
      <c r="H3652" s="6" t="e">
        <f>VLOOKUP('Customer Info'!C3644,'Customer Info'!C3644:C4143,1)</f>
        <v>#N/A</v>
      </c>
      <c r="I3652" s="6" t="e">
        <f>VLOOKUP('Customer Info'!E3644,'Customer Info'!E3644:E4143,1,0)</f>
        <v>#N/A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635</v>
      </c>
      <c r="R3652" s="2" t="s">
        <v>28</v>
      </c>
      <c r="S3652" s="9">
        <f t="shared" si="284"/>
        <v>0.05</v>
      </c>
    </row>
    <row r="3653" spans="1:19" x14ac:dyDescent="0.3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e">
        <f>VLOOKUP('Customer Info'!B3645,'Customer Info'!B3645:B4144,1,0)</f>
        <v>#N/A</v>
      </c>
      <c r="H3653" s="6" t="e">
        <f>VLOOKUP('Customer Info'!C3645,'Customer Info'!C3645:C4144,1)</f>
        <v>#N/A</v>
      </c>
      <c r="I3653" s="6" t="e">
        <f>VLOOKUP('Customer Info'!E3645,'Customer Info'!E3645:E4144,1,0)</f>
        <v>#N/A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2580</v>
      </c>
      <c r="R3653" s="2" t="s">
        <v>50</v>
      </c>
      <c r="S3653" s="9">
        <f t="shared" si="284"/>
        <v>7.0000000000000007E-2</v>
      </c>
    </row>
    <row r="3654" spans="1:19" x14ac:dyDescent="0.3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e">
        <f>VLOOKUP('Customer Info'!B3646,'Customer Info'!B3646:B4145,1,0)</f>
        <v>#N/A</v>
      </c>
      <c r="H3654" s="6" t="e">
        <f>VLOOKUP('Customer Info'!C3646,'Customer Info'!C3646:C4145,1)</f>
        <v>#N/A</v>
      </c>
      <c r="I3654" s="6" t="e">
        <f>VLOOKUP('Customer Info'!E3646,'Customer Info'!E3646:E4145,1,0)</f>
        <v>#N/A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192</v>
      </c>
      <c r="R3654" s="2" t="s">
        <v>28</v>
      </c>
      <c r="S3654" s="9">
        <f t="shared" si="284"/>
        <v>0.02</v>
      </c>
    </row>
    <row r="3655" spans="1:19" x14ac:dyDescent="0.3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e">
        <f>VLOOKUP('Customer Info'!B3647,'Customer Info'!B3647:B4146,1,0)</f>
        <v>#N/A</v>
      </c>
      <c r="H3655" s="6" t="e">
        <f>VLOOKUP('Customer Info'!C3647,'Customer Info'!C3647:C4146,1)</f>
        <v>#N/A</v>
      </c>
      <c r="I3655" s="6" t="e">
        <f>VLOOKUP('Customer Info'!E3647,'Customer Info'!E3647:E4146,1,0)</f>
        <v>#N/A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4</v>
      </c>
      <c r="R3655" s="2" t="s">
        <v>50</v>
      </c>
      <c r="S3655" s="9">
        <f t="shared" si="284"/>
        <v>0.02</v>
      </c>
    </row>
    <row r="3656" spans="1:19" x14ac:dyDescent="0.3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e">
        <f>VLOOKUP('Customer Info'!B3648,'Customer Info'!B3648:B4147,1,0)</f>
        <v>#N/A</v>
      </c>
      <c r="H3656" s="6" t="e">
        <f>VLOOKUP('Customer Info'!C3648,'Customer Info'!C3648:C4147,1)</f>
        <v>#N/A</v>
      </c>
      <c r="I3656" s="6" t="e">
        <f>VLOOKUP('Customer Info'!E3648,'Customer Info'!E3648:E4147,1,0)</f>
        <v>#N/A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654</v>
      </c>
      <c r="R3656" s="2" t="s">
        <v>50</v>
      </c>
      <c r="S3656" s="9">
        <f t="shared" si="284"/>
        <v>0.05</v>
      </c>
    </row>
    <row r="3657" spans="1:19" x14ac:dyDescent="0.3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e">
        <f>VLOOKUP('Customer Info'!B3649,'Customer Info'!B3649:B4148,1,0)</f>
        <v>#N/A</v>
      </c>
      <c r="H3657" s="6" t="e">
        <f>VLOOKUP('Customer Info'!C3649,'Customer Info'!C3649:C4148,1)</f>
        <v>#N/A</v>
      </c>
      <c r="I3657" s="6" t="e">
        <f>VLOOKUP('Customer Info'!E3649,'Customer Info'!E3649:E4148,1,0)</f>
        <v>#N/A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248</v>
      </c>
      <c r="R3657" s="2" t="s">
        <v>50</v>
      </c>
      <c r="S3657" s="9">
        <f t="shared" si="284"/>
        <v>0.02</v>
      </c>
    </row>
    <row r="3658" spans="1:19" x14ac:dyDescent="0.3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e">
        <f>VLOOKUP('Customer Info'!B3650,'Customer Info'!B3650:B4149,1,0)</f>
        <v>#N/A</v>
      </c>
      <c r="H3658" s="6" t="e">
        <f>VLOOKUP('Customer Info'!C3650,'Customer Info'!C3650:C4149,1)</f>
        <v>#N/A</v>
      </c>
      <c r="I3658" s="6" t="e">
        <f>VLOOKUP('Customer Info'!E3650,'Customer Info'!E3650:E4149,1,0)</f>
        <v>#N/A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543</v>
      </c>
      <c r="R3658" s="2" t="s">
        <v>50</v>
      </c>
      <c r="S3658" s="9">
        <f t="shared" si="284"/>
        <v>0.05</v>
      </c>
    </row>
    <row r="3659" spans="1:19" x14ac:dyDescent="0.3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e">
        <f>VLOOKUP('Customer Info'!B3651,'Customer Info'!B3651:B4150,1,0)</f>
        <v>#N/A</v>
      </c>
      <c r="H3659" s="6" t="e">
        <f>VLOOKUP('Customer Info'!C3651,'Customer Info'!C3651:C4150,1)</f>
        <v>#N/A</v>
      </c>
      <c r="I3659" s="6" t="e">
        <f>VLOOKUP('Customer Info'!E3651,'Customer Info'!E3651:E4150,1,0)</f>
        <v>#N/A</v>
      </c>
      <c r="J3659" s="2">
        <v>5836</v>
      </c>
      <c r="K3659" s="2">
        <v>5457</v>
      </c>
      <c r="L3659" s="2">
        <v>2</v>
      </c>
      <c r="M3659" s="7">
        <f t="shared" ref="M3659:M3722" si="285">(K3659*L3659)</f>
        <v>10914</v>
      </c>
      <c r="N3659" s="7">
        <f t="shared" ref="N3659:N3722" si="286">(J3659*L3659)</f>
        <v>11672</v>
      </c>
      <c r="O3659" s="2">
        <v>29</v>
      </c>
      <c r="P3659" s="8">
        <f t="shared" ref="P3659:P3722" si="287">(N3659+O3659)</f>
        <v>11701</v>
      </c>
      <c r="Q3659" s="8">
        <f t="shared" ref="Q3659:Q3722" si="288">(N3659-M3659)</f>
        <v>758</v>
      </c>
      <c r="R3659" s="2" t="s">
        <v>50</v>
      </c>
      <c r="S3659" s="9">
        <f t="shared" ref="S3659:S3722" si="289">_xlfn.IFS(P3659&gt;250000,0.15,P3659&gt;100000,0.12,P3659&gt;50000,0.09,P3659&gt;25000,0.07,P3659&gt;5000,0.05,
 TRUE,0.02)</f>
        <v>0.05</v>
      </c>
    </row>
    <row r="3660" spans="1:19" x14ac:dyDescent="0.3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e">
        <f>VLOOKUP('Customer Info'!B3652,'Customer Info'!B3652:B4151,1,0)</f>
        <v>#N/A</v>
      </c>
      <c r="H3660" s="6" t="e">
        <f>VLOOKUP('Customer Info'!C3652,'Customer Info'!C3652:C4151,1)</f>
        <v>#N/A</v>
      </c>
      <c r="I3660" s="6" t="e">
        <f>VLOOKUP('Customer Info'!E3652,'Customer Info'!E3652:E4151,1,0)</f>
        <v>#N/A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134</v>
      </c>
      <c r="R3660" s="2" t="s">
        <v>50</v>
      </c>
      <c r="S3660" s="9">
        <f t="shared" si="289"/>
        <v>0.02</v>
      </c>
    </row>
    <row r="3661" spans="1:19" x14ac:dyDescent="0.3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e">
        <f>VLOOKUP('Customer Info'!B3653,'Customer Info'!B3653:B4152,1,0)</f>
        <v>#N/A</v>
      </c>
      <c r="H3661" s="6" t="e">
        <f>VLOOKUP('Customer Info'!C3653,'Customer Info'!C3653:C4152,1)</f>
        <v>#N/A</v>
      </c>
      <c r="I3661" s="6" t="e">
        <f>VLOOKUP('Customer Info'!E3653,'Customer Info'!E3653:E4152,1,0)</f>
        <v>#N/A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1352</v>
      </c>
      <c r="R3661" s="2" t="s">
        <v>28</v>
      </c>
      <c r="S3661" s="9">
        <f t="shared" si="289"/>
        <v>0.05</v>
      </c>
    </row>
    <row r="3662" spans="1:19" x14ac:dyDescent="0.3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e">
        <f>VLOOKUP('Customer Info'!B3654,'Customer Info'!B3654:B4153,1,0)</f>
        <v>#N/A</v>
      </c>
      <c r="H3662" s="6" t="e">
        <f>VLOOKUP('Customer Info'!C3654,'Customer Info'!C3654:C4153,1)</f>
        <v>#N/A</v>
      </c>
      <c r="I3662" s="6" t="e">
        <f>VLOOKUP('Customer Info'!E3654,'Customer Info'!E3654:E4153,1,0)</f>
        <v>#N/A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323</v>
      </c>
      <c r="R3662" s="2" t="s">
        <v>28</v>
      </c>
      <c r="S3662" s="9">
        <f t="shared" si="289"/>
        <v>0.02</v>
      </c>
    </row>
    <row r="3663" spans="1:19" x14ac:dyDescent="0.3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e">
        <f>VLOOKUP('Customer Info'!B3655,'Customer Info'!B3655:B4154,1,0)</f>
        <v>#N/A</v>
      </c>
      <c r="H3663" s="6" t="e">
        <f>VLOOKUP('Customer Info'!C3655,'Customer Info'!C3655:C4154,1)</f>
        <v>#N/A</v>
      </c>
      <c r="I3663" s="6" t="e">
        <f>VLOOKUP('Customer Info'!E3655,'Customer Info'!E3655:E4154,1,0)</f>
        <v>#N/A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808</v>
      </c>
      <c r="R3663" s="2" t="s">
        <v>28</v>
      </c>
      <c r="S3663" s="9">
        <f t="shared" si="289"/>
        <v>0.05</v>
      </c>
    </row>
    <row r="3664" spans="1:19" x14ac:dyDescent="0.3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e">
        <f>VLOOKUP('Customer Info'!B3656,'Customer Info'!B3656:B4155,1,0)</f>
        <v>#N/A</v>
      </c>
      <c r="H3664" s="6" t="e">
        <f>VLOOKUP('Customer Info'!C3656,'Customer Info'!C3656:C4155,1)</f>
        <v>#N/A</v>
      </c>
      <c r="I3664" s="6" t="e">
        <f>VLOOKUP('Customer Info'!E3656,'Customer Info'!E3656:E4155,1,0)</f>
        <v>#N/A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528</v>
      </c>
      <c r="R3664" s="2" t="s">
        <v>28</v>
      </c>
      <c r="S3664" s="9">
        <f t="shared" si="289"/>
        <v>0.05</v>
      </c>
    </row>
    <row r="3665" spans="1:19" x14ac:dyDescent="0.3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e">
        <f>VLOOKUP('Customer Info'!B3657,'Customer Info'!B3657:B4156,1,0)</f>
        <v>#N/A</v>
      </c>
      <c r="H3665" s="6" t="e">
        <f>VLOOKUP('Customer Info'!C3657,'Customer Info'!C3657:C4156,1)</f>
        <v>#N/A</v>
      </c>
      <c r="I3665" s="6" t="e">
        <f>VLOOKUP('Customer Info'!E3657,'Customer Info'!E3657:E4156,1,0)</f>
        <v>#N/A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1928</v>
      </c>
      <c r="R3665" s="2" t="s">
        <v>56</v>
      </c>
      <c r="S3665" s="9">
        <f t="shared" si="289"/>
        <v>0.05</v>
      </c>
    </row>
    <row r="3666" spans="1:19" x14ac:dyDescent="0.3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e">
        <f>VLOOKUP('Customer Info'!B3658,'Customer Info'!B3658:B4157,1,0)</f>
        <v>#N/A</v>
      </c>
      <c r="H3666" s="6" t="e">
        <f>VLOOKUP('Customer Info'!C3658,'Customer Info'!C3658:C4157,1)</f>
        <v>#N/A</v>
      </c>
      <c r="I3666" s="6" t="e">
        <f>VLOOKUP('Customer Info'!E3658,'Customer Info'!E3658:E4157,1,0)</f>
        <v>#N/A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186</v>
      </c>
      <c r="R3666" s="2" t="s">
        <v>28</v>
      </c>
      <c r="S3666" s="9">
        <f t="shared" si="289"/>
        <v>0.02</v>
      </c>
    </row>
    <row r="3667" spans="1:19" x14ac:dyDescent="0.3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e">
        <f>VLOOKUP('Customer Info'!B3659,'Customer Info'!B3659:B4158,1,0)</f>
        <v>#N/A</v>
      </c>
      <c r="H3667" s="6" t="e">
        <f>VLOOKUP('Customer Info'!C3659,'Customer Info'!C3659:C4158,1)</f>
        <v>#N/A</v>
      </c>
      <c r="I3667" s="6" t="e">
        <f>VLOOKUP('Customer Info'!E3659,'Customer Info'!E3659:E4158,1,0)</f>
        <v>#N/A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379</v>
      </c>
      <c r="R3667" s="2" t="s">
        <v>50</v>
      </c>
      <c r="S3667" s="9">
        <f t="shared" si="289"/>
        <v>0.05</v>
      </c>
    </row>
    <row r="3668" spans="1:19" x14ac:dyDescent="0.3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e">
        <f>VLOOKUP('Customer Info'!B3660,'Customer Info'!B3660:B4159,1,0)</f>
        <v>#N/A</v>
      </c>
      <c r="H3668" s="6" t="e">
        <f>VLOOKUP('Customer Info'!C3660,'Customer Info'!C3660:C4159,1)</f>
        <v>#N/A</v>
      </c>
      <c r="I3668" s="6" t="e">
        <f>VLOOKUP('Customer Info'!E3660,'Customer Info'!E3660:E4159,1,0)</f>
        <v>#N/A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14</v>
      </c>
      <c r="R3668" s="2" t="s">
        <v>28</v>
      </c>
      <c r="S3668" s="9">
        <f t="shared" si="289"/>
        <v>0.02</v>
      </c>
    </row>
    <row r="3669" spans="1:19" x14ac:dyDescent="0.3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e">
        <f>VLOOKUP('Customer Info'!B3661,'Customer Info'!B3661:B4160,1,0)</f>
        <v>#N/A</v>
      </c>
      <c r="H3669" s="6" t="e">
        <f>VLOOKUP('Customer Info'!C3661,'Customer Info'!C3661:C4160,1)</f>
        <v>#N/A</v>
      </c>
      <c r="I3669" s="6" t="e">
        <f>VLOOKUP('Customer Info'!E3661,'Customer Info'!E3661:E4160,1,0)</f>
        <v>#N/A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328</v>
      </c>
      <c r="R3669" s="2" t="s">
        <v>28</v>
      </c>
      <c r="S3669" s="9">
        <f t="shared" si="289"/>
        <v>0.05</v>
      </c>
    </row>
    <row r="3670" spans="1:19" x14ac:dyDescent="0.3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e">
        <f>VLOOKUP('Customer Info'!B3662,'Customer Info'!B3662:B4161,1,0)</f>
        <v>#N/A</v>
      </c>
      <c r="H3670" s="6" t="e">
        <f>VLOOKUP('Customer Info'!C3662,'Customer Info'!C3662:C4161,1)</f>
        <v>#N/A</v>
      </c>
      <c r="I3670" s="6" t="e">
        <f>VLOOKUP('Customer Info'!E3662,'Customer Info'!E3662:E4161,1,0)</f>
        <v>#N/A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1104</v>
      </c>
      <c r="R3670" s="2" t="s">
        <v>28</v>
      </c>
      <c r="S3670" s="9">
        <f t="shared" si="289"/>
        <v>0.05</v>
      </c>
    </row>
    <row r="3671" spans="1:19" x14ac:dyDescent="0.3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e">
        <f>VLOOKUP('Customer Info'!B3663,'Customer Info'!B3663:B4162,1,0)</f>
        <v>#N/A</v>
      </c>
      <c r="H3671" s="6" t="e">
        <f>VLOOKUP('Customer Info'!C3663,'Customer Info'!C3663:C4162,1)</f>
        <v>#N/A</v>
      </c>
      <c r="I3671" s="6" t="e">
        <f>VLOOKUP('Customer Info'!E3663,'Customer Info'!E3663:E4162,1,0)</f>
        <v>#N/A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177</v>
      </c>
      <c r="R3671" s="2" t="s">
        <v>28</v>
      </c>
      <c r="S3671" s="9">
        <f t="shared" si="289"/>
        <v>0.02</v>
      </c>
    </row>
    <row r="3672" spans="1:19" x14ac:dyDescent="0.3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e">
        <f>VLOOKUP('Customer Info'!B3664,'Customer Info'!B3664:B4163,1,0)</f>
        <v>#N/A</v>
      </c>
      <c r="H3672" s="6" t="e">
        <f>VLOOKUP('Customer Info'!C3664,'Customer Info'!C3664:C4163,1)</f>
        <v>#N/A</v>
      </c>
      <c r="I3672" s="6" t="e">
        <f>VLOOKUP('Customer Info'!E3664,'Customer Info'!E3664:E4163,1,0)</f>
        <v>#N/A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61</v>
      </c>
      <c r="R3672" s="2" t="s">
        <v>50</v>
      </c>
      <c r="S3672" s="9">
        <f t="shared" si="289"/>
        <v>0.02</v>
      </c>
    </row>
    <row r="3673" spans="1:19" x14ac:dyDescent="0.3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e">
        <f>VLOOKUP('Customer Info'!B3665,'Customer Info'!B3665:B4164,1,0)</f>
        <v>#N/A</v>
      </c>
      <c r="H3673" s="6" t="e">
        <f>VLOOKUP('Customer Info'!C3665,'Customer Info'!C3665:C4164,1)</f>
        <v>#N/A</v>
      </c>
      <c r="I3673" s="6" t="e">
        <f>VLOOKUP('Customer Info'!E3665,'Customer Info'!E3665:E4164,1,0)</f>
        <v>#N/A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60</v>
      </c>
      <c r="R3673" s="2" t="s">
        <v>50</v>
      </c>
      <c r="S3673" s="9">
        <f t="shared" si="289"/>
        <v>0.02</v>
      </c>
    </row>
    <row r="3674" spans="1:19" x14ac:dyDescent="0.3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e">
        <f>VLOOKUP('Customer Info'!B3666,'Customer Info'!B3666:B4165,1,0)</f>
        <v>#N/A</v>
      </c>
      <c r="H3674" s="6" t="e">
        <f>VLOOKUP('Customer Info'!C3666,'Customer Info'!C3666:C4165,1)</f>
        <v>#N/A</v>
      </c>
      <c r="I3674" s="6" t="e">
        <f>VLOOKUP('Customer Info'!E3666,'Customer Info'!E3666:E4165,1,0)</f>
        <v>#N/A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185</v>
      </c>
      <c r="R3674" s="2" t="s">
        <v>28</v>
      </c>
      <c r="S3674" s="9">
        <f t="shared" si="289"/>
        <v>0.02</v>
      </c>
    </row>
    <row r="3675" spans="1:19" x14ac:dyDescent="0.3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e">
        <f>VLOOKUP('Customer Info'!B3667,'Customer Info'!B3667:B4166,1,0)</f>
        <v>#N/A</v>
      </c>
      <c r="H3675" s="6" t="e">
        <f>VLOOKUP('Customer Info'!C3667,'Customer Info'!C3667:C4166,1)</f>
        <v>#N/A</v>
      </c>
      <c r="I3675" s="6" t="e">
        <f>VLOOKUP('Customer Info'!E3667,'Customer Info'!E3667:E4166,1,0)</f>
        <v>#N/A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258</v>
      </c>
      <c r="R3675" s="2" t="s">
        <v>50</v>
      </c>
      <c r="S3675" s="9">
        <f t="shared" si="289"/>
        <v>0.02</v>
      </c>
    </row>
    <row r="3676" spans="1:19" x14ac:dyDescent="0.3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e">
        <f>VLOOKUP('Customer Info'!B3668,'Customer Info'!B3668:B4167,1,0)</f>
        <v>#N/A</v>
      </c>
      <c r="H3676" s="6" t="e">
        <f>VLOOKUP('Customer Info'!C3668,'Customer Info'!C3668:C4167,1)</f>
        <v>#N/A</v>
      </c>
      <c r="I3676" s="6" t="e">
        <f>VLOOKUP('Customer Info'!E3668,'Customer Info'!E3668:E4167,1,0)</f>
        <v>#N/A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233</v>
      </c>
      <c r="R3676" s="2" t="s">
        <v>50</v>
      </c>
      <c r="S3676" s="9">
        <f t="shared" si="289"/>
        <v>0.02</v>
      </c>
    </row>
    <row r="3677" spans="1:19" x14ac:dyDescent="0.3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e">
        <f>VLOOKUP('Customer Info'!B3669,'Customer Info'!B3669:B4168,1,0)</f>
        <v>#N/A</v>
      </c>
      <c r="H3677" s="6" t="e">
        <f>VLOOKUP('Customer Info'!C3669,'Customer Info'!C3669:C4168,1)</f>
        <v>#N/A</v>
      </c>
      <c r="I3677" s="6" t="e">
        <f>VLOOKUP('Customer Info'!E3669,'Customer Info'!E3669:E4168,1,0)</f>
        <v>#N/A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399</v>
      </c>
      <c r="R3677" s="2" t="s">
        <v>28</v>
      </c>
      <c r="S3677" s="9">
        <f t="shared" si="289"/>
        <v>0.05</v>
      </c>
    </row>
    <row r="3678" spans="1:19" x14ac:dyDescent="0.3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e">
        <f>VLOOKUP('Customer Info'!B3670,'Customer Info'!B3670:B4169,1,0)</f>
        <v>#N/A</v>
      </c>
      <c r="H3678" s="6" t="e">
        <f>VLOOKUP('Customer Info'!C3670,'Customer Info'!C3670:C4169,1)</f>
        <v>#N/A</v>
      </c>
      <c r="I3678" s="6" t="e">
        <f>VLOOKUP('Customer Info'!E3670,'Customer Info'!E3670:E4169,1,0)</f>
        <v>#N/A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210</v>
      </c>
      <c r="R3678" s="2" t="s">
        <v>28</v>
      </c>
      <c r="S3678" s="9">
        <f t="shared" si="289"/>
        <v>0.05</v>
      </c>
    </row>
    <row r="3679" spans="1:19" x14ac:dyDescent="0.3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e">
        <f>VLOOKUP('Customer Info'!B3671,'Customer Info'!B3671:B4170,1,0)</f>
        <v>#N/A</v>
      </c>
      <c r="H3679" s="6" t="e">
        <f>VLOOKUP('Customer Info'!C3671,'Customer Info'!C3671:C4170,1)</f>
        <v>#N/A</v>
      </c>
      <c r="I3679" s="6" t="e">
        <f>VLOOKUP('Customer Info'!E3671,'Customer Info'!E3671:E4170,1,0)</f>
        <v>#N/A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9</v>
      </c>
      <c r="R3679" s="2" t="s">
        <v>28</v>
      </c>
      <c r="S3679" s="9">
        <f t="shared" si="289"/>
        <v>0.02</v>
      </c>
    </row>
    <row r="3680" spans="1:19" x14ac:dyDescent="0.3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e">
        <f>VLOOKUP('Customer Info'!B3672,'Customer Info'!B3672:B4171,1,0)</f>
        <v>#N/A</v>
      </c>
      <c r="H3680" s="6" t="e">
        <f>VLOOKUP('Customer Info'!C3672,'Customer Info'!C3672:C4171,1)</f>
        <v>#N/A</v>
      </c>
      <c r="I3680" s="6" t="e">
        <f>VLOOKUP('Customer Info'!E3672,'Customer Info'!E3672:E4171,1,0)</f>
        <v>#N/A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25</v>
      </c>
      <c r="R3680" s="2" t="s">
        <v>50</v>
      </c>
      <c r="S3680" s="9">
        <f t="shared" si="289"/>
        <v>0.02</v>
      </c>
    </row>
    <row r="3681" spans="1:19" x14ac:dyDescent="0.3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e">
        <f>VLOOKUP('Customer Info'!B3673,'Customer Info'!B3673:B4172,1,0)</f>
        <v>#N/A</v>
      </c>
      <c r="H3681" s="6" t="e">
        <f>VLOOKUP('Customer Info'!C3673,'Customer Info'!C3673:C4172,1)</f>
        <v>#N/A</v>
      </c>
      <c r="I3681" s="6" t="e">
        <f>VLOOKUP('Customer Info'!E3673,'Customer Info'!E3673:E4172,1,0)</f>
        <v>#N/A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95</v>
      </c>
      <c r="R3681" s="2" t="s">
        <v>28</v>
      </c>
      <c r="S3681" s="9">
        <f t="shared" si="289"/>
        <v>0.02</v>
      </c>
    </row>
    <row r="3682" spans="1:19" x14ac:dyDescent="0.3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e">
        <f>VLOOKUP('Customer Info'!B3674,'Customer Info'!B3674:B4173,1,0)</f>
        <v>#N/A</v>
      </c>
      <c r="H3682" s="6" t="e">
        <f>VLOOKUP('Customer Info'!C3674,'Customer Info'!C3674:C4173,1)</f>
        <v>#N/A</v>
      </c>
      <c r="I3682" s="6" t="e">
        <f>VLOOKUP('Customer Info'!E3674,'Customer Info'!E3674:E4173,1,0)</f>
        <v>#N/A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1050</v>
      </c>
      <c r="R3682" s="2" t="s">
        <v>28</v>
      </c>
      <c r="S3682" s="9">
        <f t="shared" si="289"/>
        <v>0.05</v>
      </c>
    </row>
    <row r="3683" spans="1:19" x14ac:dyDescent="0.3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e">
        <f>VLOOKUP('Customer Info'!B3675,'Customer Info'!B3675:B4174,1,0)</f>
        <v>#N/A</v>
      </c>
      <c r="H3683" s="6" t="e">
        <f>VLOOKUP('Customer Info'!C3675,'Customer Info'!C3675:C4174,1)</f>
        <v>#N/A</v>
      </c>
      <c r="I3683" s="6" t="e">
        <f>VLOOKUP('Customer Info'!E3675,'Customer Info'!E3675:E4174,1,0)</f>
        <v>#N/A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360</v>
      </c>
      <c r="R3683" s="2" t="s">
        <v>28</v>
      </c>
      <c r="S3683" s="9">
        <f t="shared" si="289"/>
        <v>0.05</v>
      </c>
    </row>
    <row r="3684" spans="1:19" x14ac:dyDescent="0.3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e">
        <f>VLOOKUP('Customer Info'!B3676,'Customer Info'!B3676:B4175,1,0)</f>
        <v>#N/A</v>
      </c>
      <c r="H3684" s="6" t="e">
        <f>VLOOKUP('Customer Info'!C3676,'Customer Info'!C3676:C4175,1)</f>
        <v>#N/A</v>
      </c>
      <c r="I3684" s="6" t="e">
        <f>VLOOKUP('Customer Info'!E3676,'Customer Info'!E3676:E4175,1,0)</f>
        <v>#N/A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3425</v>
      </c>
      <c r="R3684" s="2" t="s">
        <v>28</v>
      </c>
      <c r="S3684" s="9">
        <f t="shared" si="289"/>
        <v>7.0000000000000007E-2</v>
      </c>
    </row>
    <row r="3685" spans="1:19" x14ac:dyDescent="0.3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e">
        <f>VLOOKUP('Customer Info'!B3677,'Customer Info'!B3677:B4176,1,0)</f>
        <v>#N/A</v>
      </c>
      <c r="H3685" s="6" t="e">
        <f>VLOOKUP('Customer Info'!C3677,'Customer Info'!C3677:C4176,1)</f>
        <v>#N/A</v>
      </c>
      <c r="I3685" s="6" t="e">
        <f>VLOOKUP('Customer Info'!E3677,'Customer Info'!E3677:E4176,1,0)</f>
        <v>#N/A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8</v>
      </c>
      <c r="R3685" s="2" t="s">
        <v>50</v>
      </c>
      <c r="S3685" s="9">
        <f t="shared" si="289"/>
        <v>0.02</v>
      </c>
    </row>
    <row r="3686" spans="1:19" x14ac:dyDescent="0.3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e">
        <f>VLOOKUP('Customer Info'!B3678,'Customer Info'!B3678:B4177,1,0)</f>
        <v>#N/A</v>
      </c>
      <c r="H3686" s="6" t="e">
        <f>VLOOKUP('Customer Info'!C3678,'Customer Info'!C3678:C4177,1)</f>
        <v>#N/A</v>
      </c>
      <c r="I3686" s="6" t="e">
        <f>VLOOKUP('Customer Info'!E3678,'Customer Info'!E3678:E4177,1,0)</f>
        <v>#N/A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12</v>
      </c>
      <c r="R3686" s="2" t="s">
        <v>28</v>
      </c>
      <c r="S3686" s="9">
        <f t="shared" si="289"/>
        <v>0.02</v>
      </c>
    </row>
    <row r="3687" spans="1:19" x14ac:dyDescent="0.3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e">
        <f>VLOOKUP('Customer Info'!B3679,'Customer Info'!B3679:B4178,1,0)</f>
        <v>#N/A</v>
      </c>
      <c r="H3687" s="6" t="e">
        <f>VLOOKUP('Customer Info'!C3679,'Customer Info'!C3679:C4178,1)</f>
        <v>#N/A</v>
      </c>
      <c r="I3687" s="6" t="e">
        <f>VLOOKUP('Customer Info'!E3679,'Customer Info'!E3679:E4178,1,0)</f>
        <v>#N/A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504</v>
      </c>
      <c r="R3687" s="2" t="s">
        <v>26</v>
      </c>
      <c r="S3687" s="9">
        <f t="shared" si="289"/>
        <v>0.05</v>
      </c>
    </row>
    <row r="3688" spans="1:19" x14ac:dyDescent="0.3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e">
        <f>VLOOKUP('Customer Info'!B3680,'Customer Info'!B3680:B4179,1,0)</f>
        <v>#N/A</v>
      </c>
      <c r="H3688" s="6" t="e">
        <f>VLOOKUP('Customer Info'!C3680,'Customer Info'!C3680:C4179,1)</f>
        <v>#N/A</v>
      </c>
      <c r="I3688" s="6" t="e">
        <f>VLOOKUP('Customer Info'!E3680,'Customer Info'!E3680:E4179,1,0)</f>
        <v>#N/A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212</v>
      </c>
      <c r="R3688" s="2" t="s">
        <v>26</v>
      </c>
      <c r="S3688" s="9">
        <f t="shared" si="289"/>
        <v>0.05</v>
      </c>
    </row>
    <row r="3689" spans="1:19" x14ac:dyDescent="0.3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e">
        <f>VLOOKUP('Customer Info'!B3681,'Customer Info'!B3681:B4180,1,0)</f>
        <v>#N/A</v>
      </c>
      <c r="H3689" s="6" t="e">
        <f>VLOOKUP('Customer Info'!C3681,'Customer Info'!C3681:C4180,1)</f>
        <v>#N/A</v>
      </c>
      <c r="I3689" s="6" t="e">
        <f>VLOOKUP('Customer Info'!E3681,'Customer Info'!E3681:E4180,1,0)</f>
        <v>#N/A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30</v>
      </c>
      <c r="R3689" s="2" t="s">
        <v>28</v>
      </c>
      <c r="S3689" s="9">
        <f t="shared" si="289"/>
        <v>0.02</v>
      </c>
    </row>
    <row r="3690" spans="1:19" x14ac:dyDescent="0.3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e">
        <f>VLOOKUP('Customer Info'!B3682,'Customer Info'!B3682:B4181,1,0)</f>
        <v>#N/A</v>
      </c>
      <c r="H3690" s="6" t="e">
        <f>VLOOKUP('Customer Info'!C3682,'Customer Info'!C3682:C4181,1)</f>
        <v>#N/A</v>
      </c>
      <c r="I3690" s="6" t="e">
        <f>VLOOKUP('Customer Info'!E3682,'Customer Info'!E3682:E4181,1,0)</f>
        <v>#N/A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273</v>
      </c>
      <c r="R3690" s="2" t="s">
        <v>26</v>
      </c>
      <c r="S3690" s="9">
        <f t="shared" si="289"/>
        <v>0.05</v>
      </c>
    </row>
    <row r="3691" spans="1:19" x14ac:dyDescent="0.3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e">
        <f>VLOOKUP('Customer Info'!B3683,'Customer Info'!B3683:B4182,1,0)</f>
        <v>#N/A</v>
      </c>
      <c r="H3691" s="6" t="e">
        <f>VLOOKUP('Customer Info'!C3683,'Customer Info'!C3683:C4182,1)</f>
        <v>#N/A</v>
      </c>
      <c r="I3691" s="6" t="e">
        <f>VLOOKUP('Customer Info'!E3683,'Customer Info'!E3683:E4182,1,0)</f>
        <v>#N/A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366</v>
      </c>
      <c r="R3691" s="2" t="s">
        <v>28</v>
      </c>
      <c r="S3691" s="9">
        <f t="shared" si="289"/>
        <v>0.02</v>
      </c>
    </row>
    <row r="3692" spans="1:19" x14ac:dyDescent="0.3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e">
        <f>VLOOKUP('Customer Info'!B3684,'Customer Info'!B3684:B4183,1,0)</f>
        <v>#N/A</v>
      </c>
      <c r="H3692" s="6" t="e">
        <f>VLOOKUP('Customer Info'!C3684,'Customer Info'!C3684:C4183,1)</f>
        <v>#N/A</v>
      </c>
      <c r="I3692" s="6" t="e">
        <f>VLOOKUP('Customer Info'!E3684,'Customer Info'!E3684:E4183,1,0)</f>
        <v>#N/A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2632</v>
      </c>
      <c r="R3692" s="2" t="s">
        <v>50</v>
      </c>
      <c r="S3692" s="9">
        <f t="shared" si="289"/>
        <v>7.0000000000000007E-2</v>
      </c>
    </row>
    <row r="3693" spans="1:19" x14ac:dyDescent="0.3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e">
        <f>VLOOKUP('Customer Info'!B3685,'Customer Info'!B3685:B4184,1,0)</f>
        <v>#N/A</v>
      </c>
      <c r="H3693" s="6" t="e">
        <f>VLOOKUP('Customer Info'!C3685,'Customer Info'!C3685:C4184,1)</f>
        <v>#N/A</v>
      </c>
      <c r="I3693" s="6" t="e">
        <f>VLOOKUP('Customer Info'!E3685,'Customer Info'!E3685:E4184,1,0)</f>
        <v>#N/A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908</v>
      </c>
      <c r="R3693" s="2" t="s">
        <v>50</v>
      </c>
      <c r="S3693" s="9">
        <f t="shared" si="289"/>
        <v>0.05</v>
      </c>
    </row>
    <row r="3694" spans="1:19" x14ac:dyDescent="0.3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e">
        <f>VLOOKUP('Customer Info'!B3686,'Customer Info'!B3686:B4185,1,0)</f>
        <v>#N/A</v>
      </c>
      <c r="H3694" s="6" t="e">
        <f>VLOOKUP('Customer Info'!C3686,'Customer Info'!C3686:C4185,1)</f>
        <v>#N/A</v>
      </c>
      <c r="I3694" s="6" t="e">
        <f>VLOOKUP('Customer Info'!E3686,'Customer Info'!E3686:E4185,1,0)</f>
        <v>#N/A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1188</v>
      </c>
      <c r="R3694" s="2" t="s">
        <v>28</v>
      </c>
      <c r="S3694" s="9">
        <f t="shared" si="289"/>
        <v>0.05</v>
      </c>
    </row>
    <row r="3695" spans="1:19" x14ac:dyDescent="0.3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e">
        <f>VLOOKUP('Customer Info'!B3687,'Customer Info'!B3687:B4186,1,0)</f>
        <v>#N/A</v>
      </c>
      <c r="H3695" s="6" t="e">
        <f>VLOOKUP('Customer Info'!C3687,'Customer Info'!C3687:C4186,1)</f>
        <v>#N/A</v>
      </c>
      <c r="I3695" s="6" t="e">
        <f>VLOOKUP('Customer Info'!E3687,'Customer Info'!E3687:E4186,1,0)</f>
        <v>#N/A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36</v>
      </c>
      <c r="R3695" s="2" t="s">
        <v>28</v>
      </c>
      <c r="S3695" s="9">
        <f t="shared" si="289"/>
        <v>0.02</v>
      </c>
    </row>
    <row r="3696" spans="1:19" x14ac:dyDescent="0.3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e">
        <f>VLOOKUP('Customer Info'!B3688,'Customer Info'!B3688:B4187,1,0)</f>
        <v>#N/A</v>
      </c>
      <c r="H3696" s="6" t="e">
        <f>VLOOKUP('Customer Info'!C3688,'Customer Info'!C3688:C4187,1)</f>
        <v>#N/A</v>
      </c>
      <c r="I3696" s="6" t="e">
        <f>VLOOKUP('Customer Info'!E3688,'Customer Info'!E3688:E4187,1,0)</f>
        <v>#N/A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38</v>
      </c>
      <c r="R3696" s="2" t="s">
        <v>50</v>
      </c>
      <c r="S3696" s="9">
        <f t="shared" si="289"/>
        <v>0.02</v>
      </c>
    </row>
    <row r="3697" spans="1:19" x14ac:dyDescent="0.3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e">
        <f>VLOOKUP('Customer Info'!B3689,'Customer Info'!B3689:B4188,1,0)</f>
        <v>#N/A</v>
      </c>
      <c r="H3697" s="6" t="e">
        <f>VLOOKUP('Customer Info'!C3689,'Customer Info'!C3689:C4188,1)</f>
        <v>#N/A</v>
      </c>
      <c r="I3697" s="6" t="e">
        <f>VLOOKUP('Customer Info'!E3689,'Customer Info'!E3689:E4188,1,0)</f>
        <v>#N/A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69</v>
      </c>
      <c r="R3697" s="2" t="s">
        <v>26</v>
      </c>
      <c r="S3697" s="9">
        <f t="shared" si="289"/>
        <v>0.02</v>
      </c>
    </row>
    <row r="3698" spans="1:19" x14ac:dyDescent="0.3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e">
        <f>VLOOKUP('Customer Info'!B3690,'Customer Info'!B3690:B4189,1,0)</f>
        <v>#N/A</v>
      </c>
      <c r="H3698" s="6" t="e">
        <f>VLOOKUP('Customer Info'!C3690,'Customer Info'!C3690:C4189,1)</f>
        <v>#N/A</v>
      </c>
      <c r="I3698" s="6" t="e">
        <f>VLOOKUP('Customer Info'!E3690,'Customer Info'!E3690:E4189,1,0)</f>
        <v>#N/A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8</v>
      </c>
      <c r="R3698" s="2" t="s">
        <v>28</v>
      </c>
      <c r="S3698" s="9">
        <f t="shared" si="289"/>
        <v>0.02</v>
      </c>
    </row>
    <row r="3699" spans="1:19" x14ac:dyDescent="0.3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e">
        <f>VLOOKUP('Customer Info'!B3691,'Customer Info'!B3691:B4190,1,0)</f>
        <v>#N/A</v>
      </c>
      <c r="H3699" s="6" t="e">
        <f>VLOOKUP('Customer Info'!C3691,'Customer Info'!C3691:C4190,1)</f>
        <v>#N/A</v>
      </c>
      <c r="I3699" s="6" t="e">
        <f>VLOOKUP('Customer Info'!E3691,'Customer Info'!E3691:E4190,1,0)</f>
        <v>#N/A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606</v>
      </c>
      <c r="R3699" s="2" t="s">
        <v>26</v>
      </c>
      <c r="S3699" s="9">
        <f t="shared" si="289"/>
        <v>0.05</v>
      </c>
    </row>
    <row r="3700" spans="1:19" x14ac:dyDescent="0.3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e">
        <f>VLOOKUP('Customer Info'!B3692,'Customer Info'!B3692:B4191,1,0)</f>
        <v>#N/A</v>
      </c>
      <c r="H3700" s="6" t="e">
        <f>VLOOKUP('Customer Info'!C3692,'Customer Info'!C3692:C4191,1)</f>
        <v>#N/A</v>
      </c>
      <c r="I3700" s="6" t="e">
        <f>VLOOKUP('Customer Info'!E3692,'Customer Info'!E3692:E4191,1,0)</f>
        <v>#N/A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1064</v>
      </c>
      <c r="R3700" s="2" t="s">
        <v>28</v>
      </c>
      <c r="S3700" s="9">
        <f t="shared" si="289"/>
        <v>0.05</v>
      </c>
    </row>
    <row r="3701" spans="1:19" x14ac:dyDescent="0.3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e">
        <f>VLOOKUP('Customer Info'!B3693,'Customer Info'!B3693:B4192,1,0)</f>
        <v>#N/A</v>
      </c>
      <c r="H3701" s="6" t="e">
        <f>VLOOKUP('Customer Info'!C3693,'Customer Info'!C3693:C4192,1)</f>
        <v>#N/A</v>
      </c>
      <c r="I3701" s="6" t="e">
        <f>VLOOKUP('Customer Info'!E3693,'Customer Info'!E3693:E4192,1,0)</f>
        <v>#N/A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1364</v>
      </c>
      <c r="R3701" s="2" t="s">
        <v>50</v>
      </c>
      <c r="S3701" s="9">
        <f t="shared" si="289"/>
        <v>0.05</v>
      </c>
    </row>
    <row r="3702" spans="1:19" x14ac:dyDescent="0.3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e">
        <f>VLOOKUP('Customer Info'!B3694,'Customer Info'!B3694:B4193,1,0)</f>
        <v>#N/A</v>
      </c>
      <c r="H3702" s="6" t="e">
        <f>VLOOKUP('Customer Info'!C3694,'Customer Info'!C3694:C4193,1)</f>
        <v>#N/A</v>
      </c>
      <c r="I3702" s="6" t="e">
        <f>VLOOKUP('Customer Info'!E3694,'Customer Info'!E3694:E4193,1,0)</f>
        <v>#N/A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6</v>
      </c>
      <c r="R3702" s="2" t="s">
        <v>50</v>
      </c>
      <c r="S3702" s="9">
        <f t="shared" si="289"/>
        <v>0.02</v>
      </c>
    </row>
    <row r="3703" spans="1:19" x14ac:dyDescent="0.3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e">
        <f>VLOOKUP('Customer Info'!B3695,'Customer Info'!B3695:B4194,1,0)</f>
        <v>#N/A</v>
      </c>
      <c r="H3703" s="6" t="e">
        <f>VLOOKUP('Customer Info'!C3695,'Customer Info'!C3695:C4194,1)</f>
        <v>#N/A</v>
      </c>
      <c r="I3703" s="6" t="e">
        <f>VLOOKUP('Customer Info'!E3695,'Customer Info'!E3695:E4194,1,0)</f>
        <v>#N/A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96</v>
      </c>
      <c r="R3703" s="2" t="s">
        <v>28</v>
      </c>
      <c r="S3703" s="9">
        <f t="shared" si="289"/>
        <v>0.05</v>
      </c>
    </row>
    <row r="3704" spans="1:19" x14ac:dyDescent="0.3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e">
        <f>VLOOKUP('Customer Info'!B3696,'Customer Info'!B3696:B4195,1,0)</f>
        <v>#N/A</v>
      </c>
      <c r="H3704" s="6" t="e">
        <f>VLOOKUP('Customer Info'!C3696,'Customer Info'!C3696:C4195,1)</f>
        <v>#N/A</v>
      </c>
      <c r="I3704" s="6" t="e">
        <f>VLOOKUP('Customer Info'!E3696,'Customer Info'!E3696:E4195,1,0)</f>
        <v>#N/A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18</v>
      </c>
      <c r="R3704" s="2" t="s">
        <v>28</v>
      </c>
      <c r="S3704" s="9">
        <f t="shared" si="289"/>
        <v>0.02</v>
      </c>
    </row>
    <row r="3705" spans="1:19" x14ac:dyDescent="0.3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e">
        <f>VLOOKUP('Customer Info'!B3697,'Customer Info'!B3697:B4196,1,0)</f>
        <v>#N/A</v>
      </c>
      <c r="H3705" s="6" t="e">
        <f>VLOOKUP('Customer Info'!C3697,'Customer Info'!C3697:C4196,1)</f>
        <v>#N/A</v>
      </c>
      <c r="I3705" s="6" t="e">
        <f>VLOOKUP('Customer Info'!E3697,'Customer Info'!E3697:E4196,1,0)</f>
        <v>#N/A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18</v>
      </c>
      <c r="R3705" s="2" t="s">
        <v>28</v>
      </c>
      <c r="S3705" s="9">
        <f t="shared" si="289"/>
        <v>0.02</v>
      </c>
    </row>
    <row r="3706" spans="1:19" x14ac:dyDescent="0.3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e">
        <f>VLOOKUP('Customer Info'!B3698,'Customer Info'!B3698:B4197,1,0)</f>
        <v>#N/A</v>
      </c>
      <c r="H3706" s="6" t="e">
        <f>VLOOKUP('Customer Info'!C3698,'Customer Info'!C3698:C4197,1)</f>
        <v>#N/A</v>
      </c>
      <c r="I3706" s="6" t="e">
        <f>VLOOKUP('Customer Info'!E3698,'Customer Info'!E3698:E4197,1,0)</f>
        <v>#N/A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988</v>
      </c>
      <c r="R3706" s="2" t="s">
        <v>50</v>
      </c>
      <c r="S3706" s="9">
        <f t="shared" si="289"/>
        <v>0.05</v>
      </c>
    </row>
    <row r="3707" spans="1:19" x14ac:dyDescent="0.3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e">
        <f>VLOOKUP('Customer Info'!B3699,'Customer Info'!B3699:B4198,1,0)</f>
        <v>#N/A</v>
      </c>
      <c r="H3707" s="6" t="e">
        <f>VLOOKUP('Customer Info'!C3699,'Customer Info'!C3699:C4198,1)</f>
        <v>#N/A</v>
      </c>
      <c r="I3707" s="6" t="e">
        <f>VLOOKUP('Customer Info'!E3699,'Customer Info'!E3699:E4198,1,0)</f>
        <v>#N/A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77</v>
      </c>
      <c r="R3707" s="2" t="s">
        <v>50</v>
      </c>
      <c r="S3707" s="9">
        <f t="shared" si="289"/>
        <v>0.02</v>
      </c>
    </row>
    <row r="3708" spans="1:19" x14ac:dyDescent="0.3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e">
        <f>VLOOKUP('Customer Info'!B3700,'Customer Info'!B3700:B4199,1,0)</f>
        <v>#N/A</v>
      </c>
      <c r="H3708" s="6" t="e">
        <f>VLOOKUP('Customer Info'!C3700,'Customer Info'!C3700:C4199,1)</f>
        <v>#N/A</v>
      </c>
      <c r="I3708" s="6" t="e">
        <f>VLOOKUP('Customer Info'!E3700,'Customer Info'!E3700:E4199,1,0)</f>
        <v>#N/A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699</v>
      </c>
      <c r="R3708" s="2" t="s">
        <v>28</v>
      </c>
      <c r="S3708" s="9">
        <f t="shared" si="289"/>
        <v>0.05</v>
      </c>
    </row>
    <row r="3709" spans="1:19" x14ac:dyDescent="0.3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e">
        <f>VLOOKUP('Customer Info'!B3701,'Customer Info'!B3701:B4200,1,0)</f>
        <v>#N/A</v>
      </c>
      <c r="H3709" s="6" t="e">
        <f>VLOOKUP('Customer Info'!C3701,'Customer Info'!C3701:C4200,1)</f>
        <v>#N/A</v>
      </c>
      <c r="I3709" s="6" t="e">
        <f>VLOOKUP('Customer Info'!E3701,'Customer Info'!E3701:E4200,1,0)</f>
        <v>#N/A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351</v>
      </c>
      <c r="R3709" s="2" t="s">
        <v>28</v>
      </c>
      <c r="S3709" s="9">
        <f t="shared" si="289"/>
        <v>0.05</v>
      </c>
    </row>
    <row r="3710" spans="1:19" x14ac:dyDescent="0.3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e">
        <f>VLOOKUP('Customer Info'!B3702,'Customer Info'!B3702:B4201,1,0)</f>
        <v>#N/A</v>
      </c>
      <c r="H3710" s="6" t="e">
        <f>VLOOKUP('Customer Info'!C3702,'Customer Info'!C3702:C4201,1)</f>
        <v>#N/A</v>
      </c>
      <c r="I3710" s="6" t="e">
        <f>VLOOKUP('Customer Info'!E3702,'Customer Info'!E3702:E4201,1,0)</f>
        <v>#N/A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204</v>
      </c>
      <c r="R3710" s="2" t="s">
        <v>28</v>
      </c>
      <c r="S3710" s="9">
        <f t="shared" si="289"/>
        <v>0.02</v>
      </c>
    </row>
    <row r="3711" spans="1:19" x14ac:dyDescent="0.3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e">
        <f>VLOOKUP('Customer Info'!B3703,'Customer Info'!B3703:B4202,1,0)</f>
        <v>#N/A</v>
      </c>
      <c r="H3711" s="6" t="e">
        <f>VLOOKUP('Customer Info'!C3703,'Customer Info'!C3703:C4202,1)</f>
        <v>#N/A</v>
      </c>
      <c r="I3711" s="6" t="e">
        <f>VLOOKUP('Customer Info'!E3703,'Customer Info'!E3703:E4202,1,0)</f>
        <v>#N/A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232</v>
      </c>
      <c r="R3711" s="2" t="s">
        <v>28</v>
      </c>
      <c r="S3711" s="9">
        <f t="shared" si="289"/>
        <v>0.05</v>
      </c>
    </row>
    <row r="3712" spans="1:19" x14ac:dyDescent="0.3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e">
        <f>VLOOKUP('Customer Info'!B3704,'Customer Info'!B3704:B4203,1,0)</f>
        <v>#N/A</v>
      </c>
      <c r="H3712" s="6" t="e">
        <f>VLOOKUP('Customer Info'!C3704,'Customer Info'!C3704:C4203,1)</f>
        <v>#N/A</v>
      </c>
      <c r="I3712" s="6" t="e">
        <f>VLOOKUP('Customer Info'!E3704,'Customer Info'!E3704:E4203,1,0)</f>
        <v>#N/A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42</v>
      </c>
      <c r="R3712" s="2" t="s">
        <v>50</v>
      </c>
      <c r="S3712" s="9">
        <f t="shared" si="289"/>
        <v>0.02</v>
      </c>
    </row>
    <row r="3713" spans="1:19" x14ac:dyDescent="0.3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e">
        <f>VLOOKUP('Customer Info'!B3705,'Customer Info'!B3705:B4204,1,0)</f>
        <v>#N/A</v>
      </c>
      <c r="H3713" s="6" t="e">
        <f>VLOOKUP('Customer Info'!C3705,'Customer Info'!C3705:C4204,1)</f>
        <v>#N/A</v>
      </c>
      <c r="I3713" s="6" t="e">
        <f>VLOOKUP('Customer Info'!E3705,'Customer Info'!E3705:E4204,1,0)</f>
        <v>#N/A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864</v>
      </c>
      <c r="R3713" s="2" t="s">
        <v>50</v>
      </c>
      <c r="S3713" s="9">
        <f t="shared" si="289"/>
        <v>0.05</v>
      </c>
    </row>
    <row r="3714" spans="1:19" x14ac:dyDescent="0.3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e">
        <f>VLOOKUP('Customer Info'!B3706,'Customer Info'!B3706:B4205,1,0)</f>
        <v>#N/A</v>
      </c>
      <c r="H3714" s="6" t="e">
        <f>VLOOKUP('Customer Info'!C3706,'Customer Info'!C3706:C4205,1)</f>
        <v>#N/A</v>
      </c>
      <c r="I3714" s="6" t="e">
        <f>VLOOKUP('Customer Info'!E3706,'Customer Info'!E3706:E4205,1,0)</f>
        <v>#N/A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1068</v>
      </c>
      <c r="R3714" s="2" t="s">
        <v>28</v>
      </c>
      <c r="S3714" s="9">
        <f t="shared" si="289"/>
        <v>0.05</v>
      </c>
    </row>
    <row r="3715" spans="1:19" x14ac:dyDescent="0.3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e">
        <f>VLOOKUP('Customer Info'!B3707,'Customer Info'!B3707:B4206,1,0)</f>
        <v>#N/A</v>
      </c>
      <c r="H3715" s="6" t="e">
        <f>VLOOKUP('Customer Info'!C3707,'Customer Info'!C3707:C4206,1)</f>
        <v>#N/A</v>
      </c>
      <c r="I3715" s="6" t="e">
        <f>VLOOKUP('Customer Info'!E3707,'Customer Info'!E3707:E4206,1,0)</f>
        <v>#N/A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412</v>
      </c>
      <c r="R3715" s="2" t="s">
        <v>26</v>
      </c>
      <c r="S3715" s="9">
        <f t="shared" si="289"/>
        <v>0.05</v>
      </c>
    </row>
    <row r="3716" spans="1:19" x14ac:dyDescent="0.3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e">
        <f>VLOOKUP('Customer Info'!B3708,'Customer Info'!B3708:B4207,1,0)</f>
        <v>#N/A</v>
      </c>
      <c r="H3716" s="6" t="e">
        <f>VLOOKUP('Customer Info'!C3708,'Customer Info'!C3708:C4207,1)</f>
        <v>#N/A</v>
      </c>
      <c r="I3716" s="6" t="e">
        <f>VLOOKUP('Customer Info'!E3708,'Customer Info'!E3708:E4207,1,0)</f>
        <v>#N/A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28</v>
      </c>
      <c r="R3716" s="2" t="s">
        <v>28</v>
      </c>
      <c r="S3716" s="9">
        <f t="shared" si="289"/>
        <v>0.02</v>
      </c>
    </row>
    <row r="3717" spans="1:19" x14ac:dyDescent="0.3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e">
        <f>VLOOKUP('Customer Info'!B3709,'Customer Info'!B3709:B4208,1,0)</f>
        <v>#N/A</v>
      </c>
      <c r="H3717" s="6" t="e">
        <f>VLOOKUP('Customer Info'!C3709,'Customer Info'!C3709:C4208,1)</f>
        <v>#N/A</v>
      </c>
      <c r="I3717" s="6" t="e">
        <f>VLOOKUP('Customer Info'!E3709,'Customer Info'!E3709:E4208,1,0)</f>
        <v>#N/A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676</v>
      </c>
      <c r="R3717" s="2" t="s">
        <v>28</v>
      </c>
      <c r="S3717" s="9">
        <f t="shared" si="289"/>
        <v>0.05</v>
      </c>
    </row>
    <row r="3718" spans="1:19" x14ac:dyDescent="0.3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e">
        <f>VLOOKUP('Customer Info'!B3710,'Customer Info'!B3710:B4209,1,0)</f>
        <v>#N/A</v>
      </c>
      <c r="H3718" s="6" t="e">
        <f>VLOOKUP('Customer Info'!C3710,'Customer Info'!C3710:C4209,1)</f>
        <v>#N/A</v>
      </c>
      <c r="I3718" s="6" t="e">
        <f>VLOOKUP('Customer Info'!E3710,'Customer Info'!E3710:E4209,1,0)</f>
        <v>#N/A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17</v>
      </c>
      <c r="R3718" s="2" t="s">
        <v>50</v>
      </c>
      <c r="S3718" s="9">
        <f t="shared" si="289"/>
        <v>0.02</v>
      </c>
    </row>
    <row r="3719" spans="1:19" x14ac:dyDescent="0.3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e">
        <f>VLOOKUP('Customer Info'!B3711,'Customer Info'!B3711:B4210,1,0)</f>
        <v>#N/A</v>
      </c>
      <c r="H3719" s="6" t="e">
        <f>VLOOKUP('Customer Info'!C3711,'Customer Info'!C3711:C4210,1)</f>
        <v>#N/A</v>
      </c>
      <c r="I3719" s="6" t="e">
        <f>VLOOKUP('Customer Info'!E3711,'Customer Info'!E3711:E4210,1,0)</f>
        <v>#N/A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228</v>
      </c>
      <c r="R3719" s="2" t="s">
        <v>50</v>
      </c>
      <c r="S3719" s="9">
        <f t="shared" si="289"/>
        <v>0.05</v>
      </c>
    </row>
    <row r="3720" spans="1:19" x14ac:dyDescent="0.3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e">
        <f>VLOOKUP('Customer Info'!B3712,'Customer Info'!B3712:B4211,1,0)</f>
        <v>#N/A</v>
      </c>
      <c r="H3720" s="6" t="e">
        <f>VLOOKUP('Customer Info'!C3712,'Customer Info'!C3712:C4211,1)</f>
        <v>#N/A</v>
      </c>
      <c r="I3720" s="6" t="e">
        <f>VLOOKUP('Customer Info'!E3712,'Customer Info'!E3712:E4211,1,0)</f>
        <v>#N/A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366</v>
      </c>
      <c r="R3720" s="2" t="s">
        <v>28</v>
      </c>
      <c r="S3720" s="9">
        <f t="shared" si="289"/>
        <v>0.05</v>
      </c>
    </row>
    <row r="3721" spans="1:19" x14ac:dyDescent="0.3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e">
        <f>VLOOKUP('Customer Info'!B3713,'Customer Info'!B3713:B4212,1,0)</f>
        <v>#N/A</v>
      </c>
      <c r="H3721" s="6" t="e">
        <f>VLOOKUP('Customer Info'!C3713,'Customer Info'!C3713:C4212,1)</f>
        <v>#N/A</v>
      </c>
      <c r="I3721" s="6" t="e">
        <f>VLOOKUP('Customer Info'!E3713,'Customer Info'!E3713:E4212,1,0)</f>
        <v>#N/A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54</v>
      </c>
      <c r="R3721" s="2" t="s">
        <v>50</v>
      </c>
      <c r="S3721" s="9">
        <f t="shared" si="289"/>
        <v>0.02</v>
      </c>
    </row>
    <row r="3722" spans="1:19" x14ac:dyDescent="0.3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e">
        <f>VLOOKUP('Customer Info'!B3714,'Customer Info'!B3714:B4213,1,0)</f>
        <v>#N/A</v>
      </c>
      <c r="H3722" s="6" t="e">
        <f>VLOOKUP('Customer Info'!C3714,'Customer Info'!C3714:C4213,1)</f>
        <v>#N/A</v>
      </c>
      <c r="I3722" s="6" t="e">
        <f>VLOOKUP('Customer Info'!E3714,'Customer Info'!E3714:E4213,1,0)</f>
        <v>#N/A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42</v>
      </c>
      <c r="R3722" s="2" t="s">
        <v>28</v>
      </c>
      <c r="S3722" s="9">
        <f t="shared" si="289"/>
        <v>0.02</v>
      </c>
    </row>
    <row r="3723" spans="1:19" x14ac:dyDescent="0.3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e">
        <f>VLOOKUP('Customer Info'!B3715,'Customer Info'!B3715:B4214,1,0)</f>
        <v>#N/A</v>
      </c>
      <c r="H3723" s="6" t="e">
        <f>VLOOKUP('Customer Info'!C3715,'Customer Info'!C3715:C4214,1)</f>
        <v>#N/A</v>
      </c>
      <c r="I3723" s="6" t="e">
        <f>VLOOKUP('Customer Info'!E3715,'Customer Info'!E3715:E4214,1,0)</f>
        <v>#N/A</v>
      </c>
      <c r="J3723" s="2">
        <v>167</v>
      </c>
      <c r="K3723" s="2">
        <v>152</v>
      </c>
      <c r="L3723" s="2">
        <v>1</v>
      </c>
      <c r="M3723" s="7">
        <f t="shared" ref="M3723:M3786" si="290">(K3723*L3723)</f>
        <v>152</v>
      </c>
      <c r="N3723" s="7">
        <f t="shared" ref="N3723:N3786" si="291">(J3723*L3723)</f>
        <v>167</v>
      </c>
      <c r="O3723" s="2">
        <v>30</v>
      </c>
      <c r="P3723" s="8">
        <f t="shared" ref="P3723:P3786" si="292">(N3723+O3723)</f>
        <v>197</v>
      </c>
      <c r="Q3723" s="8">
        <f t="shared" ref="Q3723:Q3786" si="293">(N3723-M3723)</f>
        <v>15</v>
      </c>
      <c r="R3723" s="2" t="s">
        <v>28</v>
      </c>
      <c r="S3723" s="9">
        <f t="shared" ref="S3723:S3786" si="294">_xlfn.IFS(P3723&gt;250000,0.15,P3723&gt;100000,0.12,P3723&gt;50000,0.09,P3723&gt;25000,0.07,P3723&gt;5000,0.05,
 TRUE,0.02)</f>
        <v>0.02</v>
      </c>
    </row>
    <row r="3724" spans="1:19" x14ac:dyDescent="0.3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e">
        <f>VLOOKUP('Customer Info'!B3716,'Customer Info'!B3716:B4215,1,0)</f>
        <v>#N/A</v>
      </c>
      <c r="H3724" s="6" t="e">
        <f>VLOOKUP('Customer Info'!C3716,'Customer Info'!C3716:C4215,1)</f>
        <v>#N/A</v>
      </c>
      <c r="I3724" s="6" t="e">
        <f>VLOOKUP('Customer Info'!E3716,'Customer Info'!E3716:E4215,1,0)</f>
        <v>#N/A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</v>
      </c>
      <c r="R3724" s="2" t="s">
        <v>28</v>
      </c>
      <c r="S3724" s="9">
        <f t="shared" si="294"/>
        <v>0.02</v>
      </c>
    </row>
    <row r="3725" spans="1:19" x14ac:dyDescent="0.3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e">
        <f>VLOOKUP('Customer Info'!B3717,'Customer Info'!B3717:B4216,1,0)</f>
        <v>#N/A</v>
      </c>
      <c r="H3725" s="6" t="e">
        <f>VLOOKUP('Customer Info'!C3717,'Customer Info'!C3717:C4216,1)</f>
        <v>#N/A</v>
      </c>
      <c r="I3725" s="6" t="e">
        <f>VLOOKUP('Customer Info'!E3717,'Customer Info'!E3717:E4216,1,0)</f>
        <v>#N/A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462</v>
      </c>
      <c r="R3725" s="2" t="s">
        <v>56</v>
      </c>
      <c r="S3725" s="9">
        <f t="shared" si="294"/>
        <v>0.05</v>
      </c>
    </row>
    <row r="3726" spans="1:19" x14ac:dyDescent="0.3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e">
        <f>VLOOKUP('Customer Info'!B3718,'Customer Info'!B3718:B4217,1,0)</f>
        <v>#N/A</v>
      </c>
      <c r="H3726" s="6" t="e">
        <f>VLOOKUP('Customer Info'!C3718,'Customer Info'!C3718:C4217,1)</f>
        <v>#N/A</v>
      </c>
      <c r="I3726" s="6" t="e">
        <f>VLOOKUP('Customer Info'!E3718,'Customer Info'!E3718:E4217,1,0)</f>
        <v>#N/A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60</v>
      </c>
      <c r="R3726" s="2" t="s">
        <v>50</v>
      </c>
      <c r="S3726" s="9">
        <f t="shared" si="294"/>
        <v>0.02</v>
      </c>
    </row>
    <row r="3727" spans="1:19" x14ac:dyDescent="0.3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e">
        <f>VLOOKUP('Customer Info'!B3719,'Customer Info'!B3719:B4218,1,0)</f>
        <v>#N/A</v>
      </c>
      <c r="H3727" s="6" t="e">
        <f>VLOOKUP('Customer Info'!C3719,'Customer Info'!C3719:C4218,1)</f>
        <v>#N/A</v>
      </c>
      <c r="I3727" s="6" t="e">
        <f>VLOOKUP('Customer Info'!E3719,'Customer Info'!E3719:E4218,1,0)</f>
        <v>#N/A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55</v>
      </c>
      <c r="R3727" s="2" t="s">
        <v>50</v>
      </c>
      <c r="S3727" s="9">
        <f t="shared" si="294"/>
        <v>0.02</v>
      </c>
    </row>
    <row r="3728" spans="1:19" x14ac:dyDescent="0.3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e">
        <f>VLOOKUP('Customer Info'!B3720,'Customer Info'!B3720:B4219,1,0)</f>
        <v>#N/A</v>
      </c>
      <c r="H3728" s="6" t="e">
        <f>VLOOKUP('Customer Info'!C3720,'Customer Info'!C3720:C4219,1)</f>
        <v>#N/A</v>
      </c>
      <c r="I3728" s="6" t="e">
        <f>VLOOKUP('Customer Info'!E3720,'Customer Info'!E3720:E4219,1,0)</f>
        <v>#N/A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28</v>
      </c>
      <c r="R3728" s="2" t="s">
        <v>50</v>
      </c>
      <c r="S3728" s="9">
        <f t="shared" si="294"/>
        <v>0.02</v>
      </c>
    </row>
    <row r="3729" spans="1:19" x14ac:dyDescent="0.3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e">
        <f>VLOOKUP('Customer Info'!B3721,'Customer Info'!B3721:B4220,1,0)</f>
        <v>#N/A</v>
      </c>
      <c r="H3729" s="6" t="e">
        <f>VLOOKUP('Customer Info'!C3721,'Customer Info'!C3721:C4220,1)</f>
        <v>#N/A</v>
      </c>
      <c r="I3729" s="6" t="e">
        <f>VLOOKUP('Customer Info'!E3721,'Customer Info'!E3721:E4220,1,0)</f>
        <v>#N/A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350</v>
      </c>
      <c r="R3729" s="2" t="s">
        <v>50</v>
      </c>
      <c r="S3729" s="9">
        <f t="shared" si="294"/>
        <v>0.02</v>
      </c>
    </row>
    <row r="3730" spans="1:19" x14ac:dyDescent="0.3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e">
        <f>VLOOKUP('Customer Info'!B3722,'Customer Info'!B3722:B4221,1,0)</f>
        <v>#N/A</v>
      </c>
      <c r="H3730" s="6" t="e">
        <f>VLOOKUP('Customer Info'!C3722,'Customer Info'!C3722:C4221,1)</f>
        <v>#N/A</v>
      </c>
      <c r="I3730" s="6" t="e">
        <f>VLOOKUP('Customer Info'!E3722,'Customer Info'!E3722:E4221,1,0)</f>
        <v>#N/A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1185</v>
      </c>
      <c r="R3730" s="2" t="s">
        <v>50</v>
      </c>
      <c r="S3730" s="9">
        <f t="shared" si="294"/>
        <v>0.05</v>
      </c>
    </row>
    <row r="3731" spans="1:19" x14ac:dyDescent="0.3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e">
        <f>VLOOKUP('Customer Info'!B3723,'Customer Info'!B3723:B4222,1,0)</f>
        <v>#N/A</v>
      </c>
      <c r="H3731" s="6" t="e">
        <f>VLOOKUP('Customer Info'!C3723,'Customer Info'!C3723:C4222,1)</f>
        <v>#N/A</v>
      </c>
      <c r="I3731" s="6" t="e">
        <f>VLOOKUP('Customer Info'!E3723,'Customer Info'!E3723:E4222,1,0)</f>
        <v>#N/A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14</v>
      </c>
      <c r="R3731" s="2" t="s">
        <v>26</v>
      </c>
      <c r="S3731" s="9">
        <f t="shared" si="294"/>
        <v>0.02</v>
      </c>
    </row>
    <row r="3732" spans="1:19" x14ac:dyDescent="0.3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e">
        <f>VLOOKUP('Customer Info'!B3724,'Customer Info'!B3724:B4223,1,0)</f>
        <v>#N/A</v>
      </c>
      <c r="H3732" s="6" t="e">
        <f>VLOOKUP('Customer Info'!C3724,'Customer Info'!C3724:C4223,1)</f>
        <v>#N/A</v>
      </c>
      <c r="I3732" s="6" t="e">
        <f>VLOOKUP('Customer Info'!E3724,'Customer Info'!E3724:E4223,1,0)</f>
        <v>#N/A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2757</v>
      </c>
      <c r="R3732" s="2" t="s">
        <v>28</v>
      </c>
      <c r="S3732" s="9">
        <f t="shared" si="294"/>
        <v>7.0000000000000007E-2</v>
      </c>
    </row>
    <row r="3733" spans="1:19" x14ac:dyDescent="0.3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e">
        <f>VLOOKUP('Customer Info'!B3725,'Customer Info'!B3725:B4224,1,0)</f>
        <v>#N/A</v>
      </c>
      <c r="H3733" s="6" t="e">
        <f>VLOOKUP('Customer Info'!C3725,'Customer Info'!C3725:C4224,1)</f>
        <v>#N/A</v>
      </c>
      <c r="I3733" s="6" t="e">
        <f>VLOOKUP('Customer Info'!E3725,'Customer Info'!E3725:E4224,1,0)</f>
        <v>#N/A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97</v>
      </c>
      <c r="R3733" s="2" t="s">
        <v>56</v>
      </c>
      <c r="S3733" s="9">
        <f t="shared" si="294"/>
        <v>0.02</v>
      </c>
    </row>
    <row r="3734" spans="1:19" x14ac:dyDescent="0.3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e">
        <f>VLOOKUP('Customer Info'!B3726,'Customer Info'!B3726:B4225,1,0)</f>
        <v>#N/A</v>
      </c>
      <c r="H3734" s="6" t="e">
        <f>VLOOKUP('Customer Info'!C3726,'Customer Info'!C3726:C4225,1)</f>
        <v>#N/A</v>
      </c>
      <c r="I3734" s="6" t="e">
        <f>VLOOKUP('Customer Info'!E3726,'Customer Info'!E3726:E4225,1,0)</f>
        <v>#N/A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722</v>
      </c>
      <c r="R3734" s="2" t="s">
        <v>28</v>
      </c>
      <c r="S3734" s="9">
        <f t="shared" si="294"/>
        <v>0.05</v>
      </c>
    </row>
    <row r="3735" spans="1:19" x14ac:dyDescent="0.3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e">
        <f>VLOOKUP('Customer Info'!B3727,'Customer Info'!B3727:B4226,1,0)</f>
        <v>#N/A</v>
      </c>
      <c r="H3735" s="6" t="e">
        <f>VLOOKUP('Customer Info'!C3727,'Customer Info'!C3727:C4226,1)</f>
        <v>#N/A</v>
      </c>
      <c r="I3735" s="6" t="e">
        <f>VLOOKUP('Customer Info'!E3727,'Customer Info'!E3727:E4226,1,0)</f>
        <v>#N/A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692</v>
      </c>
      <c r="R3735" s="2" t="s">
        <v>26</v>
      </c>
      <c r="S3735" s="9">
        <f t="shared" si="294"/>
        <v>0.05</v>
      </c>
    </row>
    <row r="3736" spans="1:19" x14ac:dyDescent="0.3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e">
        <f>VLOOKUP('Customer Info'!B3728,'Customer Info'!B3728:B4227,1,0)</f>
        <v>#N/A</v>
      </c>
      <c r="H3736" s="6" t="e">
        <f>VLOOKUP('Customer Info'!C3728,'Customer Info'!C3728:C4227,1)</f>
        <v>#N/A</v>
      </c>
      <c r="I3736" s="6" t="e">
        <f>VLOOKUP('Customer Info'!E3728,'Customer Info'!E3728:E4227,1,0)</f>
        <v>#N/A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285</v>
      </c>
      <c r="R3736" s="2" t="s">
        <v>28</v>
      </c>
      <c r="S3736" s="9">
        <f t="shared" si="294"/>
        <v>0.05</v>
      </c>
    </row>
    <row r="3737" spans="1:19" x14ac:dyDescent="0.3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e">
        <f>VLOOKUP('Customer Info'!B3729,'Customer Info'!B3729:B4228,1,0)</f>
        <v>#N/A</v>
      </c>
      <c r="H3737" s="6" t="e">
        <f>VLOOKUP('Customer Info'!C3729,'Customer Info'!C3729:C4228,1)</f>
        <v>#N/A</v>
      </c>
      <c r="I3737" s="6" t="e">
        <f>VLOOKUP('Customer Info'!E3729,'Customer Info'!E3729:E4228,1,0)</f>
        <v>#N/A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175</v>
      </c>
      <c r="R3737" s="2" t="s">
        <v>50</v>
      </c>
      <c r="S3737" s="9">
        <f t="shared" si="294"/>
        <v>0.05</v>
      </c>
    </row>
    <row r="3738" spans="1:19" x14ac:dyDescent="0.3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e">
        <f>VLOOKUP('Customer Info'!B3730,'Customer Info'!B3730:B4229,1,0)</f>
        <v>#N/A</v>
      </c>
      <c r="H3738" s="6" t="e">
        <f>VLOOKUP('Customer Info'!C3730,'Customer Info'!C3730:C4229,1)</f>
        <v>#N/A</v>
      </c>
      <c r="I3738" s="6" t="e">
        <f>VLOOKUP('Customer Info'!E3730,'Customer Info'!E3730:E4229,1,0)</f>
        <v>#N/A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572</v>
      </c>
      <c r="R3738" s="2" t="s">
        <v>28</v>
      </c>
      <c r="S3738" s="9">
        <f t="shared" si="294"/>
        <v>0.05</v>
      </c>
    </row>
    <row r="3739" spans="1:19" x14ac:dyDescent="0.3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e">
        <f>VLOOKUP('Customer Info'!B3731,'Customer Info'!B3731:B4230,1,0)</f>
        <v>#N/A</v>
      </c>
      <c r="H3739" s="6" t="e">
        <f>VLOOKUP('Customer Info'!C3731,'Customer Info'!C3731:C4230,1)</f>
        <v>#N/A</v>
      </c>
      <c r="I3739" s="6" t="e">
        <f>VLOOKUP('Customer Info'!E3731,'Customer Info'!E3731:E4230,1,0)</f>
        <v>#N/A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48</v>
      </c>
      <c r="R3739" s="2" t="s">
        <v>28</v>
      </c>
      <c r="S3739" s="9">
        <f t="shared" si="294"/>
        <v>0.02</v>
      </c>
    </row>
    <row r="3740" spans="1:19" x14ac:dyDescent="0.3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e">
        <f>VLOOKUP('Customer Info'!B3732,'Customer Info'!B3732:B4231,1,0)</f>
        <v>#N/A</v>
      </c>
      <c r="H3740" s="6" t="e">
        <f>VLOOKUP('Customer Info'!C3732,'Customer Info'!C3732:C4231,1)</f>
        <v>#N/A</v>
      </c>
      <c r="I3740" s="6" t="e">
        <f>VLOOKUP('Customer Info'!E3732,'Customer Info'!E3732:E4231,1,0)</f>
        <v>#N/A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-2</v>
      </c>
      <c r="R3740" s="2" t="s">
        <v>28</v>
      </c>
      <c r="S3740" s="9">
        <f t="shared" si="294"/>
        <v>0.05</v>
      </c>
    </row>
    <row r="3741" spans="1:19" x14ac:dyDescent="0.3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e">
        <f>VLOOKUP('Customer Info'!B3733,'Customer Info'!B3733:B4232,1,0)</f>
        <v>#N/A</v>
      </c>
      <c r="H3741" s="6" t="e">
        <f>VLOOKUP('Customer Info'!C3733,'Customer Info'!C3733:C4232,1)</f>
        <v>#N/A</v>
      </c>
      <c r="I3741" s="6" t="e">
        <f>VLOOKUP('Customer Info'!E3733,'Customer Info'!E3733:E4232,1,0)</f>
        <v>#N/A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10</v>
      </c>
      <c r="R3741" s="2" t="s">
        <v>50</v>
      </c>
      <c r="S3741" s="9">
        <f t="shared" si="294"/>
        <v>0.02</v>
      </c>
    </row>
    <row r="3742" spans="1:19" x14ac:dyDescent="0.3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e">
        <f>VLOOKUP('Customer Info'!B3734,'Customer Info'!B3734:B4233,1,0)</f>
        <v>#N/A</v>
      </c>
      <c r="H3742" s="6" t="e">
        <f>VLOOKUP('Customer Info'!C3734,'Customer Info'!C3734:C4233,1)</f>
        <v>#N/A</v>
      </c>
      <c r="I3742" s="6" t="e">
        <f>VLOOKUP('Customer Info'!E3734,'Customer Info'!E3734:E4233,1,0)</f>
        <v>#N/A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12</v>
      </c>
      <c r="R3742" s="2" t="s">
        <v>28</v>
      </c>
      <c r="S3742" s="9">
        <f t="shared" si="294"/>
        <v>0.02</v>
      </c>
    </row>
    <row r="3743" spans="1:19" x14ac:dyDescent="0.3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e">
        <f>VLOOKUP('Customer Info'!B3735,'Customer Info'!B3735:B4234,1,0)</f>
        <v>#N/A</v>
      </c>
      <c r="H3743" s="6" t="e">
        <f>VLOOKUP('Customer Info'!C3735,'Customer Info'!C3735:C4234,1)</f>
        <v>#N/A</v>
      </c>
      <c r="I3743" s="6" t="e">
        <f>VLOOKUP('Customer Info'!E3735,'Customer Info'!E3735:E4234,1,0)</f>
        <v>#N/A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297</v>
      </c>
      <c r="R3743" s="2" t="s">
        <v>50</v>
      </c>
      <c r="S3743" s="9">
        <f t="shared" si="294"/>
        <v>0.02</v>
      </c>
    </row>
    <row r="3744" spans="1:19" x14ac:dyDescent="0.3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e">
        <f>VLOOKUP('Customer Info'!B3736,'Customer Info'!B3736:B4235,1,0)</f>
        <v>#N/A</v>
      </c>
      <c r="H3744" s="6" t="e">
        <f>VLOOKUP('Customer Info'!C3736,'Customer Info'!C3736:C4235,1)</f>
        <v>#N/A</v>
      </c>
      <c r="I3744" s="6" t="e">
        <f>VLOOKUP('Customer Info'!E3736,'Customer Info'!E3736:E4235,1,0)</f>
        <v>#N/A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18</v>
      </c>
      <c r="R3744" s="2" t="s">
        <v>50</v>
      </c>
      <c r="S3744" s="9">
        <f t="shared" si="294"/>
        <v>0.02</v>
      </c>
    </row>
    <row r="3745" spans="1:19" x14ac:dyDescent="0.3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e">
        <f>VLOOKUP('Customer Info'!B3737,'Customer Info'!B3737:B4236,1,0)</f>
        <v>#N/A</v>
      </c>
      <c r="H3745" s="6" t="e">
        <f>VLOOKUP('Customer Info'!C3737,'Customer Info'!C3737:C4236,1)</f>
        <v>#N/A</v>
      </c>
      <c r="I3745" s="6" t="e">
        <f>VLOOKUP('Customer Info'!E3737,'Customer Info'!E3737:E4236,1,0)</f>
        <v>#N/A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736</v>
      </c>
      <c r="R3745" s="2" t="s">
        <v>28</v>
      </c>
      <c r="S3745" s="9">
        <f t="shared" si="294"/>
        <v>0.05</v>
      </c>
    </row>
    <row r="3746" spans="1:19" x14ac:dyDescent="0.3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e">
        <f>VLOOKUP('Customer Info'!B3738,'Customer Info'!B3738:B4237,1,0)</f>
        <v>#N/A</v>
      </c>
      <c r="H3746" s="6" t="e">
        <f>VLOOKUP('Customer Info'!C3738,'Customer Info'!C3738:C4237,1)</f>
        <v>#N/A</v>
      </c>
      <c r="I3746" s="6" t="e">
        <f>VLOOKUP('Customer Info'!E3738,'Customer Info'!E3738:E4237,1,0)</f>
        <v>#N/A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404</v>
      </c>
      <c r="R3746" s="2" t="s">
        <v>28</v>
      </c>
      <c r="S3746" s="9">
        <f t="shared" si="294"/>
        <v>0.05</v>
      </c>
    </row>
    <row r="3747" spans="1:19" x14ac:dyDescent="0.3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e">
        <f>VLOOKUP('Customer Info'!B3739,'Customer Info'!B3739:B4238,1,0)</f>
        <v>#N/A</v>
      </c>
      <c r="H3747" s="6" t="e">
        <f>VLOOKUP('Customer Info'!C3739,'Customer Info'!C3739:C4238,1)</f>
        <v>#N/A</v>
      </c>
      <c r="I3747" s="6" t="e">
        <f>VLOOKUP('Customer Info'!E3739,'Customer Info'!E3739:E4238,1,0)</f>
        <v>#N/A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396</v>
      </c>
      <c r="R3747" s="2" t="s">
        <v>28</v>
      </c>
      <c r="S3747" s="9">
        <f t="shared" si="294"/>
        <v>0.05</v>
      </c>
    </row>
    <row r="3748" spans="1:19" x14ac:dyDescent="0.3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e">
        <f>VLOOKUP('Customer Info'!B3740,'Customer Info'!B3740:B4239,1,0)</f>
        <v>#N/A</v>
      </c>
      <c r="H3748" s="6" t="e">
        <f>VLOOKUP('Customer Info'!C3740,'Customer Info'!C3740:C4239,1)</f>
        <v>#N/A</v>
      </c>
      <c r="I3748" s="6" t="e">
        <f>VLOOKUP('Customer Info'!E3740,'Customer Info'!E3740:E4239,1,0)</f>
        <v>#N/A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17</v>
      </c>
      <c r="R3748" s="2" t="s">
        <v>28</v>
      </c>
      <c r="S3748" s="9">
        <f t="shared" si="294"/>
        <v>0.02</v>
      </c>
    </row>
    <row r="3749" spans="1:19" x14ac:dyDescent="0.3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e">
        <f>VLOOKUP('Customer Info'!B3741,'Customer Info'!B3741:B4240,1,0)</f>
        <v>#N/A</v>
      </c>
      <c r="H3749" s="6" t="e">
        <f>VLOOKUP('Customer Info'!C3741,'Customer Info'!C3741:C4240,1)</f>
        <v>#N/A</v>
      </c>
      <c r="I3749" s="6" t="e">
        <f>VLOOKUP('Customer Info'!E3741,'Customer Info'!E3741:E4240,1,0)</f>
        <v>#N/A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708</v>
      </c>
      <c r="R3749" s="2" t="s">
        <v>28</v>
      </c>
      <c r="S3749" s="9">
        <f t="shared" si="294"/>
        <v>0.05</v>
      </c>
    </row>
    <row r="3750" spans="1:19" x14ac:dyDescent="0.3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e">
        <f>VLOOKUP('Customer Info'!B3742,'Customer Info'!B3742:B4241,1,0)</f>
        <v>#N/A</v>
      </c>
      <c r="H3750" s="6" t="e">
        <f>VLOOKUP('Customer Info'!C3742,'Customer Info'!C3742:C4241,1)</f>
        <v>#N/A</v>
      </c>
      <c r="I3750" s="6" t="e">
        <f>VLOOKUP('Customer Info'!E3742,'Customer Info'!E3742:E4241,1,0)</f>
        <v>#N/A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512</v>
      </c>
      <c r="R3750" s="2" t="s">
        <v>28</v>
      </c>
      <c r="S3750" s="9">
        <f t="shared" si="294"/>
        <v>0.05</v>
      </c>
    </row>
    <row r="3751" spans="1:19" x14ac:dyDescent="0.3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e">
        <f>VLOOKUP('Customer Info'!B3743,'Customer Info'!B3743:B4242,1,0)</f>
        <v>#N/A</v>
      </c>
      <c r="H3751" s="6" t="e">
        <f>VLOOKUP('Customer Info'!C3743,'Customer Info'!C3743:C4242,1)</f>
        <v>#N/A</v>
      </c>
      <c r="I3751" s="6" t="e">
        <f>VLOOKUP('Customer Info'!E3743,'Customer Info'!E3743:E4242,1,0)</f>
        <v>#N/A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204</v>
      </c>
      <c r="R3751" s="2" t="s">
        <v>50</v>
      </c>
      <c r="S3751" s="9">
        <f t="shared" si="294"/>
        <v>0.05</v>
      </c>
    </row>
    <row r="3752" spans="1:19" x14ac:dyDescent="0.3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e">
        <f>VLOOKUP('Customer Info'!B3744,'Customer Info'!B3744:B4243,1,0)</f>
        <v>#N/A</v>
      </c>
      <c r="H3752" s="6" t="e">
        <f>VLOOKUP('Customer Info'!C3744,'Customer Info'!C3744:C4243,1)</f>
        <v>#N/A</v>
      </c>
      <c r="I3752" s="6" t="e">
        <f>VLOOKUP('Customer Info'!E3744,'Customer Info'!E3744:E4243,1,0)</f>
        <v>#N/A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30</v>
      </c>
      <c r="R3752" s="2" t="s">
        <v>28</v>
      </c>
      <c r="S3752" s="9">
        <f t="shared" si="294"/>
        <v>0.02</v>
      </c>
    </row>
    <row r="3753" spans="1:19" x14ac:dyDescent="0.3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e">
        <f>VLOOKUP('Customer Info'!B3745,'Customer Info'!B3745:B4244,1,0)</f>
        <v>#N/A</v>
      </c>
      <c r="H3753" s="6" t="e">
        <f>VLOOKUP('Customer Info'!C3745,'Customer Info'!C3745:C4244,1)</f>
        <v>#N/A</v>
      </c>
      <c r="I3753" s="6" t="e">
        <f>VLOOKUP('Customer Info'!E3745,'Customer Info'!E3745:E4244,1,0)</f>
        <v>#N/A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597</v>
      </c>
      <c r="R3753" s="2" t="s">
        <v>28</v>
      </c>
      <c r="S3753" s="9">
        <f t="shared" si="294"/>
        <v>0.05</v>
      </c>
    </row>
    <row r="3754" spans="1:19" x14ac:dyDescent="0.3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e">
        <f>VLOOKUP('Customer Info'!B3746,'Customer Info'!B3746:B4245,1,0)</f>
        <v>#N/A</v>
      </c>
      <c r="H3754" s="6" t="e">
        <f>VLOOKUP('Customer Info'!C3746,'Customer Info'!C3746:C4245,1)</f>
        <v>#N/A</v>
      </c>
      <c r="I3754" s="6" t="e">
        <f>VLOOKUP('Customer Info'!E3746,'Customer Info'!E3746:E4245,1,0)</f>
        <v>#N/A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68</v>
      </c>
      <c r="R3754" s="2" t="s">
        <v>28</v>
      </c>
      <c r="S3754" s="9">
        <f t="shared" si="294"/>
        <v>0.02</v>
      </c>
    </row>
    <row r="3755" spans="1:19" x14ac:dyDescent="0.3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e">
        <f>VLOOKUP('Customer Info'!B3747,'Customer Info'!B3747:B4246,1,0)</f>
        <v>#N/A</v>
      </c>
      <c r="H3755" s="6" t="e">
        <f>VLOOKUP('Customer Info'!C3747,'Customer Info'!C3747:C4246,1)</f>
        <v>#N/A</v>
      </c>
      <c r="I3755" s="6" t="e">
        <f>VLOOKUP('Customer Info'!E3747,'Customer Info'!E3747:E4246,1,0)</f>
        <v>#N/A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301</v>
      </c>
      <c r="R3755" s="2" t="s">
        <v>28</v>
      </c>
      <c r="S3755" s="9">
        <f t="shared" si="294"/>
        <v>0.02</v>
      </c>
    </row>
    <row r="3756" spans="1:19" x14ac:dyDescent="0.3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e">
        <f>VLOOKUP('Customer Info'!B3748,'Customer Info'!B3748:B4247,1,0)</f>
        <v>#N/A</v>
      </c>
      <c r="H3756" s="6" t="e">
        <f>VLOOKUP('Customer Info'!C3748,'Customer Info'!C3748:C4247,1)</f>
        <v>#N/A</v>
      </c>
      <c r="I3756" s="6" t="e">
        <f>VLOOKUP('Customer Info'!E3748,'Customer Info'!E3748:E4247,1,0)</f>
        <v>#N/A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233</v>
      </c>
      <c r="R3756" s="2" t="s">
        <v>28</v>
      </c>
      <c r="S3756" s="9">
        <f t="shared" si="294"/>
        <v>0.02</v>
      </c>
    </row>
    <row r="3757" spans="1:19" x14ac:dyDescent="0.3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e">
        <f>VLOOKUP('Customer Info'!B3749,'Customer Info'!B3749:B4248,1,0)</f>
        <v>#N/A</v>
      </c>
      <c r="H3757" s="6" t="e">
        <f>VLOOKUP('Customer Info'!C3749,'Customer Info'!C3749:C4248,1)</f>
        <v>#N/A</v>
      </c>
      <c r="I3757" s="6" t="e">
        <f>VLOOKUP('Customer Info'!E3749,'Customer Info'!E3749:E4248,1,0)</f>
        <v>#N/A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1605</v>
      </c>
      <c r="R3757" s="2" t="s">
        <v>50</v>
      </c>
      <c r="S3757" s="9">
        <f t="shared" si="294"/>
        <v>0.05</v>
      </c>
    </row>
    <row r="3758" spans="1:19" x14ac:dyDescent="0.3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e">
        <f>VLOOKUP('Customer Info'!B3750,'Customer Info'!B3750:B4249,1,0)</f>
        <v>#N/A</v>
      </c>
      <c r="H3758" s="6" t="e">
        <f>VLOOKUP('Customer Info'!C3750,'Customer Info'!C3750:C4249,1)</f>
        <v>#N/A</v>
      </c>
      <c r="I3758" s="6" t="e">
        <f>VLOOKUP('Customer Info'!E3750,'Customer Info'!E3750:E4249,1,0)</f>
        <v>#N/A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612</v>
      </c>
      <c r="R3758" s="2" t="s">
        <v>28</v>
      </c>
      <c r="S3758" s="9">
        <f t="shared" si="294"/>
        <v>0.05</v>
      </c>
    </row>
    <row r="3759" spans="1:19" x14ac:dyDescent="0.3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e">
        <f>VLOOKUP('Customer Info'!B3751,'Customer Info'!B3751:B4250,1,0)</f>
        <v>#N/A</v>
      </c>
      <c r="H3759" s="6" t="e">
        <f>VLOOKUP('Customer Info'!C3751,'Customer Info'!C3751:C4250,1)</f>
        <v>#N/A</v>
      </c>
      <c r="I3759" s="6" t="e">
        <f>VLOOKUP('Customer Info'!E3751,'Customer Info'!E3751:E4250,1,0)</f>
        <v>#N/A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326</v>
      </c>
      <c r="R3759" s="2" t="s">
        <v>28</v>
      </c>
      <c r="S3759" s="9">
        <f t="shared" si="294"/>
        <v>0.02</v>
      </c>
    </row>
    <row r="3760" spans="1:19" x14ac:dyDescent="0.3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e">
        <f>VLOOKUP('Customer Info'!B3752,'Customer Info'!B3752:B4251,1,0)</f>
        <v>#N/A</v>
      </c>
      <c r="H3760" s="6" t="e">
        <f>VLOOKUP('Customer Info'!C3752,'Customer Info'!C3752:C4251,1)</f>
        <v>#N/A</v>
      </c>
      <c r="I3760" s="6" t="e">
        <f>VLOOKUP('Customer Info'!E3752,'Customer Info'!E3752:E4251,1,0)</f>
        <v>#N/A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55</v>
      </c>
      <c r="R3760" s="2" t="s">
        <v>50</v>
      </c>
      <c r="S3760" s="9">
        <f t="shared" si="294"/>
        <v>0.02</v>
      </c>
    </row>
    <row r="3761" spans="1:19" x14ac:dyDescent="0.3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e">
        <f>VLOOKUP('Customer Info'!B3753,'Customer Info'!B3753:B4252,1,0)</f>
        <v>#N/A</v>
      </c>
      <c r="H3761" s="6" t="e">
        <f>VLOOKUP('Customer Info'!C3753,'Customer Info'!C3753:C4252,1)</f>
        <v>#N/A</v>
      </c>
      <c r="I3761" s="6" t="e">
        <f>VLOOKUP('Customer Info'!E3753,'Customer Info'!E3753:E4252,1,0)</f>
        <v>#N/A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138</v>
      </c>
      <c r="R3761" s="2" t="s">
        <v>26</v>
      </c>
      <c r="S3761" s="9">
        <f t="shared" si="294"/>
        <v>0.02</v>
      </c>
    </row>
    <row r="3762" spans="1:19" x14ac:dyDescent="0.3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e">
        <f>VLOOKUP('Customer Info'!B3754,'Customer Info'!B3754:B4253,1,0)</f>
        <v>#N/A</v>
      </c>
      <c r="H3762" s="6" t="e">
        <f>VLOOKUP('Customer Info'!C3754,'Customer Info'!C3754:C4253,1)</f>
        <v>#N/A</v>
      </c>
      <c r="I3762" s="6" t="e">
        <f>VLOOKUP('Customer Info'!E3754,'Customer Info'!E3754:E4253,1,0)</f>
        <v>#N/A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240</v>
      </c>
      <c r="R3762" s="2" t="s">
        <v>28</v>
      </c>
      <c r="S3762" s="9">
        <f t="shared" si="294"/>
        <v>0.02</v>
      </c>
    </row>
    <row r="3763" spans="1:19" x14ac:dyDescent="0.3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e">
        <f>VLOOKUP('Customer Info'!B3755,'Customer Info'!B3755:B4254,1,0)</f>
        <v>#N/A</v>
      </c>
      <c r="H3763" s="6" t="e">
        <f>VLOOKUP('Customer Info'!C3755,'Customer Info'!C3755:C4254,1)</f>
        <v>#N/A</v>
      </c>
      <c r="I3763" s="6" t="e">
        <f>VLOOKUP('Customer Info'!E3755,'Customer Info'!E3755:E4254,1,0)</f>
        <v>#N/A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508</v>
      </c>
      <c r="R3763" s="2" t="s">
        <v>50</v>
      </c>
      <c r="S3763" s="9">
        <f t="shared" si="294"/>
        <v>0.05</v>
      </c>
    </row>
    <row r="3764" spans="1:19" x14ac:dyDescent="0.3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e">
        <f>VLOOKUP('Customer Info'!B3756,'Customer Info'!B3756:B4255,1,0)</f>
        <v>#N/A</v>
      </c>
      <c r="H3764" s="6" t="e">
        <f>VLOOKUP('Customer Info'!C3756,'Customer Info'!C3756:C4255,1)</f>
        <v>#N/A</v>
      </c>
      <c r="I3764" s="6" t="e">
        <f>VLOOKUP('Customer Info'!E3756,'Customer Info'!E3756:E4255,1,0)</f>
        <v>#N/A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33</v>
      </c>
      <c r="R3764" s="2" t="s">
        <v>50</v>
      </c>
      <c r="S3764" s="9">
        <f t="shared" si="294"/>
        <v>0.02</v>
      </c>
    </row>
    <row r="3765" spans="1:19" x14ac:dyDescent="0.3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e">
        <f>VLOOKUP('Customer Info'!B3757,'Customer Info'!B3757:B4256,1,0)</f>
        <v>#N/A</v>
      </c>
      <c r="H3765" s="6" t="e">
        <f>VLOOKUP('Customer Info'!C3757,'Customer Info'!C3757:C4256,1)</f>
        <v>#N/A</v>
      </c>
      <c r="I3765" s="6" t="e">
        <f>VLOOKUP('Customer Info'!E3757,'Customer Info'!E3757:E4256,1,0)</f>
        <v>#N/A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192</v>
      </c>
      <c r="R3765" s="2" t="s">
        <v>56</v>
      </c>
      <c r="S3765" s="9">
        <f t="shared" si="294"/>
        <v>0.02</v>
      </c>
    </row>
    <row r="3766" spans="1:19" x14ac:dyDescent="0.3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e">
        <f>VLOOKUP('Customer Info'!B3758,'Customer Info'!B3758:B4257,1,0)</f>
        <v>#N/A</v>
      </c>
      <c r="H3766" s="6" t="e">
        <f>VLOOKUP('Customer Info'!C3758,'Customer Info'!C3758:C4257,1)</f>
        <v>#N/A</v>
      </c>
      <c r="I3766" s="6" t="e">
        <f>VLOOKUP('Customer Info'!E3758,'Customer Info'!E3758:E4257,1,0)</f>
        <v>#N/A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423</v>
      </c>
      <c r="R3766" s="2" t="s">
        <v>26</v>
      </c>
      <c r="S3766" s="9">
        <f t="shared" si="294"/>
        <v>0.05</v>
      </c>
    </row>
    <row r="3767" spans="1:19" x14ac:dyDescent="0.3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e">
        <f>VLOOKUP('Customer Info'!B3759,'Customer Info'!B3759:B4258,1,0)</f>
        <v>#N/A</v>
      </c>
      <c r="H3767" s="6" t="e">
        <f>VLOOKUP('Customer Info'!C3759,'Customer Info'!C3759:C4258,1)</f>
        <v>#N/A</v>
      </c>
      <c r="I3767" s="6" t="e">
        <f>VLOOKUP('Customer Info'!E3759,'Customer Info'!E3759:E4258,1,0)</f>
        <v>#N/A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84</v>
      </c>
      <c r="R3767" s="2" t="s">
        <v>50</v>
      </c>
      <c r="S3767" s="9">
        <f t="shared" si="294"/>
        <v>0.02</v>
      </c>
    </row>
    <row r="3768" spans="1:19" x14ac:dyDescent="0.3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e">
        <f>VLOOKUP('Customer Info'!B3760,'Customer Info'!B3760:B4259,1,0)</f>
        <v>#N/A</v>
      </c>
      <c r="H3768" s="6" t="e">
        <f>VLOOKUP('Customer Info'!C3760,'Customer Info'!C3760:C4259,1)</f>
        <v>#N/A</v>
      </c>
      <c r="I3768" s="6" t="e">
        <f>VLOOKUP('Customer Info'!E3760,'Customer Info'!E3760:E4259,1,0)</f>
        <v>#N/A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288</v>
      </c>
      <c r="R3768" s="2" t="s">
        <v>28</v>
      </c>
      <c r="S3768" s="9">
        <f t="shared" si="294"/>
        <v>0.02</v>
      </c>
    </row>
    <row r="3769" spans="1:19" x14ac:dyDescent="0.3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e">
        <f>VLOOKUP('Customer Info'!B3761,'Customer Info'!B3761:B4260,1,0)</f>
        <v>#N/A</v>
      </c>
      <c r="H3769" s="6" t="e">
        <f>VLOOKUP('Customer Info'!C3761,'Customer Info'!C3761:C4260,1)</f>
        <v>#N/A</v>
      </c>
      <c r="I3769" s="6" t="e">
        <f>VLOOKUP('Customer Info'!E3761,'Customer Info'!E3761:E4260,1,0)</f>
        <v>#N/A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96</v>
      </c>
      <c r="R3769" s="2" t="s">
        <v>28</v>
      </c>
      <c r="S3769" s="9">
        <f t="shared" si="294"/>
        <v>0.02</v>
      </c>
    </row>
    <row r="3770" spans="1:19" x14ac:dyDescent="0.3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e">
        <f>VLOOKUP('Customer Info'!B3762,'Customer Info'!B3762:B4261,1,0)</f>
        <v>#N/A</v>
      </c>
      <c r="H3770" s="6" t="e">
        <f>VLOOKUP('Customer Info'!C3762,'Customer Info'!C3762:C4261,1)</f>
        <v>#N/A</v>
      </c>
      <c r="I3770" s="6" t="e">
        <f>VLOOKUP('Customer Info'!E3762,'Customer Info'!E3762:E4261,1,0)</f>
        <v>#N/A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5</v>
      </c>
      <c r="R3770" s="2" t="s">
        <v>26</v>
      </c>
      <c r="S3770" s="9">
        <f t="shared" si="294"/>
        <v>0.02</v>
      </c>
    </row>
    <row r="3771" spans="1:19" x14ac:dyDescent="0.3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e">
        <f>VLOOKUP('Customer Info'!B3763,'Customer Info'!B3763:B4262,1,0)</f>
        <v>#N/A</v>
      </c>
      <c r="H3771" s="6" t="e">
        <f>VLOOKUP('Customer Info'!C3763,'Customer Info'!C3763:C4262,1)</f>
        <v>#N/A</v>
      </c>
      <c r="I3771" s="6" t="e">
        <f>VLOOKUP('Customer Info'!E3763,'Customer Info'!E3763:E4262,1,0)</f>
        <v>#N/A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103</v>
      </c>
      <c r="R3771" s="2" t="s">
        <v>26</v>
      </c>
      <c r="S3771" s="9">
        <f t="shared" si="294"/>
        <v>0.02</v>
      </c>
    </row>
    <row r="3772" spans="1:19" x14ac:dyDescent="0.3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e">
        <f>VLOOKUP('Customer Info'!B3764,'Customer Info'!B3764:B4263,1,0)</f>
        <v>#N/A</v>
      </c>
      <c r="H3772" s="6" t="e">
        <f>VLOOKUP('Customer Info'!C3764,'Customer Info'!C3764:C4263,1)</f>
        <v>#N/A</v>
      </c>
      <c r="I3772" s="6" t="e">
        <f>VLOOKUP('Customer Info'!E3764,'Customer Info'!E3764:E4263,1,0)</f>
        <v>#N/A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218</v>
      </c>
      <c r="R3772" s="2" t="s">
        <v>28</v>
      </c>
      <c r="S3772" s="9">
        <f t="shared" si="294"/>
        <v>0.02</v>
      </c>
    </row>
    <row r="3773" spans="1:19" x14ac:dyDescent="0.3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e">
        <f>VLOOKUP('Customer Info'!B3765,'Customer Info'!B3765:B4264,1,0)</f>
        <v>#N/A</v>
      </c>
      <c r="H3773" s="6" t="e">
        <f>VLOOKUP('Customer Info'!C3765,'Customer Info'!C3765:C4264,1)</f>
        <v>#N/A</v>
      </c>
      <c r="I3773" s="6" t="e">
        <f>VLOOKUP('Customer Info'!E3765,'Customer Info'!E3765:E4264,1,0)</f>
        <v>#N/A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20</v>
      </c>
      <c r="R3773" s="2" t="s">
        <v>50</v>
      </c>
      <c r="S3773" s="9">
        <f t="shared" si="294"/>
        <v>0.02</v>
      </c>
    </row>
    <row r="3774" spans="1:19" x14ac:dyDescent="0.3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e">
        <f>VLOOKUP('Customer Info'!B3766,'Customer Info'!B3766:B4265,1,0)</f>
        <v>#N/A</v>
      </c>
      <c r="H3774" s="6" t="e">
        <f>VLOOKUP('Customer Info'!C3766,'Customer Info'!C3766:C4265,1)</f>
        <v>#N/A</v>
      </c>
      <c r="I3774" s="6" t="e">
        <f>VLOOKUP('Customer Info'!E3766,'Customer Info'!E3766:E4265,1,0)</f>
        <v>#N/A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380</v>
      </c>
      <c r="R3774" s="2" t="s">
        <v>26</v>
      </c>
      <c r="S3774" s="9">
        <f t="shared" si="294"/>
        <v>0.05</v>
      </c>
    </row>
    <row r="3775" spans="1:19" x14ac:dyDescent="0.3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e">
        <f>VLOOKUP('Customer Info'!B3767,'Customer Info'!B3767:B4266,1,0)</f>
        <v>#N/A</v>
      </c>
      <c r="H3775" s="6" t="e">
        <f>VLOOKUP('Customer Info'!C3767,'Customer Info'!C3767:C4266,1)</f>
        <v>#N/A</v>
      </c>
      <c r="I3775" s="6" t="e">
        <f>VLOOKUP('Customer Info'!E3767,'Customer Info'!E3767:E4266,1,0)</f>
        <v>#N/A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12330</v>
      </c>
      <c r="R3775" s="2" t="s">
        <v>28</v>
      </c>
      <c r="S3775" s="9">
        <f t="shared" si="294"/>
        <v>0.12</v>
      </c>
    </row>
    <row r="3776" spans="1:19" x14ac:dyDescent="0.3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e">
        <f>VLOOKUP('Customer Info'!B3768,'Customer Info'!B3768:B4267,1,0)</f>
        <v>#N/A</v>
      </c>
      <c r="H3776" s="6" t="e">
        <f>VLOOKUP('Customer Info'!C3768,'Customer Info'!C3768:C4267,1)</f>
        <v>#N/A</v>
      </c>
      <c r="I3776" s="6" t="e">
        <f>VLOOKUP('Customer Info'!E3768,'Customer Info'!E3768:E4267,1,0)</f>
        <v>#N/A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45</v>
      </c>
      <c r="R3776" s="2" t="s">
        <v>50</v>
      </c>
      <c r="S3776" s="9">
        <f t="shared" si="294"/>
        <v>0.02</v>
      </c>
    </row>
    <row r="3777" spans="1:19" x14ac:dyDescent="0.3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e">
        <f>VLOOKUP('Customer Info'!B3769,'Customer Info'!B3769:B4268,1,0)</f>
        <v>#N/A</v>
      </c>
      <c r="H3777" s="6" t="e">
        <f>VLOOKUP('Customer Info'!C3769,'Customer Info'!C3769:C4268,1)</f>
        <v>#N/A</v>
      </c>
      <c r="I3777" s="6" t="e">
        <f>VLOOKUP('Customer Info'!E3769,'Customer Info'!E3769:E4268,1,0)</f>
        <v>#N/A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45</v>
      </c>
      <c r="R3777" s="2" t="s">
        <v>28</v>
      </c>
      <c r="S3777" s="9">
        <f t="shared" si="294"/>
        <v>0.02</v>
      </c>
    </row>
    <row r="3778" spans="1:19" x14ac:dyDescent="0.3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e">
        <f>VLOOKUP('Customer Info'!B3770,'Customer Info'!B3770:B4269,1,0)</f>
        <v>#N/A</v>
      </c>
      <c r="H3778" s="6" t="e">
        <f>VLOOKUP('Customer Info'!C3770,'Customer Info'!C3770:C4269,1)</f>
        <v>#N/A</v>
      </c>
      <c r="I3778" s="6" t="e">
        <f>VLOOKUP('Customer Info'!E3770,'Customer Info'!E3770:E4269,1,0)</f>
        <v>#N/A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34</v>
      </c>
      <c r="R3778" s="2" t="s">
        <v>28</v>
      </c>
      <c r="S3778" s="9">
        <f t="shared" si="294"/>
        <v>0.02</v>
      </c>
    </row>
    <row r="3779" spans="1:19" x14ac:dyDescent="0.3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e">
        <f>VLOOKUP('Customer Info'!B3771,'Customer Info'!B3771:B4270,1,0)</f>
        <v>#N/A</v>
      </c>
      <c r="H3779" s="6" t="e">
        <f>VLOOKUP('Customer Info'!C3771,'Customer Info'!C3771:C4270,1)</f>
        <v>#N/A</v>
      </c>
      <c r="I3779" s="6" t="e">
        <f>VLOOKUP('Customer Info'!E3771,'Customer Info'!E3771:E4270,1,0)</f>
        <v>#N/A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348</v>
      </c>
      <c r="R3779" s="2" t="s">
        <v>28</v>
      </c>
      <c r="S3779" s="9">
        <f t="shared" si="294"/>
        <v>0.05</v>
      </c>
    </row>
    <row r="3780" spans="1:19" x14ac:dyDescent="0.3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e">
        <f>VLOOKUP('Customer Info'!B3772,'Customer Info'!B3772:B4271,1,0)</f>
        <v>#N/A</v>
      </c>
      <c r="H3780" s="6" t="e">
        <f>VLOOKUP('Customer Info'!C3772,'Customer Info'!C3772:C4271,1)</f>
        <v>#N/A</v>
      </c>
      <c r="I3780" s="6" t="e">
        <f>VLOOKUP('Customer Info'!E3772,'Customer Info'!E3772:E4271,1,0)</f>
        <v>#N/A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192</v>
      </c>
      <c r="R3780" s="2" t="s">
        <v>26</v>
      </c>
      <c r="S3780" s="9">
        <f t="shared" si="294"/>
        <v>0.02</v>
      </c>
    </row>
    <row r="3781" spans="1:19" x14ac:dyDescent="0.3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e">
        <f>VLOOKUP('Customer Info'!B3773,'Customer Info'!B3773:B4272,1,0)</f>
        <v>#N/A</v>
      </c>
      <c r="H3781" s="6" t="e">
        <f>VLOOKUP('Customer Info'!C3773,'Customer Info'!C3773:C4272,1)</f>
        <v>#N/A</v>
      </c>
      <c r="I3781" s="6" t="e">
        <f>VLOOKUP('Customer Info'!E3773,'Customer Info'!E3773:E4272,1,0)</f>
        <v>#N/A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69</v>
      </c>
      <c r="R3781" s="2" t="s">
        <v>28</v>
      </c>
      <c r="S3781" s="9">
        <f t="shared" si="294"/>
        <v>0.02</v>
      </c>
    </row>
    <row r="3782" spans="1:19" x14ac:dyDescent="0.3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e">
        <f>VLOOKUP('Customer Info'!B3774,'Customer Info'!B3774:B4273,1,0)</f>
        <v>#N/A</v>
      </c>
      <c r="H3782" s="6" t="e">
        <f>VLOOKUP('Customer Info'!C3774,'Customer Info'!C3774:C4273,1)</f>
        <v>#N/A</v>
      </c>
      <c r="I3782" s="6" t="e">
        <f>VLOOKUP('Customer Info'!E3774,'Customer Info'!E3774:E4273,1,0)</f>
        <v>#N/A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3840</v>
      </c>
      <c r="R3782" s="2" t="s">
        <v>28</v>
      </c>
      <c r="S3782" s="9">
        <f t="shared" si="294"/>
        <v>7.0000000000000007E-2</v>
      </c>
    </row>
    <row r="3783" spans="1:19" x14ac:dyDescent="0.3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e">
        <f>VLOOKUP('Customer Info'!B3775,'Customer Info'!B3775:B4274,1,0)</f>
        <v>#N/A</v>
      </c>
      <c r="H3783" s="6" t="e">
        <f>VLOOKUP('Customer Info'!C3775,'Customer Info'!C3775:C4274,1)</f>
        <v>#N/A</v>
      </c>
      <c r="I3783" s="6" t="e">
        <f>VLOOKUP('Customer Info'!E3775,'Customer Info'!E3775:E4274,1,0)</f>
        <v>#N/A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42</v>
      </c>
      <c r="R3783" s="2" t="s">
        <v>50</v>
      </c>
      <c r="S3783" s="9">
        <f t="shared" si="294"/>
        <v>0.02</v>
      </c>
    </row>
    <row r="3784" spans="1:19" x14ac:dyDescent="0.3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e">
        <f>VLOOKUP('Customer Info'!B3776,'Customer Info'!B3776:B4275,1,0)</f>
        <v>#N/A</v>
      </c>
      <c r="H3784" s="6" t="e">
        <f>VLOOKUP('Customer Info'!C3776,'Customer Info'!C3776:C4275,1)</f>
        <v>#N/A</v>
      </c>
      <c r="I3784" s="6" t="e">
        <f>VLOOKUP('Customer Info'!E3776,'Customer Info'!E3776:E4275,1,0)</f>
        <v>#N/A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1984</v>
      </c>
      <c r="R3784" s="2" t="s">
        <v>26</v>
      </c>
      <c r="S3784" s="9">
        <f t="shared" si="294"/>
        <v>0.05</v>
      </c>
    </row>
    <row r="3785" spans="1:19" x14ac:dyDescent="0.3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e">
        <f>VLOOKUP('Customer Info'!B3777,'Customer Info'!B3777:B4276,1,0)</f>
        <v>#N/A</v>
      </c>
      <c r="H3785" s="6" t="e">
        <f>VLOOKUP('Customer Info'!C3777,'Customer Info'!C3777:C4276,1)</f>
        <v>#N/A</v>
      </c>
      <c r="I3785" s="6" t="e">
        <f>VLOOKUP('Customer Info'!E3777,'Customer Info'!E3777:E4276,1,0)</f>
        <v>#N/A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2535</v>
      </c>
      <c r="R3785" s="2" t="s">
        <v>28</v>
      </c>
      <c r="S3785" s="9">
        <f t="shared" si="294"/>
        <v>7.0000000000000007E-2</v>
      </c>
    </row>
    <row r="3786" spans="1:19" x14ac:dyDescent="0.3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e">
        <f>VLOOKUP('Customer Info'!B3778,'Customer Info'!B3778:B4277,1,0)</f>
        <v>#N/A</v>
      </c>
      <c r="H3786" s="6" t="e">
        <f>VLOOKUP('Customer Info'!C3778,'Customer Info'!C3778:C4277,1)</f>
        <v>#N/A</v>
      </c>
      <c r="I3786" s="6" t="e">
        <f>VLOOKUP('Customer Info'!E3778,'Customer Info'!E3778:E4277,1,0)</f>
        <v>#N/A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180</v>
      </c>
      <c r="R3786" s="2" t="s">
        <v>50</v>
      </c>
      <c r="S3786" s="9">
        <f t="shared" si="294"/>
        <v>0.02</v>
      </c>
    </row>
    <row r="3787" spans="1:19" x14ac:dyDescent="0.3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e">
        <f>VLOOKUP('Customer Info'!B3779,'Customer Info'!B3779:B4278,1,0)</f>
        <v>#N/A</v>
      </c>
      <c r="H3787" s="6" t="e">
        <f>VLOOKUP('Customer Info'!C3779,'Customer Info'!C3779:C4278,1)</f>
        <v>#N/A</v>
      </c>
      <c r="I3787" s="6" t="e">
        <f>VLOOKUP('Customer Info'!E3779,'Customer Info'!E3779:E4278,1,0)</f>
        <v>#N/A</v>
      </c>
      <c r="J3787" s="2">
        <v>2958</v>
      </c>
      <c r="K3787" s="2">
        <v>2743</v>
      </c>
      <c r="L3787" s="2">
        <v>2</v>
      </c>
      <c r="M3787" s="7">
        <f t="shared" ref="M3787:M3850" si="295">(K3787*L3787)</f>
        <v>5486</v>
      </c>
      <c r="N3787" s="7">
        <f t="shared" ref="N3787:N3850" si="296">(J3787*L3787)</f>
        <v>5916</v>
      </c>
      <c r="O3787" s="2">
        <v>47</v>
      </c>
      <c r="P3787" s="8">
        <f t="shared" ref="P3787:P3850" si="297">(N3787+O3787)</f>
        <v>5963</v>
      </c>
      <c r="Q3787" s="8">
        <f t="shared" ref="Q3787:Q3850" si="298">(N3787-M3787)</f>
        <v>430</v>
      </c>
      <c r="R3787" s="2" t="s">
        <v>50</v>
      </c>
      <c r="S3787" s="9">
        <f t="shared" ref="S3787:S3850" si="299">_xlfn.IFS(P3787&gt;250000,0.15,P3787&gt;100000,0.12,P3787&gt;50000,0.09,P3787&gt;25000,0.07,P3787&gt;5000,0.05,
 TRUE,0.02)</f>
        <v>0.05</v>
      </c>
    </row>
    <row r="3788" spans="1:19" x14ac:dyDescent="0.3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e">
        <f>VLOOKUP('Customer Info'!B3780,'Customer Info'!B3780:B4279,1,0)</f>
        <v>#N/A</v>
      </c>
      <c r="H3788" s="6" t="e">
        <f>VLOOKUP('Customer Info'!C3780,'Customer Info'!C3780:C4279,1)</f>
        <v>#N/A</v>
      </c>
      <c r="I3788" s="6" t="e">
        <f>VLOOKUP('Customer Info'!E3780,'Customer Info'!E3780:E4279,1,0)</f>
        <v>#N/A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1680</v>
      </c>
      <c r="R3788" s="2" t="s">
        <v>28</v>
      </c>
      <c r="S3788" s="9">
        <f t="shared" si="299"/>
        <v>7.0000000000000007E-2</v>
      </c>
    </row>
    <row r="3789" spans="1:19" x14ac:dyDescent="0.3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e">
        <f>VLOOKUP('Customer Info'!B3781,'Customer Info'!B3781:B4280,1,0)</f>
        <v>#N/A</v>
      </c>
      <c r="H3789" s="6" t="e">
        <f>VLOOKUP('Customer Info'!C3781,'Customer Info'!C3781:C4280,1)</f>
        <v>#N/A</v>
      </c>
      <c r="I3789" s="6" t="e">
        <f>VLOOKUP('Customer Info'!E3781,'Customer Info'!E3781:E4280,1,0)</f>
        <v>#N/A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90</v>
      </c>
      <c r="R3789" s="2" t="s">
        <v>28</v>
      </c>
      <c r="S3789" s="9">
        <f t="shared" si="299"/>
        <v>0.02</v>
      </c>
    </row>
    <row r="3790" spans="1:19" x14ac:dyDescent="0.3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e">
        <f>VLOOKUP('Customer Info'!B3782,'Customer Info'!B3782:B4281,1,0)</f>
        <v>#N/A</v>
      </c>
      <c r="H3790" s="6" t="e">
        <f>VLOOKUP('Customer Info'!C3782,'Customer Info'!C3782:C4281,1)</f>
        <v>#N/A</v>
      </c>
      <c r="I3790" s="6" t="e">
        <f>VLOOKUP('Customer Info'!E3782,'Customer Info'!E3782:E4281,1,0)</f>
        <v>#N/A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30</v>
      </c>
      <c r="R3790" s="2" t="s">
        <v>28</v>
      </c>
      <c r="S3790" s="9">
        <f t="shared" si="299"/>
        <v>0.02</v>
      </c>
    </row>
    <row r="3791" spans="1:19" x14ac:dyDescent="0.3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e">
        <f>VLOOKUP('Customer Info'!B3783,'Customer Info'!B3783:B4282,1,0)</f>
        <v>#N/A</v>
      </c>
      <c r="H3791" s="6" t="e">
        <f>VLOOKUP('Customer Info'!C3783,'Customer Info'!C3783:C4282,1)</f>
        <v>#N/A</v>
      </c>
      <c r="I3791" s="6" t="e">
        <f>VLOOKUP('Customer Info'!E3783,'Customer Info'!E3783:E4282,1,0)</f>
        <v>#N/A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33</v>
      </c>
      <c r="R3791" s="2" t="s">
        <v>28</v>
      </c>
      <c r="S3791" s="9">
        <f t="shared" si="299"/>
        <v>0.02</v>
      </c>
    </row>
    <row r="3792" spans="1:19" x14ac:dyDescent="0.3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e">
        <f>VLOOKUP('Customer Info'!B3784,'Customer Info'!B3784:B4283,1,0)</f>
        <v>#N/A</v>
      </c>
      <c r="H3792" s="6" t="e">
        <f>VLOOKUP('Customer Info'!C3784,'Customer Info'!C3784:C4283,1)</f>
        <v>#N/A</v>
      </c>
      <c r="I3792" s="6" t="e">
        <f>VLOOKUP('Customer Info'!E3784,'Customer Info'!E3784:E4283,1,0)</f>
        <v>#N/A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948</v>
      </c>
      <c r="R3792" s="2" t="s">
        <v>56</v>
      </c>
      <c r="S3792" s="9">
        <f t="shared" si="299"/>
        <v>0.05</v>
      </c>
    </row>
    <row r="3793" spans="1:19" x14ac:dyDescent="0.3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e">
        <f>VLOOKUP('Customer Info'!B3785,'Customer Info'!B3785:B4284,1,0)</f>
        <v>#N/A</v>
      </c>
      <c r="H3793" s="6" t="e">
        <f>VLOOKUP('Customer Info'!C3785,'Customer Info'!C3785:C4284,1)</f>
        <v>#N/A</v>
      </c>
      <c r="I3793" s="6" t="e">
        <f>VLOOKUP('Customer Info'!E3785,'Customer Info'!E3785:E4284,1,0)</f>
        <v>#N/A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18</v>
      </c>
      <c r="R3793" s="2" t="s">
        <v>28</v>
      </c>
      <c r="S3793" s="9">
        <f t="shared" si="299"/>
        <v>0.02</v>
      </c>
    </row>
    <row r="3794" spans="1:19" x14ac:dyDescent="0.3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e">
        <f>VLOOKUP('Customer Info'!B3786,'Customer Info'!B3786:B4285,1,0)</f>
        <v>#N/A</v>
      </c>
      <c r="H3794" s="6" t="e">
        <f>VLOOKUP('Customer Info'!C3786,'Customer Info'!C3786:C4285,1)</f>
        <v>#N/A</v>
      </c>
      <c r="I3794" s="6" t="e">
        <f>VLOOKUP('Customer Info'!E3786,'Customer Info'!E3786:E4285,1,0)</f>
        <v>#N/A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14316</v>
      </c>
      <c r="R3794" s="2" t="s">
        <v>28</v>
      </c>
      <c r="S3794" s="9">
        <f t="shared" si="299"/>
        <v>0.12</v>
      </c>
    </row>
    <row r="3795" spans="1:19" x14ac:dyDescent="0.3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e">
        <f>VLOOKUP('Customer Info'!B3787,'Customer Info'!B3787:B4286,1,0)</f>
        <v>#N/A</v>
      </c>
      <c r="H3795" s="6" t="e">
        <f>VLOOKUP('Customer Info'!C3787,'Customer Info'!C3787:C4286,1)</f>
        <v>#N/A</v>
      </c>
      <c r="I3795" s="6" t="e">
        <f>VLOOKUP('Customer Info'!E3787,'Customer Info'!E3787:E4286,1,0)</f>
        <v>#N/A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840</v>
      </c>
      <c r="R3795" s="2" t="s">
        <v>28</v>
      </c>
      <c r="S3795" s="9">
        <f t="shared" si="299"/>
        <v>0.05</v>
      </c>
    </row>
    <row r="3796" spans="1:19" x14ac:dyDescent="0.3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e">
        <f>VLOOKUP('Customer Info'!B3788,'Customer Info'!B3788:B4287,1,0)</f>
        <v>#N/A</v>
      </c>
      <c r="H3796" s="6" t="e">
        <f>VLOOKUP('Customer Info'!C3788,'Customer Info'!C3788:C4287,1)</f>
        <v>#N/A</v>
      </c>
      <c r="I3796" s="6" t="e">
        <f>VLOOKUP('Customer Info'!E3788,'Customer Info'!E3788:E4287,1,0)</f>
        <v>#N/A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630</v>
      </c>
      <c r="R3796" s="2" t="s">
        <v>28</v>
      </c>
      <c r="S3796" s="9">
        <f t="shared" si="299"/>
        <v>0.05</v>
      </c>
    </row>
    <row r="3797" spans="1:19" x14ac:dyDescent="0.3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e">
        <f>VLOOKUP('Customer Info'!B3789,'Customer Info'!B3789:B4288,1,0)</f>
        <v>#N/A</v>
      </c>
      <c r="H3797" s="6" t="e">
        <f>VLOOKUP('Customer Info'!C3789,'Customer Info'!C3789:C4288,1)</f>
        <v>#N/A</v>
      </c>
      <c r="I3797" s="6" t="e">
        <f>VLOOKUP('Customer Info'!E3789,'Customer Info'!E3789:E4288,1,0)</f>
        <v>#N/A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20</v>
      </c>
      <c r="R3797" s="2" t="s">
        <v>28</v>
      </c>
      <c r="S3797" s="9">
        <f t="shared" si="299"/>
        <v>0.02</v>
      </c>
    </row>
    <row r="3798" spans="1:19" x14ac:dyDescent="0.3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e">
        <f>VLOOKUP('Customer Info'!B3790,'Customer Info'!B3790:B4289,1,0)</f>
        <v>#N/A</v>
      </c>
      <c r="H3798" s="6" t="e">
        <f>VLOOKUP('Customer Info'!C3790,'Customer Info'!C3790:C4289,1)</f>
        <v>#N/A</v>
      </c>
      <c r="I3798" s="6" t="e">
        <f>VLOOKUP('Customer Info'!E3790,'Customer Info'!E3790:E4289,1,0)</f>
        <v>#N/A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394</v>
      </c>
      <c r="R3798" s="2" t="s">
        <v>28</v>
      </c>
      <c r="S3798" s="9">
        <f t="shared" si="299"/>
        <v>0.05</v>
      </c>
    </row>
    <row r="3799" spans="1:19" x14ac:dyDescent="0.3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e">
        <f>VLOOKUP('Customer Info'!B3791,'Customer Info'!B3791:B4290,1,0)</f>
        <v>#N/A</v>
      </c>
      <c r="H3799" s="6" t="e">
        <f>VLOOKUP('Customer Info'!C3791,'Customer Info'!C3791:C4290,1)</f>
        <v>#N/A</v>
      </c>
      <c r="I3799" s="6" t="e">
        <f>VLOOKUP('Customer Info'!E3791,'Customer Info'!E3791:E4290,1,0)</f>
        <v>#N/A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615</v>
      </c>
      <c r="R3799" s="2" t="s">
        <v>26</v>
      </c>
      <c r="S3799" s="9">
        <f t="shared" si="299"/>
        <v>0.05</v>
      </c>
    </row>
    <row r="3800" spans="1:19" x14ac:dyDescent="0.3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e">
        <f>VLOOKUP('Customer Info'!B3792,'Customer Info'!B3792:B4291,1,0)</f>
        <v>#N/A</v>
      </c>
      <c r="H3800" s="6" t="e">
        <f>VLOOKUP('Customer Info'!C3792,'Customer Info'!C3792:C4291,1)</f>
        <v>#N/A</v>
      </c>
      <c r="I3800" s="6" t="e">
        <f>VLOOKUP('Customer Info'!E3792,'Customer Info'!E3792:E4291,1,0)</f>
        <v>#N/A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134</v>
      </c>
      <c r="R3800" s="2" t="s">
        <v>28</v>
      </c>
      <c r="S3800" s="9">
        <f t="shared" si="299"/>
        <v>0.02</v>
      </c>
    </row>
    <row r="3801" spans="1:19" x14ac:dyDescent="0.3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e">
        <f>VLOOKUP('Customer Info'!B3793,'Customer Info'!B3793:B4292,1,0)</f>
        <v>#N/A</v>
      </c>
      <c r="H3801" s="6" t="e">
        <f>VLOOKUP('Customer Info'!C3793,'Customer Info'!C3793:C4292,1)</f>
        <v>#N/A</v>
      </c>
      <c r="I3801" s="6" t="e">
        <f>VLOOKUP('Customer Info'!E3793,'Customer Info'!E3793:E4292,1,0)</f>
        <v>#N/A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102</v>
      </c>
      <c r="R3801" s="2" t="s">
        <v>28</v>
      </c>
      <c r="S3801" s="9">
        <f t="shared" si="299"/>
        <v>0.02</v>
      </c>
    </row>
    <row r="3802" spans="1:19" x14ac:dyDescent="0.3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e">
        <f>VLOOKUP('Customer Info'!B3794,'Customer Info'!B3794:B4293,1,0)</f>
        <v>#N/A</v>
      </c>
      <c r="H3802" s="6" t="e">
        <f>VLOOKUP('Customer Info'!C3794,'Customer Info'!C3794:C4293,1)</f>
        <v>#N/A</v>
      </c>
      <c r="I3802" s="6" t="e">
        <f>VLOOKUP('Customer Info'!E3794,'Customer Info'!E3794:E4293,1,0)</f>
        <v>#N/A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45</v>
      </c>
      <c r="R3802" s="2" t="s">
        <v>28</v>
      </c>
      <c r="S3802" s="9">
        <f t="shared" si="299"/>
        <v>0.02</v>
      </c>
    </row>
    <row r="3803" spans="1:19" x14ac:dyDescent="0.3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e">
        <f>VLOOKUP('Customer Info'!B3795,'Customer Info'!B3795:B4294,1,0)</f>
        <v>#N/A</v>
      </c>
      <c r="H3803" s="6" t="e">
        <f>VLOOKUP('Customer Info'!C3795,'Customer Info'!C3795:C4294,1)</f>
        <v>#N/A</v>
      </c>
      <c r="I3803" s="6" t="e">
        <f>VLOOKUP('Customer Info'!E3795,'Customer Info'!E3795:E4294,1,0)</f>
        <v>#N/A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150</v>
      </c>
      <c r="R3803" s="2" t="s">
        <v>50</v>
      </c>
      <c r="S3803" s="9">
        <f t="shared" si="299"/>
        <v>0.02</v>
      </c>
    </row>
    <row r="3804" spans="1:19" x14ac:dyDescent="0.3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e">
        <f>VLOOKUP('Customer Info'!B3796,'Customer Info'!B3796:B4295,1,0)</f>
        <v>#N/A</v>
      </c>
      <c r="H3804" s="6" t="e">
        <f>VLOOKUP('Customer Info'!C3796,'Customer Info'!C3796:C4295,1)</f>
        <v>#N/A</v>
      </c>
      <c r="I3804" s="6" t="e">
        <f>VLOOKUP('Customer Info'!E3796,'Customer Info'!E3796:E4295,1,0)</f>
        <v>#N/A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28</v>
      </c>
      <c r="R3804" s="2" t="s">
        <v>50</v>
      </c>
      <c r="S3804" s="9">
        <f t="shared" si="299"/>
        <v>0.02</v>
      </c>
    </row>
    <row r="3805" spans="1:19" x14ac:dyDescent="0.3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e">
        <f>VLOOKUP('Customer Info'!B3797,'Customer Info'!B3797:B4296,1,0)</f>
        <v>#N/A</v>
      </c>
      <c r="H3805" s="6" t="e">
        <f>VLOOKUP('Customer Info'!C3797,'Customer Info'!C3797:C4296,1)</f>
        <v>#N/A</v>
      </c>
      <c r="I3805" s="6" t="e">
        <f>VLOOKUP('Customer Info'!E3797,'Customer Info'!E3797:E4296,1,0)</f>
        <v>#N/A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156</v>
      </c>
      <c r="R3805" s="2" t="s">
        <v>28</v>
      </c>
      <c r="S3805" s="9">
        <f t="shared" si="299"/>
        <v>0.02</v>
      </c>
    </row>
    <row r="3806" spans="1:19" x14ac:dyDescent="0.3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e">
        <f>VLOOKUP('Customer Info'!B3798,'Customer Info'!B3798:B4297,1,0)</f>
        <v>#N/A</v>
      </c>
      <c r="H3806" s="6" t="e">
        <f>VLOOKUP('Customer Info'!C3798,'Customer Info'!C3798:C4297,1)</f>
        <v>#N/A</v>
      </c>
      <c r="I3806" s="6" t="e">
        <f>VLOOKUP('Customer Info'!E3798,'Customer Info'!E3798:E4297,1,0)</f>
        <v>#N/A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86</v>
      </c>
      <c r="R3806" s="2" t="s">
        <v>28</v>
      </c>
      <c r="S3806" s="9">
        <f t="shared" si="299"/>
        <v>0.02</v>
      </c>
    </row>
    <row r="3807" spans="1:19" x14ac:dyDescent="0.3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e">
        <f>VLOOKUP('Customer Info'!B3799,'Customer Info'!B3799:B4298,1,0)</f>
        <v>#N/A</v>
      </c>
      <c r="H3807" s="6" t="e">
        <f>VLOOKUP('Customer Info'!C3799,'Customer Info'!C3799:C4298,1)</f>
        <v>#N/A</v>
      </c>
      <c r="I3807" s="6" t="e">
        <f>VLOOKUP('Customer Info'!E3799,'Customer Info'!E3799:E4298,1,0)</f>
        <v>#N/A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188</v>
      </c>
      <c r="R3807" s="2" t="s">
        <v>28</v>
      </c>
      <c r="S3807" s="9">
        <f t="shared" si="299"/>
        <v>0.02</v>
      </c>
    </row>
    <row r="3808" spans="1:19" x14ac:dyDescent="0.3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e">
        <f>VLOOKUP('Customer Info'!B3800,'Customer Info'!B3800:B4299,1,0)</f>
        <v>#N/A</v>
      </c>
      <c r="H3808" s="6" t="e">
        <f>VLOOKUP('Customer Info'!C3800,'Customer Info'!C3800:C4299,1)</f>
        <v>#N/A</v>
      </c>
      <c r="I3808" s="6" t="e">
        <f>VLOOKUP('Customer Info'!E3800,'Customer Info'!E3800:E4299,1,0)</f>
        <v>#N/A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480</v>
      </c>
      <c r="R3808" s="2" t="s">
        <v>28</v>
      </c>
      <c r="S3808" s="9">
        <f t="shared" si="299"/>
        <v>0.05</v>
      </c>
    </row>
    <row r="3809" spans="1:19" x14ac:dyDescent="0.3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e">
        <f>VLOOKUP('Customer Info'!B3801,'Customer Info'!B3801:B4300,1,0)</f>
        <v>#N/A</v>
      </c>
      <c r="H3809" s="6" t="e">
        <f>VLOOKUP('Customer Info'!C3801,'Customer Info'!C3801:C4300,1)</f>
        <v>#N/A</v>
      </c>
      <c r="I3809" s="6" t="e">
        <f>VLOOKUP('Customer Info'!E3801,'Customer Info'!E3801:E4300,1,0)</f>
        <v>#N/A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176</v>
      </c>
      <c r="R3809" s="2" t="s">
        <v>28</v>
      </c>
      <c r="S3809" s="9">
        <f t="shared" si="299"/>
        <v>0.02</v>
      </c>
    </row>
    <row r="3810" spans="1:19" x14ac:dyDescent="0.3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e">
        <f>VLOOKUP('Customer Info'!B3802,'Customer Info'!B3802:B4301,1,0)</f>
        <v>#N/A</v>
      </c>
      <c r="H3810" s="6" t="e">
        <f>VLOOKUP('Customer Info'!C3802,'Customer Info'!C3802:C4301,1)</f>
        <v>#N/A</v>
      </c>
      <c r="I3810" s="6" t="e">
        <f>VLOOKUP('Customer Info'!E3802,'Customer Info'!E3802:E4301,1,0)</f>
        <v>#N/A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18</v>
      </c>
      <c r="R3810" s="2" t="s">
        <v>28</v>
      </c>
      <c r="S3810" s="9">
        <f t="shared" si="299"/>
        <v>0.02</v>
      </c>
    </row>
    <row r="3811" spans="1:19" x14ac:dyDescent="0.3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e">
        <f>VLOOKUP('Customer Info'!B3803,'Customer Info'!B3803:B4302,1,0)</f>
        <v>#N/A</v>
      </c>
      <c r="H3811" s="6" t="e">
        <f>VLOOKUP('Customer Info'!C3803,'Customer Info'!C3803:C4302,1)</f>
        <v>#N/A</v>
      </c>
      <c r="I3811" s="6" t="e">
        <f>VLOOKUP('Customer Info'!E3803,'Customer Info'!E3803:E4302,1,0)</f>
        <v>#N/A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2576</v>
      </c>
      <c r="R3811" s="2" t="s">
        <v>28</v>
      </c>
      <c r="S3811" s="9">
        <f t="shared" si="299"/>
        <v>7.0000000000000007E-2</v>
      </c>
    </row>
    <row r="3812" spans="1:19" x14ac:dyDescent="0.3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e">
        <f>VLOOKUP('Customer Info'!B3804,'Customer Info'!B3804:B4303,1,0)</f>
        <v>#N/A</v>
      </c>
      <c r="H3812" s="6" t="e">
        <f>VLOOKUP('Customer Info'!C3804,'Customer Info'!C3804:C4303,1)</f>
        <v>#N/A</v>
      </c>
      <c r="I3812" s="6" t="e">
        <f>VLOOKUP('Customer Info'!E3804,'Customer Info'!E3804:E4303,1,0)</f>
        <v>#N/A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2085</v>
      </c>
      <c r="R3812" s="2" t="s">
        <v>56</v>
      </c>
      <c r="S3812" s="9">
        <f t="shared" si="299"/>
        <v>7.0000000000000007E-2</v>
      </c>
    </row>
    <row r="3813" spans="1:19" x14ac:dyDescent="0.3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e">
        <f>VLOOKUP('Customer Info'!B3805,'Customer Info'!B3805:B4304,1,0)</f>
        <v>#N/A</v>
      </c>
      <c r="H3813" s="6" t="e">
        <f>VLOOKUP('Customer Info'!C3805,'Customer Info'!C3805:C4304,1)</f>
        <v>#N/A</v>
      </c>
      <c r="I3813" s="6" t="e">
        <f>VLOOKUP('Customer Info'!E3805,'Customer Info'!E3805:E4304,1,0)</f>
        <v>#N/A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70</v>
      </c>
      <c r="R3813" s="2" t="s">
        <v>50</v>
      </c>
      <c r="S3813" s="9">
        <f t="shared" si="299"/>
        <v>0.02</v>
      </c>
    </row>
    <row r="3814" spans="1:19" x14ac:dyDescent="0.3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e">
        <f>VLOOKUP('Customer Info'!B3806,'Customer Info'!B3806:B4305,1,0)</f>
        <v>#N/A</v>
      </c>
      <c r="H3814" s="6" t="e">
        <f>VLOOKUP('Customer Info'!C3806,'Customer Info'!C3806:C4305,1)</f>
        <v>#N/A</v>
      </c>
      <c r="I3814" s="6" t="e">
        <f>VLOOKUP('Customer Info'!E3806,'Customer Info'!E3806:E4305,1,0)</f>
        <v>#N/A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387</v>
      </c>
      <c r="R3814" s="2" t="s">
        <v>28</v>
      </c>
      <c r="S3814" s="9">
        <f t="shared" si="299"/>
        <v>0.05</v>
      </c>
    </row>
    <row r="3815" spans="1:19" x14ac:dyDescent="0.3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e">
        <f>VLOOKUP('Customer Info'!B3807,'Customer Info'!B3807:B4306,1,0)</f>
        <v>#N/A</v>
      </c>
      <c r="H3815" s="6" t="e">
        <f>VLOOKUP('Customer Info'!C3807,'Customer Info'!C3807:C4306,1)</f>
        <v>#N/A</v>
      </c>
      <c r="I3815" s="6" t="e">
        <f>VLOOKUP('Customer Info'!E3807,'Customer Info'!E3807:E4306,1,0)</f>
        <v>#N/A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121</v>
      </c>
      <c r="R3815" s="2" t="s">
        <v>50</v>
      </c>
      <c r="S3815" s="9">
        <f t="shared" si="299"/>
        <v>0.02</v>
      </c>
    </row>
    <row r="3816" spans="1:19" x14ac:dyDescent="0.3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e">
        <f>VLOOKUP('Customer Info'!B3808,'Customer Info'!B3808:B4307,1,0)</f>
        <v>#N/A</v>
      </c>
      <c r="H3816" s="6" t="e">
        <f>VLOOKUP('Customer Info'!C3808,'Customer Info'!C3808:C4307,1)</f>
        <v>#N/A</v>
      </c>
      <c r="I3816" s="6" t="e">
        <f>VLOOKUP('Customer Info'!E3808,'Customer Info'!E3808:E4307,1,0)</f>
        <v>#N/A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90</v>
      </c>
      <c r="R3816" s="2" t="s">
        <v>28</v>
      </c>
      <c r="S3816" s="9">
        <f t="shared" si="299"/>
        <v>0.02</v>
      </c>
    </row>
    <row r="3817" spans="1:19" x14ac:dyDescent="0.3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e">
        <f>VLOOKUP('Customer Info'!B3809,'Customer Info'!B3809:B4308,1,0)</f>
        <v>#N/A</v>
      </c>
      <c r="H3817" s="6" t="e">
        <f>VLOOKUP('Customer Info'!C3809,'Customer Info'!C3809:C4308,1)</f>
        <v>#N/A</v>
      </c>
      <c r="I3817" s="6" t="e">
        <f>VLOOKUP('Customer Info'!E3809,'Customer Info'!E3809:E4308,1,0)</f>
        <v>#N/A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504</v>
      </c>
      <c r="R3817" s="2" t="s">
        <v>50</v>
      </c>
      <c r="S3817" s="9">
        <f t="shared" si="299"/>
        <v>0.05</v>
      </c>
    </row>
    <row r="3818" spans="1:19" x14ac:dyDescent="0.3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e">
        <f>VLOOKUP('Customer Info'!B3810,'Customer Info'!B3810:B4309,1,0)</f>
        <v>#N/A</v>
      </c>
      <c r="H3818" s="6" t="e">
        <f>VLOOKUP('Customer Info'!C3810,'Customer Info'!C3810:C4309,1)</f>
        <v>#N/A</v>
      </c>
      <c r="I3818" s="6" t="e">
        <f>VLOOKUP('Customer Info'!E3810,'Customer Info'!E3810:E4309,1,0)</f>
        <v>#N/A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165</v>
      </c>
      <c r="R3818" s="2" t="s">
        <v>50</v>
      </c>
      <c r="S3818" s="9">
        <f t="shared" si="299"/>
        <v>0.02</v>
      </c>
    </row>
    <row r="3819" spans="1:19" x14ac:dyDescent="0.3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e">
        <f>VLOOKUP('Customer Info'!B3811,'Customer Info'!B3811:B4310,1,0)</f>
        <v>#N/A</v>
      </c>
      <c r="H3819" s="6" t="e">
        <f>VLOOKUP('Customer Info'!C3811,'Customer Info'!C3811:C4310,1)</f>
        <v>#N/A</v>
      </c>
      <c r="I3819" s="6" t="e">
        <f>VLOOKUP('Customer Info'!E3811,'Customer Info'!E3811:E4310,1,0)</f>
        <v>#N/A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116</v>
      </c>
      <c r="R3819" s="2" t="s">
        <v>50</v>
      </c>
      <c r="S3819" s="9">
        <f t="shared" si="299"/>
        <v>0.02</v>
      </c>
    </row>
    <row r="3820" spans="1:19" x14ac:dyDescent="0.3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e">
        <f>VLOOKUP('Customer Info'!B3812,'Customer Info'!B3812:B4311,1,0)</f>
        <v>#N/A</v>
      </c>
      <c r="H3820" s="6" t="e">
        <f>VLOOKUP('Customer Info'!C3812,'Customer Info'!C3812:C4311,1)</f>
        <v>#N/A</v>
      </c>
      <c r="I3820" s="6" t="e">
        <f>VLOOKUP('Customer Info'!E3812,'Customer Info'!E3812:E4311,1,0)</f>
        <v>#N/A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1264</v>
      </c>
      <c r="R3820" s="2" t="s">
        <v>28</v>
      </c>
      <c r="S3820" s="9">
        <f t="shared" si="299"/>
        <v>0.05</v>
      </c>
    </row>
    <row r="3821" spans="1:19" x14ac:dyDescent="0.3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e">
        <f>VLOOKUP('Customer Info'!B3813,'Customer Info'!B3813:B4312,1,0)</f>
        <v>#N/A</v>
      </c>
      <c r="H3821" s="6" t="e">
        <f>VLOOKUP('Customer Info'!C3813,'Customer Info'!C3813:C4312,1)</f>
        <v>#N/A</v>
      </c>
      <c r="I3821" s="6" t="e">
        <f>VLOOKUP('Customer Info'!E3813,'Customer Info'!E3813:E4312,1,0)</f>
        <v>#N/A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8</v>
      </c>
      <c r="R3821" s="2" t="s">
        <v>50</v>
      </c>
      <c r="S3821" s="9">
        <f t="shared" si="299"/>
        <v>0.02</v>
      </c>
    </row>
    <row r="3822" spans="1:19" x14ac:dyDescent="0.3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e">
        <f>VLOOKUP('Customer Info'!B3814,'Customer Info'!B3814:B4313,1,0)</f>
        <v>#N/A</v>
      </c>
      <c r="H3822" s="6" t="e">
        <f>VLOOKUP('Customer Info'!C3814,'Customer Info'!C3814:C4313,1)</f>
        <v>#N/A</v>
      </c>
      <c r="I3822" s="6" t="e">
        <f>VLOOKUP('Customer Info'!E3814,'Customer Info'!E3814:E4313,1,0)</f>
        <v>#N/A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398</v>
      </c>
      <c r="R3822" s="2" t="s">
        <v>28</v>
      </c>
      <c r="S3822" s="9">
        <f t="shared" si="299"/>
        <v>0.05</v>
      </c>
    </row>
    <row r="3823" spans="1:19" x14ac:dyDescent="0.3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e">
        <f>VLOOKUP('Customer Info'!B3815,'Customer Info'!B3815:B4314,1,0)</f>
        <v>#N/A</v>
      </c>
      <c r="H3823" s="6" t="e">
        <f>VLOOKUP('Customer Info'!C3815,'Customer Info'!C3815:C4314,1)</f>
        <v>#N/A</v>
      </c>
      <c r="I3823" s="6" t="e">
        <f>VLOOKUP('Customer Info'!E3815,'Customer Info'!E3815:E4314,1,0)</f>
        <v>#N/A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2970</v>
      </c>
      <c r="R3823" s="2" t="s">
        <v>28</v>
      </c>
      <c r="S3823" s="9">
        <f t="shared" si="299"/>
        <v>7.0000000000000007E-2</v>
      </c>
    </row>
    <row r="3824" spans="1:19" x14ac:dyDescent="0.3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e">
        <f>VLOOKUP('Customer Info'!B3816,'Customer Info'!B3816:B4315,1,0)</f>
        <v>#N/A</v>
      </c>
      <c r="H3824" s="6" t="e">
        <f>VLOOKUP('Customer Info'!C3816,'Customer Info'!C3816:C4315,1)</f>
        <v>#N/A</v>
      </c>
      <c r="I3824" s="6" t="e">
        <f>VLOOKUP('Customer Info'!E3816,'Customer Info'!E3816:E4315,1,0)</f>
        <v>#N/A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1572</v>
      </c>
      <c r="R3824" s="2" t="s">
        <v>28</v>
      </c>
      <c r="S3824" s="9">
        <f t="shared" si="299"/>
        <v>0.05</v>
      </c>
    </row>
    <row r="3825" spans="1:19" x14ac:dyDescent="0.3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e">
        <f>VLOOKUP('Customer Info'!B3817,'Customer Info'!B3817:B4316,1,0)</f>
        <v>#N/A</v>
      </c>
      <c r="H3825" s="6" t="e">
        <f>VLOOKUP('Customer Info'!C3817,'Customer Info'!C3817:C4316,1)</f>
        <v>#N/A</v>
      </c>
      <c r="I3825" s="6" t="e">
        <f>VLOOKUP('Customer Info'!E3817,'Customer Info'!E3817:E4316,1,0)</f>
        <v>#N/A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3052</v>
      </c>
      <c r="R3825" s="2" t="s">
        <v>26</v>
      </c>
      <c r="S3825" s="9">
        <f t="shared" si="299"/>
        <v>0.09</v>
      </c>
    </row>
    <row r="3826" spans="1:19" x14ac:dyDescent="0.3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e">
        <f>VLOOKUP('Customer Info'!B3818,'Customer Info'!B3818:B4317,1,0)</f>
        <v>#N/A</v>
      </c>
      <c r="H3826" s="6" t="e">
        <f>VLOOKUP('Customer Info'!C3818,'Customer Info'!C3818:C4317,1)</f>
        <v>#N/A</v>
      </c>
      <c r="I3826" s="6" t="e">
        <f>VLOOKUP('Customer Info'!E3818,'Customer Info'!E3818:E4317,1,0)</f>
        <v>#N/A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12</v>
      </c>
      <c r="R3826" s="2" t="s">
        <v>56</v>
      </c>
      <c r="S3826" s="9">
        <f t="shared" si="299"/>
        <v>0.02</v>
      </c>
    </row>
    <row r="3827" spans="1:19" x14ac:dyDescent="0.3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e">
        <f>VLOOKUP('Customer Info'!B3819,'Customer Info'!B3819:B4318,1,0)</f>
        <v>#N/A</v>
      </c>
      <c r="H3827" s="6" t="e">
        <f>VLOOKUP('Customer Info'!C3819,'Customer Info'!C3819:C4318,1)</f>
        <v>#N/A</v>
      </c>
      <c r="I3827" s="6" t="e">
        <f>VLOOKUP('Customer Info'!E3819,'Customer Info'!E3819:E4318,1,0)</f>
        <v>#N/A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2055</v>
      </c>
      <c r="R3827" s="2" t="s">
        <v>26</v>
      </c>
      <c r="S3827" s="9">
        <f t="shared" si="299"/>
        <v>0.05</v>
      </c>
    </row>
    <row r="3828" spans="1:19" x14ac:dyDescent="0.3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e">
        <f>VLOOKUP('Customer Info'!B3820,'Customer Info'!B3820:B4319,1,0)</f>
        <v>#N/A</v>
      </c>
      <c r="H3828" s="6" t="e">
        <f>VLOOKUP('Customer Info'!C3820,'Customer Info'!C3820:C4319,1)</f>
        <v>#N/A</v>
      </c>
      <c r="I3828" s="6" t="e">
        <f>VLOOKUP('Customer Info'!E3820,'Customer Info'!E3820:E4319,1,0)</f>
        <v>#N/A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1182</v>
      </c>
      <c r="R3828" s="2" t="s">
        <v>28</v>
      </c>
      <c r="S3828" s="9">
        <f t="shared" si="299"/>
        <v>7.0000000000000007E-2</v>
      </c>
    </row>
    <row r="3829" spans="1:19" x14ac:dyDescent="0.3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e">
        <f>VLOOKUP('Customer Info'!B3821,'Customer Info'!B3821:B4320,1,0)</f>
        <v>#N/A</v>
      </c>
      <c r="H3829" s="6" t="e">
        <f>VLOOKUP('Customer Info'!C3821,'Customer Info'!C3821:C4320,1)</f>
        <v>#N/A</v>
      </c>
      <c r="I3829" s="6" t="e">
        <f>VLOOKUP('Customer Info'!E3821,'Customer Info'!E3821:E4320,1,0)</f>
        <v>#N/A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15</v>
      </c>
      <c r="R3829" s="2" t="s">
        <v>50</v>
      </c>
      <c r="S3829" s="9">
        <f t="shared" si="299"/>
        <v>0.02</v>
      </c>
    </row>
    <row r="3830" spans="1:19" x14ac:dyDescent="0.3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e">
        <f>VLOOKUP('Customer Info'!B3822,'Customer Info'!B3822:B4321,1,0)</f>
        <v>#N/A</v>
      </c>
      <c r="H3830" s="6" t="e">
        <f>VLOOKUP('Customer Info'!C3822,'Customer Info'!C3822:C4321,1)</f>
        <v>#N/A</v>
      </c>
      <c r="I3830" s="6" t="e">
        <f>VLOOKUP('Customer Info'!E3822,'Customer Info'!E3822:E4321,1,0)</f>
        <v>#N/A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162</v>
      </c>
      <c r="R3830" s="2" t="s">
        <v>28</v>
      </c>
      <c r="S3830" s="9">
        <f t="shared" si="299"/>
        <v>0.02</v>
      </c>
    </row>
    <row r="3831" spans="1:19" x14ac:dyDescent="0.3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e">
        <f>VLOOKUP('Customer Info'!B3823,'Customer Info'!B3823:B4322,1,0)</f>
        <v>#N/A</v>
      </c>
      <c r="H3831" s="6" t="e">
        <f>VLOOKUP('Customer Info'!C3823,'Customer Info'!C3823:C4322,1)</f>
        <v>#N/A</v>
      </c>
      <c r="I3831" s="6" t="e">
        <f>VLOOKUP('Customer Info'!E3823,'Customer Info'!E3823:E4322,1,0)</f>
        <v>#N/A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75</v>
      </c>
      <c r="R3831" s="2" t="s">
        <v>50</v>
      </c>
      <c r="S3831" s="9">
        <f t="shared" si="299"/>
        <v>0.02</v>
      </c>
    </row>
    <row r="3832" spans="1:19" x14ac:dyDescent="0.3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e">
        <f>VLOOKUP('Customer Info'!B3824,'Customer Info'!B3824:B4323,1,0)</f>
        <v>#N/A</v>
      </c>
      <c r="H3832" s="6" t="e">
        <f>VLOOKUP('Customer Info'!C3824,'Customer Info'!C3824:C4323,1)</f>
        <v>#N/A</v>
      </c>
      <c r="I3832" s="6" t="e">
        <f>VLOOKUP('Customer Info'!E3824,'Customer Info'!E3824:E4323,1,0)</f>
        <v>#N/A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192</v>
      </c>
      <c r="R3832" s="2" t="s">
        <v>50</v>
      </c>
      <c r="S3832" s="9">
        <f t="shared" si="299"/>
        <v>0.02</v>
      </c>
    </row>
    <row r="3833" spans="1:19" x14ac:dyDescent="0.3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e">
        <f>VLOOKUP('Customer Info'!B3825,'Customer Info'!B3825:B4324,1,0)</f>
        <v>#N/A</v>
      </c>
      <c r="H3833" s="6" t="e">
        <f>VLOOKUP('Customer Info'!C3825,'Customer Info'!C3825:C4324,1)</f>
        <v>#N/A</v>
      </c>
      <c r="I3833" s="6" t="e">
        <f>VLOOKUP('Customer Info'!E3825,'Customer Info'!E3825:E4324,1,0)</f>
        <v>#N/A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880</v>
      </c>
      <c r="R3833" s="2" t="s">
        <v>28</v>
      </c>
      <c r="S3833" s="9">
        <f t="shared" si="299"/>
        <v>0.05</v>
      </c>
    </row>
    <row r="3834" spans="1:19" x14ac:dyDescent="0.3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e">
        <f>VLOOKUP('Customer Info'!B3826,'Customer Info'!B3826:B4325,1,0)</f>
        <v>#N/A</v>
      </c>
      <c r="H3834" s="6" t="e">
        <f>VLOOKUP('Customer Info'!C3826,'Customer Info'!C3826:C4325,1)</f>
        <v>#N/A</v>
      </c>
      <c r="I3834" s="6" t="e">
        <f>VLOOKUP('Customer Info'!E3826,'Customer Info'!E3826:E4325,1,0)</f>
        <v>#N/A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1092</v>
      </c>
      <c r="R3834" s="2" t="s">
        <v>26</v>
      </c>
      <c r="S3834" s="9">
        <f t="shared" si="299"/>
        <v>0.05</v>
      </c>
    </row>
    <row r="3835" spans="1:19" x14ac:dyDescent="0.3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e">
        <f>VLOOKUP('Customer Info'!B3827,'Customer Info'!B3827:B4326,1,0)</f>
        <v>#N/A</v>
      </c>
      <c r="H3835" s="6" t="e">
        <f>VLOOKUP('Customer Info'!C3827,'Customer Info'!C3827:C4326,1)</f>
        <v>#N/A</v>
      </c>
      <c r="I3835" s="6" t="e">
        <f>VLOOKUP('Customer Info'!E3827,'Customer Info'!E3827:E4326,1,0)</f>
        <v>#N/A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264</v>
      </c>
      <c r="R3835" s="2" t="s">
        <v>28</v>
      </c>
      <c r="S3835" s="9">
        <f t="shared" si="299"/>
        <v>0.02</v>
      </c>
    </row>
    <row r="3836" spans="1:19" x14ac:dyDescent="0.3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e">
        <f>VLOOKUP('Customer Info'!B3828,'Customer Info'!B3828:B4327,1,0)</f>
        <v>#N/A</v>
      </c>
      <c r="H3836" s="6" t="e">
        <f>VLOOKUP('Customer Info'!C3828,'Customer Info'!C3828:C4327,1)</f>
        <v>#N/A</v>
      </c>
      <c r="I3836" s="6" t="e">
        <f>VLOOKUP('Customer Info'!E3828,'Customer Info'!E3828:E4327,1,0)</f>
        <v>#N/A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3537</v>
      </c>
      <c r="R3836" s="2" t="s">
        <v>28</v>
      </c>
      <c r="S3836" s="9">
        <f t="shared" si="299"/>
        <v>7.0000000000000007E-2</v>
      </c>
    </row>
    <row r="3837" spans="1:19" x14ac:dyDescent="0.3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e">
        <f>VLOOKUP('Customer Info'!B3829,'Customer Info'!B3829:B4328,1,0)</f>
        <v>#N/A</v>
      </c>
      <c r="H3837" s="6" t="e">
        <f>VLOOKUP('Customer Info'!C3829,'Customer Info'!C3829:C4328,1)</f>
        <v>#N/A</v>
      </c>
      <c r="I3837" s="6" t="e">
        <f>VLOOKUP('Customer Info'!E3829,'Customer Info'!E3829:E4328,1,0)</f>
        <v>#N/A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4</v>
      </c>
      <c r="R3837" s="2" t="s">
        <v>28</v>
      </c>
      <c r="S3837" s="9">
        <f t="shared" si="299"/>
        <v>0.02</v>
      </c>
    </row>
    <row r="3838" spans="1:19" x14ac:dyDescent="0.3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e">
        <f>VLOOKUP('Customer Info'!B3830,'Customer Info'!B3830:B4329,1,0)</f>
        <v>#N/A</v>
      </c>
      <c r="H3838" s="6" t="e">
        <f>VLOOKUP('Customer Info'!C3830,'Customer Info'!C3830:C4329,1)</f>
        <v>#N/A</v>
      </c>
      <c r="I3838" s="6" t="e">
        <f>VLOOKUP('Customer Info'!E3830,'Customer Info'!E3830:E4329,1,0)</f>
        <v>#N/A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26</v>
      </c>
      <c r="R3838" s="2" t="s">
        <v>28</v>
      </c>
      <c r="S3838" s="9">
        <f t="shared" si="299"/>
        <v>0.02</v>
      </c>
    </row>
    <row r="3839" spans="1:19" x14ac:dyDescent="0.3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e">
        <f>VLOOKUP('Customer Info'!B3831,'Customer Info'!B3831:B4330,1,0)</f>
        <v>#N/A</v>
      </c>
      <c r="H3839" s="6" t="e">
        <f>VLOOKUP('Customer Info'!C3831,'Customer Info'!C3831:C4330,1)</f>
        <v>#N/A</v>
      </c>
      <c r="I3839" s="6" t="e">
        <f>VLOOKUP('Customer Info'!E3831,'Customer Info'!E3831:E4330,1,0)</f>
        <v>#N/A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35</v>
      </c>
      <c r="R3839" s="2" t="s">
        <v>28</v>
      </c>
      <c r="S3839" s="9">
        <f t="shared" si="299"/>
        <v>0.02</v>
      </c>
    </row>
    <row r="3840" spans="1:19" x14ac:dyDescent="0.3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e">
        <f>VLOOKUP('Customer Info'!B3832,'Customer Info'!B3832:B4331,1,0)</f>
        <v>#N/A</v>
      </c>
      <c r="H3840" s="6" t="e">
        <f>VLOOKUP('Customer Info'!C3832,'Customer Info'!C3832:C4331,1)</f>
        <v>#N/A</v>
      </c>
      <c r="I3840" s="6" t="e">
        <f>VLOOKUP('Customer Info'!E3832,'Customer Info'!E3832:E4331,1,0)</f>
        <v>#N/A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2430</v>
      </c>
      <c r="R3840" s="2" t="s">
        <v>28</v>
      </c>
      <c r="S3840" s="9">
        <f t="shared" si="299"/>
        <v>0.05</v>
      </c>
    </row>
    <row r="3841" spans="1:19" x14ac:dyDescent="0.3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e">
        <f>VLOOKUP('Customer Info'!B3833,'Customer Info'!B3833:B4332,1,0)</f>
        <v>#N/A</v>
      </c>
      <c r="H3841" s="6" t="e">
        <f>VLOOKUP('Customer Info'!C3833,'Customer Info'!C3833:C4332,1)</f>
        <v>#N/A</v>
      </c>
      <c r="I3841" s="6" t="e">
        <f>VLOOKUP('Customer Info'!E3833,'Customer Info'!E3833:E4332,1,0)</f>
        <v>#N/A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129</v>
      </c>
      <c r="R3841" s="2" t="s">
        <v>50</v>
      </c>
      <c r="S3841" s="9">
        <f t="shared" si="299"/>
        <v>0.02</v>
      </c>
    </row>
    <row r="3842" spans="1:19" x14ac:dyDescent="0.3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e">
        <f>VLOOKUP('Customer Info'!B3834,'Customer Info'!B3834:B4333,1,0)</f>
        <v>#N/A</v>
      </c>
      <c r="H3842" s="6" t="e">
        <f>VLOOKUP('Customer Info'!C3834,'Customer Info'!C3834:C4333,1)</f>
        <v>#N/A</v>
      </c>
      <c r="I3842" s="6" t="e">
        <f>VLOOKUP('Customer Info'!E3834,'Customer Info'!E3834:E4333,1,0)</f>
        <v>#N/A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312</v>
      </c>
      <c r="R3842" s="2" t="s">
        <v>28</v>
      </c>
      <c r="S3842" s="9">
        <f t="shared" si="299"/>
        <v>0.05</v>
      </c>
    </row>
    <row r="3843" spans="1:19" x14ac:dyDescent="0.3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e">
        <f>VLOOKUP('Customer Info'!B3835,'Customer Info'!B3835:B4334,1,0)</f>
        <v>#N/A</v>
      </c>
      <c r="H3843" s="6" t="e">
        <f>VLOOKUP('Customer Info'!C3835,'Customer Info'!C3835:C4334,1)</f>
        <v>#N/A</v>
      </c>
      <c r="I3843" s="6" t="e">
        <f>VLOOKUP('Customer Info'!E3835,'Customer Info'!E3835:E4334,1,0)</f>
        <v>#N/A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2028</v>
      </c>
      <c r="R3843" s="2" t="s">
        <v>50</v>
      </c>
      <c r="S3843" s="9">
        <f t="shared" si="299"/>
        <v>0.05</v>
      </c>
    </row>
    <row r="3844" spans="1:19" x14ac:dyDescent="0.3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e">
        <f>VLOOKUP('Customer Info'!B3836,'Customer Info'!B3836:B4335,1,0)</f>
        <v>#N/A</v>
      </c>
      <c r="H3844" s="6" t="e">
        <f>VLOOKUP('Customer Info'!C3836,'Customer Info'!C3836:C4335,1)</f>
        <v>#N/A</v>
      </c>
      <c r="I3844" s="6" t="e">
        <f>VLOOKUP('Customer Info'!E3836,'Customer Info'!E3836:E4335,1,0)</f>
        <v>#N/A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477</v>
      </c>
      <c r="R3844" s="2" t="s">
        <v>56</v>
      </c>
      <c r="S3844" s="9">
        <f t="shared" si="299"/>
        <v>0.02</v>
      </c>
    </row>
    <row r="3845" spans="1:19" x14ac:dyDescent="0.3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e">
        <f>VLOOKUP('Customer Info'!B3837,'Customer Info'!B3837:B4336,1,0)</f>
        <v>#N/A</v>
      </c>
      <c r="H3845" s="6" t="e">
        <f>VLOOKUP('Customer Info'!C3837,'Customer Info'!C3837:C4336,1)</f>
        <v>#N/A</v>
      </c>
      <c r="I3845" s="6" t="e">
        <f>VLOOKUP('Customer Info'!E3837,'Customer Info'!E3837:E4336,1,0)</f>
        <v>#N/A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4</v>
      </c>
      <c r="R3845" s="2" t="s">
        <v>50</v>
      </c>
      <c r="S3845" s="9">
        <f t="shared" si="299"/>
        <v>0.02</v>
      </c>
    </row>
    <row r="3846" spans="1:19" x14ac:dyDescent="0.3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e">
        <f>VLOOKUP('Customer Info'!B3838,'Customer Info'!B3838:B4337,1,0)</f>
        <v>#N/A</v>
      </c>
      <c r="H3846" s="6" t="e">
        <f>VLOOKUP('Customer Info'!C3838,'Customer Info'!C3838:C4337,1)</f>
        <v>#N/A</v>
      </c>
      <c r="I3846" s="6" t="e">
        <f>VLOOKUP('Customer Info'!E3838,'Customer Info'!E3838:E4337,1,0)</f>
        <v>#N/A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97</v>
      </c>
      <c r="R3846" s="2" t="s">
        <v>50</v>
      </c>
      <c r="S3846" s="9">
        <f t="shared" si="299"/>
        <v>0.02</v>
      </c>
    </row>
    <row r="3847" spans="1:19" x14ac:dyDescent="0.3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e">
        <f>VLOOKUP('Customer Info'!B3839,'Customer Info'!B3839:B4338,1,0)</f>
        <v>#N/A</v>
      </c>
      <c r="H3847" s="6" t="e">
        <f>VLOOKUP('Customer Info'!C3839,'Customer Info'!C3839:C4338,1)</f>
        <v>#N/A</v>
      </c>
      <c r="I3847" s="6" t="e">
        <f>VLOOKUP('Customer Info'!E3839,'Customer Info'!E3839:E4338,1,0)</f>
        <v>#N/A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225</v>
      </c>
      <c r="R3847" s="2" t="s">
        <v>28</v>
      </c>
      <c r="S3847" s="9">
        <f t="shared" si="299"/>
        <v>0.05</v>
      </c>
    </row>
    <row r="3848" spans="1:19" x14ac:dyDescent="0.3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e">
        <f>VLOOKUP('Customer Info'!B3840,'Customer Info'!B3840:B4339,1,0)</f>
        <v>#N/A</v>
      </c>
      <c r="H3848" s="6" t="e">
        <f>VLOOKUP('Customer Info'!C3840,'Customer Info'!C3840:C4339,1)</f>
        <v>#N/A</v>
      </c>
      <c r="I3848" s="6" t="e">
        <f>VLOOKUP('Customer Info'!E3840,'Customer Info'!E3840:E4339,1,0)</f>
        <v>#N/A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4662</v>
      </c>
      <c r="R3848" s="2" t="s">
        <v>28</v>
      </c>
      <c r="S3848" s="9">
        <f t="shared" si="299"/>
        <v>0.09</v>
      </c>
    </row>
    <row r="3849" spans="1:19" x14ac:dyDescent="0.3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e">
        <f>VLOOKUP('Customer Info'!B3841,'Customer Info'!B3841:B4340,1,0)</f>
        <v>#N/A</v>
      </c>
      <c r="H3849" s="6" t="e">
        <f>VLOOKUP('Customer Info'!C3841,'Customer Info'!C3841:C4340,1)</f>
        <v>#N/A</v>
      </c>
      <c r="I3849" s="6" t="e">
        <f>VLOOKUP('Customer Info'!E3841,'Customer Info'!E3841:E4340,1,0)</f>
        <v>#N/A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18</v>
      </c>
      <c r="R3849" s="2" t="s">
        <v>28</v>
      </c>
      <c r="S3849" s="9">
        <f t="shared" si="299"/>
        <v>0.02</v>
      </c>
    </row>
    <row r="3850" spans="1:19" x14ac:dyDescent="0.3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e">
        <f>VLOOKUP('Customer Info'!B3842,'Customer Info'!B3842:B4341,1,0)</f>
        <v>#N/A</v>
      </c>
      <c r="H3850" s="6" t="e">
        <f>VLOOKUP('Customer Info'!C3842,'Customer Info'!C3842:C4341,1)</f>
        <v>#N/A</v>
      </c>
      <c r="I3850" s="6" t="e">
        <f>VLOOKUP('Customer Info'!E3842,'Customer Info'!E3842:E4341,1,0)</f>
        <v>#N/A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3040</v>
      </c>
      <c r="R3850" s="2" t="s">
        <v>28</v>
      </c>
      <c r="S3850" s="9">
        <f t="shared" si="299"/>
        <v>7.0000000000000007E-2</v>
      </c>
    </row>
    <row r="3851" spans="1:19" x14ac:dyDescent="0.3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e">
        <f>VLOOKUP('Customer Info'!B3843,'Customer Info'!B3843:B4342,1,0)</f>
        <v>#N/A</v>
      </c>
      <c r="H3851" s="6" t="e">
        <f>VLOOKUP('Customer Info'!C3843,'Customer Info'!C3843:C4342,1)</f>
        <v>#N/A</v>
      </c>
      <c r="I3851" s="6" t="e">
        <f>VLOOKUP('Customer Info'!E3843,'Customer Info'!E3843:E4342,1,0)</f>
        <v>#N/A</v>
      </c>
      <c r="J3851" s="2">
        <v>185</v>
      </c>
      <c r="K3851" s="2">
        <v>174</v>
      </c>
      <c r="L3851" s="2">
        <v>1</v>
      </c>
      <c r="M3851" s="7">
        <f t="shared" ref="M3851:M3914" si="300">(K3851*L3851)</f>
        <v>174</v>
      </c>
      <c r="N3851" s="7">
        <f t="shared" ref="N3851:N3914" si="301">(J3851*L3851)</f>
        <v>185</v>
      </c>
      <c r="O3851" s="2">
        <v>30</v>
      </c>
      <c r="P3851" s="8">
        <f t="shared" ref="P3851:P3914" si="302">(N3851+O3851)</f>
        <v>215</v>
      </c>
      <c r="Q3851" s="8">
        <f t="shared" ref="Q3851:Q3914" si="303">(N3851-M3851)</f>
        <v>11</v>
      </c>
      <c r="R3851" s="2" t="s">
        <v>28</v>
      </c>
      <c r="S3851" s="9">
        <f t="shared" ref="S3851:S3914" si="304">_xlfn.IFS(P3851&gt;250000,0.15,P3851&gt;100000,0.12,P3851&gt;50000,0.09,P3851&gt;25000,0.07,P3851&gt;5000,0.05,
 TRUE,0.02)</f>
        <v>0.02</v>
      </c>
    </row>
    <row r="3852" spans="1:19" x14ac:dyDescent="0.3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e">
        <f>VLOOKUP('Customer Info'!B3844,'Customer Info'!B3844:B4343,1,0)</f>
        <v>#N/A</v>
      </c>
      <c r="H3852" s="6" t="e">
        <f>VLOOKUP('Customer Info'!C3844,'Customer Info'!C3844:C4343,1)</f>
        <v>#N/A</v>
      </c>
      <c r="I3852" s="6" t="e">
        <f>VLOOKUP('Customer Info'!E3844,'Customer Info'!E3844:E4343,1,0)</f>
        <v>#N/A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1800</v>
      </c>
      <c r="R3852" s="2" t="s">
        <v>28</v>
      </c>
      <c r="S3852" s="9">
        <f t="shared" si="304"/>
        <v>0.05</v>
      </c>
    </row>
    <row r="3853" spans="1:19" x14ac:dyDescent="0.3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e">
        <f>VLOOKUP('Customer Info'!B3845,'Customer Info'!B3845:B4344,1,0)</f>
        <v>#N/A</v>
      </c>
      <c r="H3853" s="6" t="e">
        <f>VLOOKUP('Customer Info'!C3845,'Customer Info'!C3845:C4344,1)</f>
        <v>#N/A</v>
      </c>
      <c r="I3853" s="6" t="e">
        <f>VLOOKUP('Customer Info'!E3845,'Customer Info'!E3845:E4344,1,0)</f>
        <v>#N/A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25</v>
      </c>
      <c r="R3853" s="2" t="s">
        <v>50</v>
      </c>
      <c r="S3853" s="9">
        <f t="shared" si="304"/>
        <v>0.02</v>
      </c>
    </row>
    <row r="3854" spans="1:19" x14ac:dyDescent="0.3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e">
        <f>VLOOKUP('Customer Info'!B3846,'Customer Info'!B3846:B4345,1,0)</f>
        <v>#N/A</v>
      </c>
      <c r="H3854" s="6" t="e">
        <f>VLOOKUP('Customer Info'!C3846,'Customer Info'!C3846:C4345,1)</f>
        <v>#N/A</v>
      </c>
      <c r="I3854" s="6" t="e">
        <f>VLOOKUP('Customer Info'!E3846,'Customer Info'!E3846:E4345,1,0)</f>
        <v>#N/A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710</v>
      </c>
      <c r="R3854" s="2" t="s">
        <v>28</v>
      </c>
      <c r="S3854" s="9">
        <f t="shared" si="304"/>
        <v>0.05</v>
      </c>
    </row>
    <row r="3855" spans="1:19" x14ac:dyDescent="0.3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e">
        <f>VLOOKUP('Customer Info'!B3847,'Customer Info'!B3847:B4346,1,0)</f>
        <v>#N/A</v>
      </c>
      <c r="H3855" s="6" t="e">
        <f>VLOOKUP('Customer Info'!C3847,'Customer Info'!C3847:C4346,1)</f>
        <v>#N/A</v>
      </c>
      <c r="I3855" s="6" t="e">
        <f>VLOOKUP('Customer Info'!E3847,'Customer Info'!E3847:E4346,1,0)</f>
        <v>#N/A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180</v>
      </c>
      <c r="R3855" s="2" t="s">
        <v>50</v>
      </c>
      <c r="S3855" s="9">
        <f t="shared" si="304"/>
        <v>0.02</v>
      </c>
    </row>
    <row r="3856" spans="1:19" x14ac:dyDescent="0.3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e">
        <f>VLOOKUP('Customer Info'!B3848,'Customer Info'!B3848:B4347,1,0)</f>
        <v>#N/A</v>
      </c>
      <c r="H3856" s="6" t="e">
        <f>VLOOKUP('Customer Info'!C3848,'Customer Info'!C3848:C4347,1)</f>
        <v>#N/A</v>
      </c>
      <c r="I3856" s="6" t="e">
        <f>VLOOKUP('Customer Info'!E3848,'Customer Info'!E3848:E4347,1,0)</f>
        <v>#N/A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576</v>
      </c>
      <c r="R3856" s="2" t="s">
        <v>28</v>
      </c>
      <c r="S3856" s="9">
        <f t="shared" si="304"/>
        <v>0.05</v>
      </c>
    </row>
    <row r="3857" spans="1:19" x14ac:dyDescent="0.3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e">
        <f>VLOOKUP('Customer Info'!B3849,'Customer Info'!B3849:B4348,1,0)</f>
        <v>#N/A</v>
      </c>
      <c r="H3857" s="6" t="e">
        <f>VLOOKUP('Customer Info'!C3849,'Customer Info'!C3849:C4348,1)</f>
        <v>#N/A</v>
      </c>
      <c r="I3857" s="6" t="e">
        <f>VLOOKUP('Customer Info'!E3849,'Customer Info'!E3849:E4348,1,0)</f>
        <v>#N/A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116</v>
      </c>
      <c r="R3857" s="2" t="s">
        <v>28</v>
      </c>
      <c r="S3857" s="9">
        <f t="shared" si="304"/>
        <v>0.02</v>
      </c>
    </row>
    <row r="3858" spans="1:19" x14ac:dyDescent="0.3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e">
        <f>VLOOKUP('Customer Info'!B3850,'Customer Info'!B3850:B4349,1,0)</f>
        <v>#N/A</v>
      </c>
      <c r="H3858" s="6" t="e">
        <f>VLOOKUP('Customer Info'!C3850,'Customer Info'!C3850:C4349,1)</f>
        <v>#N/A</v>
      </c>
      <c r="I3858" s="6" t="e">
        <f>VLOOKUP('Customer Info'!E3850,'Customer Info'!E3850:E4349,1,0)</f>
        <v>#N/A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2448</v>
      </c>
      <c r="R3858" s="2" t="s">
        <v>50</v>
      </c>
      <c r="S3858" s="9">
        <f t="shared" si="304"/>
        <v>7.0000000000000007E-2</v>
      </c>
    </row>
    <row r="3859" spans="1:19" x14ac:dyDescent="0.3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e">
        <f>VLOOKUP('Customer Info'!B3851,'Customer Info'!B3851:B4350,1,0)</f>
        <v>#N/A</v>
      </c>
      <c r="H3859" s="6" t="e">
        <f>VLOOKUP('Customer Info'!C3851,'Customer Info'!C3851:C4350,1)</f>
        <v>#N/A</v>
      </c>
      <c r="I3859" s="6" t="e">
        <f>VLOOKUP('Customer Info'!E3851,'Customer Info'!E3851:E4350,1,0)</f>
        <v>#N/A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86</v>
      </c>
      <c r="R3859" s="2" t="s">
        <v>28</v>
      </c>
      <c r="S3859" s="9">
        <f t="shared" si="304"/>
        <v>0.02</v>
      </c>
    </row>
    <row r="3860" spans="1:19" x14ac:dyDescent="0.3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e">
        <f>VLOOKUP('Customer Info'!B3852,'Customer Info'!B3852:B4351,1,0)</f>
        <v>#N/A</v>
      </c>
      <c r="H3860" s="6" t="e">
        <f>VLOOKUP('Customer Info'!C3852,'Customer Info'!C3852:C4351,1)</f>
        <v>#N/A</v>
      </c>
      <c r="I3860" s="6" t="e">
        <f>VLOOKUP('Customer Info'!E3852,'Customer Info'!E3852:E4351,1,0)</f>
        <v>#N/A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1656</v>
      </c>
      <c r="R3860" s="2" t="s">
        <v>50</v>
      </c>
      <c r="S3860" s="9">
        <f t="shared" si="304"/>
        <v>0.05</v>
      </c>
    </row>
    <row r="3861" spans="1:19" x14ac:dyDescent="0.3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e">
        <f>VLOOKUP('Customer Info'!B3853,'Customer Info'!B3853:B4352,1,0)</f>
        <v>#N/A</v>
      </c>
      <c r="H3861" s="6" t="e">
        <f>VLOOKUP('Customer Info'!C3853,'Customer Info'!C3853:C4352,1)</f>
        <v>#N/A</v>
      </c>
      <c r="I3861" s="6" t="e">
        <f>VLOOKUP('Customer Info'!E3853,'Customer Info'!E3853:E4352,1,0)</f>
        <v>#N/A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590</v>
      </c>
      <c r="R3861" s="2" t="s">
        <v>28</v>
      </c>
      <c r="S3861" s="9">
        <f t="shared" si="304"/>
        <v>0.05</v>
      </c>
    </row>
    <row r="3862" spans="1:19" x14ac:dyDescent="0.3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e">
        <f>VLOOKUP('Customer Info'!B3854,'Customer Info'!B3854:B4353,1,0)</f>
        <v>#N/A</v>
      </c>
      <c r="H3862" s="6" t="e">
        <f>VLOOKUP('Customer Info'!C3854,'Customer Info'!C3854:C4353,1)</f>
        <v>#N/A</v>
      </c>
      <c r="I3862" s="6" t="e">
        <f>VLOOKUP('Customer Info'!E3854,'Customer Info'!E3854:E4353,1,0)</f>
        <v>#N/A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15</v>
      </c>
      <c r="R3862" s="2" t="s">
        <v>56</v>
      </c>
      <c r="S3862" s="9">
        <f t="shared" si="304"/>
        <v>0.02</v>
      </c>
    </row>
    <row r="3863" spans="1:19" x14ac:dyDescent="0.3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e">
        <f>VLOOKUP('Customer Info'!B3855,'Customer Info'!B3855:B4354,1,0)</f>
        <v>#N/A</v>
      </c>
      <c r="H3863" s="6" t="e">
        <f>VLOOKUP('Customer Info'!C3855,'Customer Info'!C3855:C4354,1)</f>
        <v>#N/A</v>
      </c>
      <c r="I3863" s="6" t="e">
        <f>VLOOKUP('Customer Info'!E3855,'Customer Info'!E3855:E4354,1,0)</f>
        <v>#N/A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25</v>
      </c>
      <c r="R3863" s="2" t="s">
        <v>26</v>
      </c>
      <c r="S3863" s="9">
        <f t="shared" si="304"/>
        <v>0.02</v>
      </c>
    </row>
    <row r="3864" spans="1:19" x14ac:dyDescent="0.3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e">
        <f>VLOOKUP('Customer Info'!B3856,'Customer Info'!B3856:B4355,1,0)</f>
        <v>#N/A</v>
      </c>
      <c r="H3864" s="6" t="e">
        <f>VLOOKUP('Customer Info'!C3856,'Customer Info'!C3856:C4355,1)</f>
        <v>#N/A</v>
      </c>
      <c r="I3864" s="6" t="e">
        <f>VLOOKUP('Customer Info'!E3856,'Customer Info'!E3856:E4355,1,0)</f>
        <v>#N/A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920</v>
      </c>
      <c r="R3864" s="2" t="s">
        <v>28</v>
      </c>
      <c r="S3864" s="9">
        <f t="shared" si="304"/>
        <v>0.05</v>
      </c>
    </row>
    <row r="3865" spans="1:19" x14ac:dyDescent="0.3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e">
        <f>VLOOKUP('Customer Info'!B3857,'Customer Info'!B3857:B4356,1,0)</f>
        <v>#N/A</v>
      </c>
      <c r="H3865" s="6" t="e">
        <f>VLOOKUP('Customer Info'!C3857,'Customer Info'!C3857:C4356,1)</f>
        <v>#N/A</v>
      </c>
      <c r="I3865" s="6" t="e">
        <f>VLOOKUP('Customer Info'!E3857,'Customer Info'!E3857:E4356,1,0)</f>
        <v>#N/A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354</v>
      </c>
      <c r="R3865" s="2" t="s">
        <v>50</v>
      </c>
      <c r="S3865" s="9">
        <f t="shared" si="304"/>
        <v>0.05</v>
      </c>
    </row>
    <row r="3866" spans="1:19" x14ac:dyDescent="0.3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e">
        <f>VLOOKUP('Customer Info'!B3858,'Customer Info'!B3858:B4357,1,0)</f>
        <v>#N/A</v>
      </c>
      <c r="H3866" s="6" t="e">
        <f>VLOOKUP('Customer Info'!C3858,'Customer Info'!C3858:C4357,1)</f>
        <v>#N/A</v>
      </c>
      <c r="I3866" s="6" t="e">
        <f>VLOOKUP('Customer Info'!E3858,'Customer Info'!E3858:E4357,1,0)</f>
        <v>#N/A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75</v>
      </c>
      <c r="R3866" s="2" t="s">
        <v>28</v>
      </c>
      <c r="S3866" s="9">
        <f t="shared" si="304"/>
        <v>0.02</v>
      </c>
    </row>
    <row r="3867" spans="1:19" x14ac:dyDescent="0.3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e">
        <f>VLOOKUP('Customer Info'!B3859,'Customer Info'!B3859:B4358,1,0)</f>
        <v>#N/A</v>
      </c>
      <c r="H3867" s="6" t="e">
        <f>VLOOKUP('Customer Info'!C3859,'Customer Info'!C3859:C4358,1)</f>
        <v>#N/A</v>
      </c>
      <c r="I3867" s="6" t="e">
        <f>VLOOKUP('Customer Info'!E3859,'Customer Info'!E3859:E4358,1,0)</f>
        <v>#N/A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162</v>
      </c>
      <c r="R3867" s="2" t="s">
        <v>50</v>
      </c>
      <c r="S3867" s="9">
        <f t="shared" si="304"/>
        <v>0.02</v>
      </c>
    </row>
    <row r="3868" spans="1:19" x14ac:dyDescent="0.3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e">
        <f>VLOOKUP('Customer Info'!B3860,'Customer Info'!B3860:B4359,1,0)</f>
        <v>#N/A</v>
      </c>
      <c r="H3868" s="6" t="e">
        <f>VLOOKUP('Customer Info'!C3860,'Customer Info'!C3860:C4359,1)</f>
        <v>#N/A</v>
      </c>
      <c r="I3868" s="6" t="e">
        <f>VLOOKUP('Customer Info'!E3860,'Customer Info'!E3860:E4359,1,0)</f>
        <v>#N/A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340</v>
      </c>
      <c r="R3868" s="2" t="s">
        <v>50</v>
      </c>
      <c r="S3868" s="9">
        <f t="shared" si="304"/>
        <v>0.05</v>
      </c>
    </row>
    <row r="3869" spans="1:19" x14ac:dyDescent="0.3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e">
        <f>VLOOKUP('Customer Info'!B3861,'Customer Info'!B3861:B4360,1,0)</f>
        <v>#N/A</v>
      </c>
      <c r="H3869" s="6" t="e">
        <f>VLOOKUP('Customer Info'!C3861,'Customer Info'!C3861:C4360,1)</f>
        <v>#N/A</v>
      </c>
      <c r="I3869" s="6" t="e">
        <f>VLOOKUP('Customer Info'!E3861,'Customer Info'!E3861:E4360,1,0)</f>
        <v>#N/A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2432</v>
      </c>
      <c r="R3869" s="2" t="s">
        <v>28</v>
      </c>
      <c r="S3869" s="9">
        <f t="shared" si="304"/>
        <v>7.0000000000000007E-2</v>
      </c>
    </row>
    <row r="3870" spans="1:19" x14ac:dyDescent="0.3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e">
        <f>VLOOKUP('Customer Info'!B3862,'Customer Info'!B3862:B4361,1,0)</f>
        <v>#N/A</v>
      </c>
      <c r="H3870" s="6" t="e">
        <f>VLOOKUP('Customer Info'!C3862,'Customer Info'!C3862:C4361,1)</f>
        <v>#N/A</v>
      </c>
      <c r="I3870" s="6" t="e">
        <f>VLOOKUP('Customer Info'!E3862,'Customer Info'!E3862:E4361,1,0)</f>
        <v>#N/A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20</v>
      </c>
      <c r="R3870" s="2" t="s">
        <v>28</v>
      </c>
      <c r="S3870" s="9">
        <f t="shared" si="304"/>
        <v>0.02</v>
      </c>
    </row>
    <row r="3871" spans="1:19" x14ac:dyDescent="0.3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e">
        <f>VLOOKUP('Customer Info'!B3863,'Customer Info'!B3863:B4362,1,0)</f>
        <v>#N/A</v>
      </c>
      <c r="H3871" s="6" t="e">
        <f>VLOOKUP('Customer Info'!C3863,'Customer Info'!C3863:C4362,1)</f>
        <v>#N/A</v>
      </c>
      <c r="I3871" s="6" t="e">
        <f>VLOOKUP('Customer Info'!E3863,'Customer Info'!E3863:E4362,1,0)</f>
        <v>#N/A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117</v>
      </c>
      <c r="R3871" s="2" t="s">
        <v>50</v>
      </c>
      <c r="S3871" s="9">
        <f t="shared" si="304"/>
        <v>0.02</v>
      </c>
    </row>
    <row r="3872" spans="1:19" x14ac:dyDescent="0.3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e">
        <f>VLOOKUP('Customer Info'!B3864,'Customer Info'!B3864:B4363,1,0)</f>
        <v>#N/A</v>
      </c>
      <c r="H3872" s="6" t="e">
        <f>VLOOKUP('Customer Info'!C3864,'Customer Info'!C3864:C4363,1)</f>
        <v>#N/A</v>
      </c>
      <c r="I3872" s="6" t="e">
        <f>VLOOKUP('Customer Info'!E3864,'Customer Info'!E3864:E4363,1,0)</f>
        <v>#N/A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128</v>
      </c>
      <c r="R3872" s="2" t="s">
        <v>28</v>
      </c>
      <c r="S3872" s="9">
        <f t="shared" si="304"/>
        <v>0.02</v>
      </c>
    </row>
    <row r="3873" spans="1:19" x14ac:dyDescent="0.3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e">
        <f>VLOOKUP('Customer Info'!B3865,'Customer Info'!B3865:B4364,1,0)</f>
        <v>#N/A</v>
      </c>
      <c r="H3873" s="6" t="e">
        <f>VLOOKUP('Customer Info'!C3865,'Customer Info'!C3865:C4364,1)</f>
        <v>#N/A</v>
      </c>
      <c r="I3873" s="6" t="e">
        <f>VLOOKUP('Customer Info'!E3865,'Customer Info'!E3865:E4364,1,0)</f>
        <v>#N/A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5</v>
      </c>
      <c r="R3873" s="2" t="s">
        <v>50</v>
      </c>
      <c r="S3873" s="9">
        <f t="shared" si="304"/>
        <v>0.02</v>
      </c>
    </row>
    <row r="3874" spans="1:19" x14ac:dyDescent="0.3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e">
        <f>VLOOKUP('Customer Info'!B3866,'Customer Info'!B3866:B4365,1,0)</f>
        <v>#N/A</v>
      </c>
      <c r="H3874" s="6" t="e">
        <f>VLOOKUP('Customer Info'!C3866,'Customer Info'!C3866:C4365,1)</f>
        <v>#N/A</v>
      </c>
      <c r="I3874" s="6" t="e">
        <f>VLOOKUP('Customer Info'!E3866,'Customer Info'!E3866:E4365,1,0)</f>
        <v>#N/A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1320</v>
      </c>
      <c r="R3874" s="2" t="s">
        <v>50</v>
      </c>
      <c r="S3874" s="9">
        <f t="shared" si="304"/>
        <v>0.05</v>
      </c>
    </row>
    <row r="3875" spans="1:19" x14ac:dyDescent="0.3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e">
        <f>VLOOKUP('Customer Info'!B3867,'Customer Info'!B3867:B4366,1,0)</f>
        <v>#N/A</v>
      </c>
      <c r="H3875" s="6" t="e">
        <f>VLOOKUP('Customer Info'!C3867,'Customer Info'!C3867:C4366,1)</f>
        <v>#N/A</v>
      </c>
      <c r="I3875" s="6" t="e">
        <f>VLOOKUP('Customer Info'!E3867,'Customer Info'!E3867:E4366,1,0)</f>
        <v>#N/A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54</v>
      </c>
      <c r="R3875" s="2" t="s">
        <v>28</v>
      </c>
      <c r="S3875" s="9">
        <f t="shared" si="304"/>
        <v>0.02</v>
      </c>
    </row>
    <row r="3876" spans="1:19" x14ac:dyDescent="0.3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e">
        <f>VLOOKUP('Customer Info'!B3868,'Customer Info'!B3868:B4367,1,0)</f>
        <v>#N/A</v>
      </c>
      <c r="H3876" s="6" t="e">
        <f>VLOOKUP('Customer Info'!C3868,'Customer Info'!C3868:C4367,1)</f>
        <v>#N/A</v>
      </c>
      <c r="I3876" s="6" t="e">
        <f>VLOOKUP('Customer Info'!E3868,'Customer Info'!E3868:E4367,1,0)</f>
        <v>#N/A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118</v>
      </c>
      <c r="R3876" s="2" t="s">
        <v>28</v>
      </c>
      <c r="S3876" s="9">
        <f t="shared" si="304"/>
        <v>0.02</v>
      </c>
    </row>
    <row r="3877" spans="1:19" x14ac:dyDescent="0.3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e">
        <f>VLOOKUP('Customer Info'!B3869,'Customer Info'!B3869:B4368,1,0)</f>
        <v>#N/A</v>
      </c>
      <c r="H3877" s="6" t="e">
        <f>VLOOKUP('Customer Info'!C3869,'Customer Info'!C3869:C4368,1)</f>
        <v>#N/A</v>
      </c>
      <c r="I3877" s="6" t="e">
        <f>VLOOKUP('Customer Info'!E3869,'Customer Info'!E3869:E4368,1,0)</f>
        <v>#N/A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14</v>
      </c>
      <c r="R3877" s="2" t="s">
        <v>28</v>
      </c>
      <c r="S3877" s="9">
        <f t="shared" si="304"/>
        <v>0.02</v>
      </c>
    </row>
    <row r="3878" spans="1:19" x14ac:dyDescent="0.3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e">
        <f>VLOOKUP('Customer Info'!B3870,'Customer Info'!B3870:B4369,1,0)</f>
        <v>#N/A</v>
      </c>
      <c r="H3878" s="6" t="e">
        <f>VLOOKUP('Customer Info'!C3870,'Customer Info'!C3870:C4369,1)</f>
        <v>#N/A</v>
      </c>
      <c r="I3878" s="6" t="e">
        <f>VLOOKUP('Customer Info'!E3870,'Customer Info'!E3870:E4369,1,0)</f>
        <v>#N/A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64</v>
      </c>
      <c r="R3878" s="2" t="s">
        <v>28</v>
      </c>
      <c r="S3878" s="9">
        <f t="shared" si="304"/>
        <v>0.02</v>
      </c>
    </row>
    <row r="3879" spans="1:19" x14ac:dyDescent="0.3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e">
        <f>VLOOKUP('Customer Info'!B3871,'Customer Info'!B3871:B4370,1,0)</f>
        <v>#N/A</v>
      </c>
      <c r="H3879" s="6" t="e">
        <f>VLOOKUP('Customer Info'!C3871,'Customer Info'!C3871:C4370,1)</f>
        <v>#N/A</v>
      </c>
      <c r="I3879" s="6" t="e">
        <f>VLOOKUP('Customer Info'!E3871,'Customer Info'!E3871:E4370,1,0)</f>
        <v>#N/A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16</v>
      </c>
      <c r="R3879" s="2" t="s">
        <v>28</v>
      </c>
      <c r="S3879" s="9">
        <f t="shared" si="304"/>
        <v>0.02</v>
      </c>
    </row>
    <row r="3880" spans="1:19" x14ac:dyDescent="0.3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e">
        <f>VLOOKUP('Customer Info'!B3872,'Customer Info'!B3872:B4371,1,0)</f>
        <v>#N/A</v>
      </c>
      <c r="H3880" s="6" t="e">
        <f>VLOOKUP('Customer Info'!C3872,'Customer Info'!C3872:C4371,1)</f>
        <v>#N/A</v>
      </c>
      <c r="I3880" s="6" t="e">
        <f>VLOOKUP('Customer Info'!E3872,'Customer Info'!E3872:E4371,1,0)</f>
        <v>#N/A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255</v>
      </c>
      <c r="R3880" s="2" t="s">
        <v>28</v>
      </c>
      <c r="S3880" s="9">
        <f t="shared" si="304"/>
        <v>0.02</v>
      </c>
    </row>
    <row r="3881" spans="1:19" x14ac:dyDescent="0.3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e">
        <f>VLOOKUP('Customer Info'!B3873,'Customer Info'!B3873:B4372,1,0)</f>
        <v>#N/A</v>
      </c>
      <c r="H3881" s="6" t="e">
        <f>VLOOKUP('Customer Info'!C3873,'Customer Info'!C3873:C4372,1)</f>
        <v>#N/A</v>
      </c>
      <c r="I3881" s="6" t="e">
        <f>VLOOKUP('Customer Info'!E3873,'Customer Info'!E3873:E4372,1,0)</f>
        <v>#N/A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78</v>
      </c>
      <c r="R3881" s="2" t="s">
        <v>28</v>
      </c>
      <c r="S3881" s="9">
        <f t="shared" si="304"/>
        <v>0.02</v>
      </c>
    </row>
    <row r="3882" spans="1:19" x14ac:dyDescent="0.3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e">
        <f>VLOOKUP('Customer Info'!B3874,'Customer Info'!B3874:B4373,1,0)</f>
        <v>#N/A</v>
      </c>
      <c r="H3882" s="6" t="e">
        <f>VLOOKUP('Customer Info'!C3874,'Customer Info'!C3874:C4373,1)</f>
        <v>#N/A</v>
      </c>
      <c r="I3882" s="6" t="e">
        <f>VLOOKUP('Customer Info'!E3874,'Customer Info'!E3874:E4373,1,0)</f>
        <v>#N/A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225</v>
      </c>
      <c r="R3882" s="2" t="s">
        <v>50</v>
      </c>
      <c r="S3882" s="9">
        <f t="shared" si="304"/>
        <v>0.02</v>
      </c>
    </row>
    <row r="3883" spans="1:19" x14ac:dyDescent="0.3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e">
        <f>VLOOKUP('Customer Info'!B3875,'Customer Info'!B3875:B4374,1,0)</f>
        <v>#N/A</v>
      </c>
      <c r="H3883" s="6" t="e">
        <f>VLOOKUP('Customer Info'!C3875,'Customer Info'!C3875:C4374,1)</f>
        <v>#N/A</v>
      </c>
      <c r="I3883" s="6" t="e">
        <f>VLOOKUP('Customer Info'!E3875,'Customer Info'!E3875:E4374,1,0)</f>
        <v>#N/A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158</v>
      </c>
      <c r="R3883" s="2" t="s">
        <v>50</v>
      </c>
      <c r="S3883" s="9">
        <f t="shared" si="304"/>
        <v>0.02</v>
      </c>
    </row>
    <row r="3884" spans="1:19" x14ac:dyDescent="0.3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e">
        <f>VLOOKUP('Customer Info'!B3876,'Customer Info'!B3876:B4375,1,0)</f>
        <v>#N/A</v>
      </c>
      <c r="H3884" s="6" t="e">
        <f>VLOOKUP('Customer Info'!C3876,'Customer Info'!C3876:C4375,1)</f>
        <v>#N/A</v>
      </c>
      <c r="I3884" s="6" t="e">
        <f>VLOOKUP('Customer Info'!E3876,'Customer Info'!E3876:E4375,1,0)</f>
        <v>#N/A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6939</v>
      </c>
      <c r="R3884" s="2" t="s">
        <v>50</v>
      </c>
      <c r="S3884" s="9">
        <f t="shared" si="304"/>
        <v>0.12</v>
      </c>
    </row>
    <row r="3885" spans="1:19" x14ac:dyDescent="0.3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e">
        <f>VLOOKUP('Customer Info'!B3877,'Customer Info'!B3877:B4376,1,0)</f>
        <v>#N/A</v>
      </c>
      <c r="H3885" s="6" t="e">
        <f>VLOOKUP('Customer Info'!C3877,'Customer Info'!C3877:C4376,1)</f>
        <v>#N/A</v>
      </c>
      <c r="I3885" s="6" t="e">
        <f>VLOOKUP('Customer Info'!E3877,'Customer Info'!E3877:E4376,1,0)</f>
        <v>#N/A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472</v>
      </c>
      <c r="R3885" s="2" t="s">
        <v>50</v>
      </c>
      <c r="S3885" s="9">
        <f t="shared" si="304"/>
        <v>0.05</v>
      </c>
    </row>
    <row r="3886" spans="1:19" x14ac:dyDescent="0.3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e">
        <f>VLOOKUP('Customer Info'!B3878,'Customer Info'!B3878:B4377,1,0)</f>
        <v>#N/A</v>
      </c>
      <c r="H3886" s="6" t="e">
        <f>VLOOKUP('Customer Info'!C3878,'Customer Info'!C3878:C4377,1)</f>
        <v>#N/A</v>
      </c>
      <c r="I3886" s="6" t="e">
        <f>VLOOKUP('Customer Info'!E3878,'Customer Info'!E3878:E4377,1,0)</f>
        <v>#N/A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62</v>
      </c>
      <c r="R3886" s="2" t="s">
        <v>56</v>
      </c>
      <c r="S3886" s="9">
        <f t="shared" si="304"/>
        <v>0.02</v>
      </c>
    </row>
    <row r="3887" spans="1:19" x14ac:dyDescent="0.3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e">
        <f>VLOOKUP('Customer Info'!B3879,'Customer Info'!B3879:B4378,1,0)</f>
        <v>#N/A</v>
      </c>
      <c r="H3887" s="6" t="e">
        <f>VLOOKUP('Customer Info'!C3879,'Customer Info'!C3879:C4378,1)</f>
        <v>#N/A</v>
      </c>
      <c r="I3887" s="6" t="e">
        <f>VLOOKUP('Customer Info'!E3879,'Customer Info'!E3879:E4378,1,0)</f>
        <v>#N/A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50</v>
      </c>
      <c r="R3887" s="2" t="s">
        <v>28</v>
      </c>
      <c r="S3887" s="9">
        <f t="shared" si="304"/>
        <v>0.02</v>
      </c>
    </row>
    <row r="3888" spans="1:19" x14ac:dyDescent="0.3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e">
        <f>VLOOKUP('Customer Info'!B3880,'Customer Info'!B3880:B4379,1,0)</f>
        <v>#N/A</v>
      </c>
      <c r="H3888" s="6" t="e">
        <f>VLOOKUP('Customer Info'!C3880,'Customer Info'!C3880:C4379,1)</f>
        <v>#N/A</v>
      </c>
      <c r="I3888" s="6" t="e">
        <f>VLOOKUP('Customer Info'!E3880,'Customer Info'!E3880:E4379,1,0)</f>
        <v>#N/A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2232</v>
      </c>
      <c r="R3888" s="2" t="s">
        <v>28</v>
      </c>
      <c r="S3888" s="9">
        <f t="shared" si="304"/>
        <v>7.0000000000000007E-2</v>
      </c>
    </row>
    <row r="3889" spans="1:19" x14ac:dyDescent="0.3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e">
        <f>VLOOKUP('Customer Info'!B3881,'Customer Info'!B3881:B4380,1,0)</f>
        <v>#N/A</v>
      </c>
      <c r="H3889" s="6" t="e">
        <f>VLOOKUP('Customer Info'!C3881,'Customer Info'!C3881:C4380,1)</f>
        <v>#N/A</v>
      </c>
      <c r="I3889" s="6" t="e">
        <f>VLOOKUP('Customer Info'!E3881,'Customer Info'!E3881:E4380,1,0)</f>
        <v>#N/A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50</v>
      </c>
      <c r="R3889" s="2" t="s">
        <v>28</v>
      </c>
      <c r="S3889" s="9">
        <f t="shared" si="304"/>
        <v>0.02</v>
      </c>
    </row>
    <row r="3890" spans="1:19" x14ac:dyDescent="0.3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e">
        <f>VLOOKUP('Customer Info'!B3882,'Customer Info'!B3882:B4381,1,0)</f>
        <v>#N/A</v>
      </c>
      <c r="H3890" s="6" t="e">
        <f>VLOOKUP('Customer Info'!C3882,'Customer Info'!C3882:C4381,1)</f>
        <v>#N/A</v>
      </c>
      <c r="I3890" s="6" t="e">
        <f>VLOOKUP('Customer Info'!E3882,'Customer Info'!E3882:E4381,1,0)</f>
        <v>#N/A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78</v>
      </c>
      <c r="R3890" s="2" t="s">
        <v>28</v>
      </c>
      <c r="S3890" s="9">
        <f t="shared" si="304"/>
        <v>0.02</v>
      </c>
    </row>
    <row r="3891" spans="1:19" x14ac:dyDescent="0.3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e">
        <f>VLOOKUP('Customer Info'!B3883,'Customer Info'!B3883:B4382,1,0)</f>
        <v>#N/A</v>
      </c>
      <c r="H3891" s="6" t="e">
        <f>VLOOKUP('Customer Info'!C3883,'Customer Info'!C3883:C4382,1)</f>
        <v>#N/A</v>
      </c>
      <c r="I3891" s="6" t="e">
        <f>VLOOKUP('Customer Info'!E3883,'Customer Info'!E3883:E4382,1,0)</f>
        <v>#N/A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9</v>
      </c>
      <c r="R3891" s="2" t="s">
        <v>28</v>
      </c>
      <c r="S3891" s="9">
        <f t="shared" si="304"/>
        <v>0.02</v>
      </c>
    </row>
    <row r="3892" spans="1:19" x14ac:dyDescent="0.3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e">
        <f>VLOOKUP('Customer Info'!B3884,'Customer Info'!B3884:B4383,1,0)</f>
        <v>#N/A</v>
      </c>
      <c r="H3892" s="6" t="e">
        <f>VLOOKUP('Customer Info'!C3884,'Customer Info'!C3884:C4383,1)</f>
        <v>#N/A</v>
      </c>
      <c r="I3892" s="6" t="e">
        <f>VLOOKUP('Customer Info'!E3884,'Customer Info'!E3884:E4383,1,0)</f>
        <v>#N/A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6</v>
      </c>
      <c r="R3892" s="2" t="s">
        <v>28</v>
      </c>
      <c r="S3892" s="9">
        <f t="shared" si="304"/>
        <v>0.02</v>
      </c>
    </row>
    <row r="3893" spans="1:19" x14ac:dyDescent="0.3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e">
        <f>VLOOKUP('Customer Info'!B3885,'Customer Info'!B3885:B4384,1,0)</f>
        <v>#N/A</v>
      </c>
      <c r="H3893" s="6" t="e">
        <f>VLOOKUP('Customer Info'!C3885,'Customer Info'!C3885:C4384,1)</f>
        <v>#N/A</v>
      </c>
      <c r="I3893" s="6" t="e">
        <f>VLOOKUP('Customer Info'!E3885,'Customer Info'!E3885:E4384,1,0)</f>
        <v>#N/A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8</v>
      </c>
      <c r="R3893" s="2" t="s">
        <v>28</v>
      </c>
      <c r="S3893" s="9">
        <f t="shared" si="304"/>
        <v>0.02</v>
      </c>
    </row>
    <row r="3894" spans="1:19" x14ac:dyDescent="0.3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e">
        <f>VLOOKUP('Customer Info'!B3886,'Customer Info'!B3886:B4385,1,0)</f>
        <v>#N/A</v>
      </c>
      <c r="H3894" s="6" t="e">
        <f>VLOOKUP('Customer Info'!C3886,'Customer Info'!C3886:C4385,1)</f>
        <v>#N/A</v>
      </c>
      <c r="I3894" s="6" t="e">
        <f>VLOOKUP('Customer Info'!E3886,'Customer Info'!E3886:E4385,1,0)</f>
        <v>#N/A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8</v>
      </c>
      <c r="R3894" s="2" t="s">
        <v>50</v>
      </c>
      <c r="S3894" s="9">
        <f t="shared" si="304"/>
        <v>0.02</v>
      </c>
    </row>
    <row r="3895" spans="1:19" x14ac:dyDescent="0.3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e">
        <f>VLOOKUP('Customer Info'!B3887,'Customer Info'!B3887:B4386,1,0)</f>
        <v>#N/A</v>
      </c>
      <c r="H3895" s="6" t="e">
        <f>VLOOKUP('Customer Info'!C3887,'Customer Info'!C3887:C4386,1)</f>
        <v>#N/A</v>
      </c>
      <c r="I3895" s="6" t="e">
        <f>VLOOKUP('Customer Info'!E3887,'Customer Info'!E3887:E4386,1,0)</f>
        <v>#N/A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100</v>
      </c>
      <c r="R3895" s="2" t="s">
        <v>50</v>
      </c>
      <c r="S3895" s="9">
        <f t="shared" si="304"/>
        <v>0.02</v>
      </c>
    </row>
    <row r="3896" spans="1:19" x14ac:dyDescent="0.3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e">
        <f>VLOOKUP('Customer Info'!B3888,'Customer Info'!B3888:B4387,1,0)</f>
        <v>#N/A</v>
      </c>
      <c r="H3896" s="6" t="e">
        <f>VLOOKUP('Customer Info'!C3888,'Customer Info'!C3888:C4387,1)</f>
        <v>#N/A</v>
      </c>
      <c r="I3896" s="6" t="e">
        <f>VLOOKUP('Customer Info'!E3888,'Customer Info'!E3888:E4387,1,0)</f>
        <v>#N/A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594</v>
      </c>
      <c r="R3896" s="2" t="s">
        <v>28</v>
      </c>
      <c r="S3896" s="9">
        <f t="shared" si="304"/>
        <v>0.05</v>
      </c>
    </row>
    <row r="3897" spans="1:19" x14ac:dyDescent="0.3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e">
        <f>VLOOKUP('Customer Info'!B3889,'Customer Info'!B3889:B4388,1,0)</f>
        <v>#N/A</v>
      </c>
      <c r="H3897" s="6" t="e">
        <f>VLOOKUP('Customer Info'!C3889,'Customer Info'!C3889:C4388,1)</f>
        <v>#N/A</v>
      </c>
      <c r="I3897" s="6" t="e">
        <f>VLOOKUP('Customer Info'!E3889,'Customer Info'!E3889:E4388,1,0)</f>
        <v>#N/A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224</v>
      </c>
      <c r="R3897" s="2" t="s">
        <v>28</v>
      </c>
      <c r="S3897" s="9">
        <f t="shared" si="304"/>
        <v>0.02</v>
      </c>
    </row>
    <row r="3898" spans="1:19" x14ac:dyDescent="0.3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e">
        <f>VLOOKUP('Customer Info'!B3890,'Customer Info'!B3890:B4389,1,0)</f>
        <v>#N/A</v>
      </c>
      <c r="H3898" s="6" t="e">
        <f>VLOOKUP('Customer Info'!C3890,'Customer Info'!C3890:C4389,1)</f>
        <v>#N/A</v>
      </c>
      <c r="I3898" s="6" t="e">
        <f>VLOOKUP('Customer Info'!E3890,'Customer Info'!E3890:E4389,1,0)</f>
        <v>#N/A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459</v>
      </c>
      <c r="R3898" s="2" t="s">
        <v>50</v>
      </c>
      <c r="S3898" s="9">
        <f t="shared" si="304"/>
        <v>0.05</v>
      </c>
    </row>
    <row r="3899" spans="1:19" x14ac:dyDescent="0.3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e">
        <f>VLOOKUP('Customer Info'!B3891,'Customer Info'!B3891:B4390,1,0)</f>
        <v>#N/A</v>
      </c>
      <c r="H3899" s="6" t="e">
        <f>VLOOKUP('Customer Info'!C3891,'Customer Info'!C3891:C4390,1)</f>
        <v>#N/A</v>
      </c>
      <c r="I3899" s="6" t="e">
        <f>VLOOKUP('Customer Info'!E3891,'Customer Info'!E3891:E4390,1,0)</f>
        <v>#N/A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348</v>
      </c>
      <c r="R3899" s="2" t="s">
        <v>26</v>
      </c>
      <c r="S3899" s="9">
        <f t="shared" si="304"/>
        <v>0.05</v>
      </c>
    </row>
    <row r="3900" spans="1:19" x14ac:dyDescent="0.3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e">
        <f>VLOOKUP('Customer Info'!B3892,'Customer Info'!B3892:B4391,1,0)</f>
        <v>#N/A</v>
      </c>
      <c r="H3900" s="6" t="e">
        <f>VLOOKUP('Customer Info'!C3892,'Customer Info'!C3892:C4391,1)</f>
        <v>#N/A</v>
      </c>
      <c r="I3900" s="6" t="e">
        <f>VLOOKUP('Customer Info'!E3892,'Customer Info'!E3892:E4391,1,0)</f>
        <v>#N/A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12</v>
      </c>
      <c r="R3900" s="2" t="s">
        <v>28</v>
      </c>
      <c r="S3900" s="9">
        <f t="shared" si="304"/>
        <v>0.02</v>
      </c>
    </row>
    <row r="3901" spans="1:19" x14ac:dyDescent="0.3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e">
        <f>VLOOKUP('Customer Info'!B3893,'Customer Info'!B3893:B4392,1,0)</f>
        <v>#N/A</v>
      </c>
      <c r="H3901" s="6" t="e">
        <f>VLOOKUP('Customer Info'!C3893,'Customer Info'!C3893:C4392,1)</f>
        <v>#N/A</v>
      </c>
      <c r="I3901" s="6" t="e">
        <f>VLOOKUP('Customer Info'!E3893,'Customer Info'!E3893:E4392,1,0)</f>
        <v>#N/A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1938</v>
      </c>
      <c r="R3901" s="2" t="s">
        <v>50</v>
      </c>
      <c r="S3901" s="9">
        <f t="shared" si="304"/>
        <v>0.05</v>
      </c>
    </row>
    <row r="3902" spans="1:19" x14ac:dyDescent="0.3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e">
        <f>VLOOKUP('Customer Info'!B3894,'Customer Info'!B3894:B4393,1,0)</f>
        <v>#N/A</v>
      </c>
      <c r="H3902" s="6" t="e">
        <f>VLOOKUP('Customer Info'!C3894,'Customer Info'!C3894:C4393,1)</f>
        <v>#N/A</v>
      </c>
      <c r="I3902" s="6" t="e">
        <f>VLOOKUP('Customer Info'!E3894,'Customer Info'!E3894:E4393,1,0)</f>
        <v>#N/A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303</v>
      </c>
      <c r="R3902" s="2" t="s">
        <v>50</v>
      </c>
      <c r="S3902" s="9">
        <f t="shared" si="304"/>
        <v>0.05</v>
      </c>
    </row>
    <row r="3903" spans="1:19" x14ac:dyDescent="0.3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e">
        <f>VLOOKUP('Customer Info'!B3895,'Customer Info'!B3895:B4394,1,0)</f>
        <v>#N/A</v>
      </c>
      <c r="H3903" s="6" t="e">
        <f>VLOOKUP('Customer Info'!C3895,'Customer Info'!C3895:C4394,1)</f>
        <v>#N/A</v>
      </c>
      <c r="I3903" s="6" t="e">
        <f>VLOOKUP('Customer Info'!E3895,'Customer Info'!E3895:E4394,1,0)</f>
        <v>#N/A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308</v>
      </c>
      <c r="R3903" s="2" t="s">
        <v>50</v>
      </c>
      <c r="S3903" s="9">
        <f t="shared" si="304"/>
        <v>0.05</v>
      </c>
    </row>
    <row r="3904" spans="1:19" x14ac:dyDescent="0.3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e">
        <f>VLOOKUP('Customer Info'!B3896,'Customer Info'!B3896:B4395,1,0)</f>
        <v>#N/A</v>
      </c>
      <c r="H3904" s="6" t="e">
        <f>VLOOKUP('Customer Info'!C3896,'Customer Info'!C3896:C4395,1)</f>
        <v>#N/A</v>
      </c>
      <c r="I3904" s="6" t="e">
        <f>VLOOKUP('Customer Info'!E3896,'Customer Info'!E3896:E4395,1,0)</f>
        <v>#N/A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12</v>
      </c>
      <c r="R3904" s="2" t="s">
        <v>50</v>
      </c>
      <c r="S3904" s="9">
        <f t="shared" si="304"/>
        <v>0.02</v>
      </c>
    </row>
    <row r="3905" spans="1:19" x14ac:dyDescent="0.3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e">
        <f>VLOOKUP('Customer Info'!B3897,'Customer Info'!B3897:B4396,1,0)</f>
        <v>#N/A</v>
      </c>
      <c r="H3905" s="6" t="e">
        <f>VLOOKUP('Customer Info'!C3897,'Customer Info'!C3897:C4396,1)</f>
        <v>#N/A</v>
      </c>
      <c r="I3905" s="6" t="e">
        <f>VLOOKUP('Customer Info'!E3897,'Customer Info'!E3897:E4396,1,0)</f>
        <v>#N/A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3500</v>
      </c>
      <c r="R3905" s="2" t="s">
        <v>26</v>
      </c>
      <c r="S3905" s="9">
        <f t="shared" si="304"/>
        <v>7.0000000000000007E-2</v>
      </c>
    </row>
    <row r="3906" spans="1:19" x14ac:dyDescent="0.3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e">
        <f>VLOOKUP('Customer Info'!B3898,'Customer Info'!B3898:B4397,1,0)</f>
        <v>#N/A</v>
      </c>
      <c r="H3906" s="6" t="e">
        <f>VLOOKUP('Customer Info'!C3898,'Customer Info'!C3898:C4397,1)</f>
        <v>#N/A</v>
      </c>
      <c r="I3906" s="6" t="e">
        <f>VLOOKUP('Customer Info'!E3898,'Customer Info'!E3898:E4397,1,0)</f>
        <v>#N/A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594</v>
      </c>
      <c r="R3906" s="2" t="s">
        <v>50</v>
      </c>
      <c r="S3906" s="9">
        <f t="shared" si="304"/>
        <v>0.05</v>
      </c>
    </row>
    <row r="3907" spans="1:19" x14ac:dyDescent="0.3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e">
        <f>VLOOKUP('Customer Info'!B3899,'Customer Info'!B3899:B4398,1,0)</f>
        <v>#N/A</v>
      </c>
      <c r="H3907" s="6" t="e">
        <f>VLOOKUP('Customer Info'!C3899,'Customer Info'!C3899:C4398,1)</f>
        <v>#N/A</v>
      </c>
      <c r="I3907" s="6" t="e">
        <f>VLOOKUP('Customer Info'!E3899,'Customer Info'!E3899:E4398,1,0)</f>
        <v>#N/A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441</v>
      </c>
      <c r="R3907" s="2" t="s">
        <v>28</v>
      </c>
      <c r="S3907" s="9">
        <f t="shared" si="304"/>
        <v>0.05</v>
      </c>
    </row>
    <row r="3908" spans="1:19" x14ac:dyDescent="0.3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e">
        <f>VLOOKUP('Customer Info'!B3900,'Customer Info'!B3900:B4399,1,0)</f>
        <v>#N/A</v>
      </c>
      <c r="H3908" s="6" t="e">
        <f>VLOOKUP('Customer Info'!C3900,'Customer Info'!C3900:C4399,1)</f>
        <v>#N/A</v>
      </c>
      <c r="I3908" s="6" t="e">
        <f>VLOOKUP('Customer Info'!E3900,'Customer Info'!E3900:E4399,1,0)</f>
        <v>#N/A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14203</v>
      </c>
      <c r="R3908" s="2" t="s">
        <v>28</v>
      </c>
      <c r="S3908" s="9">
        <f t="shared" si="304"/>
        <v>0.15</v>
      </c>
    </row>
    <row r="3909" spans="1:19" x14ac:dyDescent="0.3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e">
        <f>VLOOKUP('Customer Info'!B3901,'Customer Info'!B3901:B4400,1,0)</f>
        <v>#N/A</v>
      </c>
      <c r="H3909" s="6" t="e">
        <f>VLOOKUP('Customer Info'!C3901,'Customer Info'!C3901:C4400,1)</f>
        <v>#N/A</v>
      </c>
      <c r="I3909" s="6" t="e">
        <f>VLOOKUP('Customer Info'!E3901,'Customer Info'!E3901:E4400,1,0)</f>
        <v>#N/A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192</v>
      </c>
      <c r="R3909" s="2" t="s">
        <v>28</v>
      </c>
      <c r="S3909" s="9">
        <f t="shared" si="304"/>
        <v>0.02</v>
      </c>
    </row>
    <row r="3910" spans="1:19" x14ac:dyDescent="0.3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e">
        <f>VLOOKUP('Customer Info'!B3902,'Customer Info'!B3902:B4401,1,0)</f>
        <v>#N/A</v>
      </c>
      <c r="H3910" s="6" t="e">
        <f>VLOOKUP('Customer Info'!C3902,'Customer Info'!C3902:C4401,1)</f>
        <v>#N/A</v>
      </c>
      <c r="I3910" s="6" t="e">
        <f>VLOOKUP('Customer Info'!E3902,'Customer Info'!E3902:E4401,1,0)</f>
        <v>#N/A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64</v>
      </c>
      <c r="R3910" s="2" t="s">
        <v>28</v>
      </c>
      <c r="S3910" s="9">
        <f t="shared" si="304"/>
        <v>0.02</v>
      </c>
    </row>
    <row r="3911" spans="1:19" x14ac:dyDescent="0.3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e">
        <f>VLOOKUP('Customer Info'!B3903,'Customer Info'!B3903:B4402,1,0)</f>
        <v>#N/A</v>
      </c>
      <c r="H3911" s="6" t="e">
        <f>VLOOKUP('Customer Info'!C3903,'Customer Info'!C3903:C4402,1)</f>
        <v>#N/A</v>
      </c>
      <c r="I3911" s="6" t="e">
        <f>VLOOKUP('Customer Info'!E3903,'Customer Info'!E3903:E4402,1,0)</f>
        <v>#N/A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1362</v>
      </c>
      <c r="R3911" s="2" t="s">
        <v>28</v>
      </c>
      <c r="S3911" s="9">
        <f t="shared" si="304"/>
        <v>0.05</v>
      </c>
    </row>
    <row r="3912" spans="1:19" x14ac:dyDescent="0.3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e">
        <f>VLOOKUP('Customer Info'!B3904,'Customer Info'!B3904:B4403,1,0)</f>
        <v>#N/A</v>
      </c>
      <c r="H3912" s="6" t="e">
        <f>VLOOKUP('Customer Info'!C3904,'Customer Info'!C3904:C4403,1)</f>
        <v>#N/A</v>
      </c>
      <c r="I3912" s="6" t="e">
        <f>VLOOKUP('Customer Info'!E3904,'Customer Info'!E3904:E4403,1,0)</f>
        <v>#N/A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27</v>
      </c>
      <c r="R3912" s="2" t="s">
        <v>28</v>
      </c>
      <c r="S3912" s="9">
        <f t="shared" si="304"/>
        <v>0.02</v>
      </c>
    </row>
    <row r="3913" spans="1:19" x14ac:dyDescent="0.3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e">
        <f>VLOOKUP('Customer Info'!B3905,'Customer Info'!B3905:B4404,1,0)</f>
        <v>#N/A</v>
      </c>
      <c r="H3913" s="6" t="e">
        <f>VLOOKUP('Customer Info'!C3905,'Customer Info'!C3905:C4404,1)</f>
        <v>#N/A</v>
      </c>
      <c r="I3913" s="6" t="e">
        <f>VLOOKUP('Customer Info'!E3905,'Customer Info'!E3905:E4404,1,0)</f>
        <v>#N/A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455</v>
      </c>
      <c r="R3913" s="2" t="s">
        <v>50</v>
      </c>
      <c r="S3913" s="9">
        <f t="shared" si="304"/>
        <v>0.05</v>
      </c>
    </row>
    <row r="3914" spans="1:19" x14ac:dyDescent="0.3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e">
        <f>VLOOKUP('Customer Info'!B3906,'Customer Info'!B3906:B4405,1,0)</f>
        <v>#N/A</v>
      </c>
      <c r="H3914" s="6" t="e">
        <f>VLOOKUP('Customer Info'!C3906,'Customer Info'!C3906:C4405,1)</f>
        <v>#N/A</v>
      </c>
      <c r="I3914" s="6" t="e">
        <f>VLOOKUP('Customer Info'!E3906,'Customer Info'!E3906:E4405,1,0)</f>
        <v>#N/A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1484</v>
      </c>
      <c r="R3914" s="2" t="s">
        <v>28</v>
      </c>
      <c r="S3914" s="9">
        <f t="shared" si="304"/>
        <v>0.05</v>
      </c>
    </row>
    <row r="3915" spans="1:19" x14ac:dyDescent="0.3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e">
        <f>VLOOKUP('Customer Info'!B3907,'Customer Info'!B3907:B4406,1,0)</f>
        <v>#N/A</v>
      </c>
      <c r="H3915" s="6" t="e">
        <f>VLOOKUP('Customer Info'!C3907,'Customer Info'!C3907:C4406,1)</f>
        <v>#N/A</v>
      </c>
      <c r="I3915" s="6" t="e">
        <f>VLOOKUP('Customer Info'!E3907,'Customer Info'!E3907:E4406,1,0)</f>
        <v>#N/A</v>
      </c>
      <c r="J3915" s="2">
        <v>458</v>
      </c>
      <c r="K3915" s="2">
        <v>419</v>
      </c>
      <c r="L3915" s="2">
        <v>9</v>
      </c>
      <c r="M3915" s="7">
        <f t="shared" ref="M3915:M3978" si="305">(K3915*L3915)</f>
        <v>3771</v>
      </c>
      <c r="N3915" s="7">
        <f t="shared" ref="N3915:N3978" si="306">(J3915*L3915)</f>
        <v>4122</v>
      </c>
      <c r="O3915" s="2">
        <v>24</v>
      </c>
      <c r="P3915" s="8">
        <f t="shared" ref="P3915:P3978" si="307">(N3915+O3915)</f>
        <v>4146</v>
      </c>
      <c r="Q3915" s="8">
        <f t="shared" ref="Q3915:Q3978" si="308">(N3915-M3915)</f>
        <v>351</v>
      </c>
      <c r="R3915" s="2" t="s">
        <v>50</v>
      </c>
      <c r="S3915" s="9">
        <f t="shared" ref="S3915:S3978" si="309">_xlfn.IFS(P3915&gt;250000,0.15,P3915&gt;100000,0.12,P3915&gt;50000,0.09,P3915&gt;25000,0.07,P3915&gt;5000,0.05,
 TRUE,0.02)</f>
        <v>0.02</v>
      </c>
    </row>
    <row r="3916" spans="1:19" x14ac:dyDescent="0.3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e">
        <f>VLOOKUP('Customer Info'!B3908,'Customer Info'!B3908:B4407,1,0)</f>
        <v>#N/A</v>
      </c>
      <c r="H3916" s="6" t="e">
        <f>VLOOKUP('Customer Info'!C3908,'Customer Info'!C3908:C4407,1)</f>
        <v>#N/A</v>
      </c>
      <c r="I3916" s="6" t="e">
        <f>VLOOKUP('Customer Info'!E3908,'Customer Info'!E3908:E4407,1,0)</f>
        <v>#N/A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3753</v>
      </c>
      <c r="R3916" s="2" t="s">
        <v>26</v>
      </c>
      <c r="S3916" s="9">
        <f t="shared" si="309"/>
        <v>7.0000000000000007E-2</v>
      </c>
    </row>
    <row r="3917" spans="1:19" x14ac:dyDescent="0.3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e">
        <f>VLOOKUP('Customer Info'!B3909,'Customer Info'!B3909:B4408,1,0)</f>
        <v>#N/A</v>
      </c>
      <c r="H3917" s="6" t="e">
        <f>VLOOKUP('Customer Info'!C3909,'Customer Info'!C3909:C4408,1)</f>
        <v>#N/A</v>
      </c>
      <c r="I3917" s="6" t="e">
        <f>VLOOKUP('Customer Info'!E3909,'Customer Info'!E3909:E4408,1,0)</f>
        <v>#N/A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860</v>
      </c>
      <c r="R3917" s="2" t="s">
        <v>26</v>
      </c>
      <c r="S3917" s="9">
        <f t="shared" si="309"/>
        <v>0.05</v>
      </c>
    </row>
    <row r="3918" spans="1:19" x14ac:dyDescent="0.3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e">
        <f>VLOOKUP('Customer Info'!B3910,'Customer Info'!B3910:B4409,1,0)</f>
        <v>#N/A</v>
      </c>
      <c r="H3918" s="6" t="e">
        <f>VLOOKUP('Customer Info'!C3910,'Customer Info'!C3910:C4409,1)</f>
        <v>#N/A</v>
      </c>
      <c r="I3918" s="6" t="e">
        <f>VLOOKUP('Customer Info'!E3910,'Customer Info'!E3910:E4409,1,0)</f>
        <v>#N/A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3164</v>
      </c>
      <c r="R3918" s="2" t="s">
        <v>28</v>
      </c>
      <c r="S3918" s="9">
        <f t="shared" si="309"/>
        <v>7.0000000000000007E-2</v>
      </c>
    </row>
    <row r="3919" spans="1:19" x14ac:dyDescent="0.3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e">
        <f>VLOOKUP('Customer Info'!B3911,'Customer Info'!B3911:B4410,1,0)</f>
        <v>#N/A</v>
      </c>
      <c r="H3919" s="6" t="e">
        <f>VLOOKUP('Customer Info'!C3911,'Customer Info'!C3911:C4410,1)</f>
        <v>#N/A</v>
      </c>
      <c r="I3919" s="6" t="e">
        <f>VLOOKUP('Customer Info'!E3911,'Customer Info'!E3911:E4410,1,0)</f>
        <v>#N/A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120</v>
      </c>
      <c r="R3919" s="2" t="s">
        <v>26</v>
      </c>
      <c r="S3919" s="9">
        <f t="shared" si="309"/>
        <v>0.02</v>
      </c>
    </row>
    <row r="3920" spans="1:19" x14ac:dyDescent="0.3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e">
        <f>VLOOKUP('Customer Info'!B3912,'Customer Info'!B3912:B4411,1,0)</f>
        <v>#N/A</v>
      </c>
      <c r="H3920" s="6" t="e">
        <f>VLOOKUP('Customer Info'!C3912,'Customer Info'!C3912:C4411,1)</f>
        <v>#N/A</v>
      </c>
      <c r="I3920" s="6" t="e">
        <f>VLOOKUP('Customer Info'!E3912,'Customer Info'!E3912:E4411,1,0)</f>
        <v>#N/A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1078</v>
      </c>
      <c r="R3920" s="2" t="s">
        <v>56</v>
      </c>
      <c r="S3920" s="9">
        <f t="shared" si="309"/>
        <v>0.09</v>
      </c>
    </row>
    <row r="3921" spans="1:19" x14ac:dyDescent="0.3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e">
        <f>VLOOKUP('Customer Info'!B3913,'Customer Info'!B3913:B4412,1,0)</f>
        <v>#N/A</v>
      </c>
      <c r="H3921" s="6" t="e">
        <f>VLOOKUP('Customer Info'!C3913,'Customer Info'!C3913:C4412,1)</f>
        <v>#N/A</v>
      </c>
      <c r="I3921" s="6" t="e">
        <f>VLOOKUP('Customer Info'!E3913,'Customer Info'!E3913:E4412,1,0)</f>
        <v>#N/A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1175</v>
      </c>
      <c r="R3921" s="2" t="s">
        <v>26</v>
      </c>
      <c r="S3921" s="9">
        <f t="shared" si="309"/>
        <v>0.05</v>
      </c>
    </row>
    <row r="3922" spans="1:19" x14ac:dyDescent="0.3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e">
        <f>VLOOKUP('Customer Info'!B3914,'Customer Info'!B3914:B4413,1,0)</f>
        <v>#N/A</v>
      </c>
      <c r="H3922" s="6" t="e">
        <f>VLOOKUP('Customer Info'!C3914,'Customer Info'!C3914:C4413,1)</f>
        <v>#N/A</v>
      </c>
      <c r="I3922" s="6" t="e">
        <f>VLOOKUP('Customer Info'!E3914,'Customer Info'!E3914:E4413,1,0)</f>
        <v>#N/A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14</v>
      </c>
      <c r="R3922" s="2" t="s">
        <v>50</v>
      </c>
      <c r="S3922" s="9">
        <f t="shared" si="309"/>
        <v>0.02</v>
      </c>
    </row>
    <row r="3923" spans="1:19" x14ac:dyDescent="0.3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e">
        <f>VLOOKUP('Customer Info'!B3915,'Customer Info'!B3915:B4414,1,0)</f>
        <v>#N/A</v>
      </c>
      <c r="H3923" s="6" t="e">
        <f>VLOOKUP('Customer Info'!C3915,'Customer Info'!C3915:C4414,1)</f>
        <v>#N/A</v>
      </c>
      <c r="I3923" s="6" t="e">
        <f>VLOOKUP('Customer Info'!E3915,'Customer Info'!E3915:E4414,1,0)</f>
        <v>#N/A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91</v>
      </c>
      <c r="R3923" s="2" t="s">
        <v>26</v>
      </c>
      <c r="S3923" s="9">
        <f t="shared" si="309"/>
        <v>0.02</v>
      </c>
    </row>
    <row r="3924" spans="1:19" x14ac:dyDescent="0.3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e">
        <f>VLOOKUP('Customer Info'!B3916,'Customer Info'!B3916:B4415,1,0)</f>
        <v>#N/A</v>
      </c>
      <c r="H3924" s="6" t="e">
        <f>VLOOKUP('Customer Info'!C3916,'Customer Info'!C3916:C4415,1)</f>
        <v>#N/A</v>
      </c>
      <c r="I3924" s="6" t="e">
        <f>VLOOKUP('Customer Info'!E3916,'Customer Info'!E3916:E4415,1,0)</f>
        <v>#N/A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285</v>
      </c>
      <c r="R3924" s="2" t="s">
        <v>28</v>
      </c>
      <c r="S3924" s="9">
        <f t="shared" si="309"/>
        <v>0.05</v>
      </c>
    </row>
    <row r="3925" spans="1:19" x14ac:dyDescent="0.3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e">
        <f>VLOOKUP('Customer Info'!B3917,'Customer Info'!B3917:B4416,1,0)</f>
        <v>#N/A</v>
      </c>
      <c r="H3925" s="6" t="e">
        <f>VLOOKUP('Customer Info'!C3917,'Customer Info'!C3917:C4416,1)</f>
        <v>#N/A</v>
      </c>
      <c r="I3925" s="6" t="e">
        <f>VLOOKUP('Customer Info'!E3917,'Customer Info'!E3917:E4416,1,0)</f>
        <v>#N/A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1336</v>
      </c>
      <c r="R3925" s="2" t="s">
        <v>28</v>
      </c>
      <c r="S3925" s="9">
        <f t="shared" si="309"/>
        <v>0.05</v>
      </c>
    </row>
    <row r="3926" spans="1:19" x14ac:dyDescent="0.3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e">
        <f>VLOOKUP('Customer Info'!B3918,'Customer Info'!B3918:B4417,1,0)</f>
        <v>#N/A</v>
      </c>
      <c r="H3926" s="6" t="e">
        <f>VLOOKUP('Customer Info'!C3918,'Customer Info'!C3918:C4417,1)</f>
        <v>#N/A</v>
      </c>
      <c r="I3926" s="6" t="e">
        <f>VLOOKUP('Customer Info'!E3918,'Customer Info'!E3918:E4417,1,0)</f>
        <v>#N/A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150</v>
      </c>
      <c r="R3926" s="2" t="s">
        <v>28</v>
      </c>
      <c r="S3926" s="9">
        <f t="shared" si="309"/>
        <v>0.02</v>
      </c>
    </row>
    <row r="3927" spans="1:19" x14ac:dyDescent="0.3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e">
        <f>VLOOKUP('Customer Info'!B3919,'Customer Info'!B3919:B4418,1,0)</f>
        <v>#N/A</v>
      </c>
      <c r="H3927" s="6" t="e">
        <f>VLOOKUP('Customer Info'!C3919,'Customer Info'!C3919:C4418,1)</f>
        <v>#N/A</v>
      </c>
      <c r="I3927" s="6" t="e">
        <f>VLOOKUP('Customer Info'!E3919,'Customer Info'!E3919:E4418,1,0)</f>
        <v>#N/A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52</v>
      </c>
      <c r="R3927" s="2" t="s">
        <v>28</v>
      </c>
      <c r="S3927" s="9">
        <f t="shared" si="309"/>
        <v>0.02</v>
      </c>
    </row>
    <row r="3928" spans="1:19" x14ac:dyDescent="0.3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e">
        <f>VLOOKUP('Customer Info'!B3920,'Customer Info'!B3920:B4419,1,0)</f>
        <v>#N/A</v>
      </c>
      <c r="H3928" s="6" t="e">
        <f>VLOOKUP('Customer Info'!C3920,'Customer Info'!C3920:C4419,1)</f>
        <v>#N/A</v>
      </c>
      <c r="I3928" s="6" t="e">
        <f>VLOOKUP('Customer Info'!E3920,'Customer Info'!E3920:E4419,1,0)</f>
        <v>#N/A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486</v>
      </c>
      <c r="R3928" s="2" t="s">
        <v>28</v>
      </c>
      <c r="S3928" s="9">
        <f t="shared" si="309"/>
        <v>0.02</v>
      </c>
    </row>
    <row r="3929" spans="1:19" x14ac:dyDescent="0.3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e">
        <f>VLOOKUP('Customer Info'!B3921,'Customer Info'!B3921:B4420,1,0)</f>
        <v>#N/A</v>
      </c>
      <c r="H3929" s="6" t="e">
        <f>VLOOKUP('Customer Info'!C3921,'Customer Info'!C3921:C4420,1)</f>
        <v>#N/A</v>
      </c>
      <c r="I3929" s="6" t="e">
        <f>VLOOKUP('Customer Info'!E3921,'Customer Info'!E3921:E4420,1,0)</f>
        <v>#N/A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15</v>
      </c>
      <c r="R3929" s="2" t="s">
        <v>50</v>
      </c>
      <c r="S3929" s="9">
        <f t="shared" si="309"/>
        <v>0.02</v>
      </c>
    </row>
    <row r="3930" spans="1:19" x14ac:dyDescent="0.3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e">
        <f>VLOOKUP('Customer Info'!B3922,'Customer Info'!B3922:B4421,1,0)</f>
        <v>#N/A</v>
      </c>
      <c r="H3930" s="6" t="e">
        <f>VLOOKUP('Customer Info'!C3922,'Customer Info'!C3922:C4421,1)</f>
        <v>#N/A</v>
      </c>
      <c r="I3930" s="6" t="e">
        <f>VLOOKUP('Customer Info'!E3922,'Customer Info'!E3922:E4421,1,0)</f>
        <v>#N/A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108</v>
      </c>
      <c r="R3930" s="2" t="s">
        <v>28</v>
      </c>
      <c r="S3930" s="9">
        <f t="shared" si="309"/>
        <v>0.02</v>
      </c>
    </row>
    <row r="3931" spans="1:19" x14ac:dyDescent="0.3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e">
        <f>VLOOKUP('Customer Info'!B3923,'Customer Info'!B3923:B4422,1,0)</f>
        <v>#N/A</v>
      </c>
      <c r="H3931" s="6" t="e">
        <f>VLOOKUP('Customer Info'!C3923,'Customer Info'!C3923:C4422,1)</f>
        <v>#N/A</v>
      </c>
      <c r="I3931" s="6" t="e">
        <f>VLOOKUP('Customer Info'!E3923,'Customer Info'!E3923:E4422,1,0)</f>
        <v>#N/A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1050</v>
      </c>
      <c r="R3931" s="2" t="s">
        <v>50</v>
      </c>
      <c r="S3931" s="9">
        <f t="shared" si="309"/>
        <v>0.05</v>
      </c>
    </row>
    <row r="3932" spans="1:19" x14ac:dyDescent="0.3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e">
        <f>VLOOKUP('Customer Info'!B3924,'Customer Info'!B3924:B4423,1,0)</f>
        <v>#N/A</v>
      </c>
      <c r="H3932" s="6" t="e">
        <f>VLOOKUP('Customer Info'!C3924,'Customer Info'!C3924:C4423,1)</f>
        <v>#N/A</v>
      </c>
      <c r="I3932" s="6" t="e">
        <f>VLOOKUP('Customer Info'!E3924,'Customer Info'!E3924:E4423,1,0)</f>
        <v>#N/A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72</v>
      </c>
      <c r="R3932" s="2" t="s">
        <v>50</v>
      </c>
      <c r="S3932" s="9">
        <f t="shared" si="309"/>
        <v>0.02</v>
      </c>
    </row>
    <row r="3933" spans="1:19" x14ac:dyDescent="0.3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e">
        <f>VLOOKUP('Customer Info'!B3925,'Customer Info'!B3925:B4424,1,0)</f>
        <v>#N/A</v>
      </c>
      <c r="H3933" s="6" t="e">
        <f>VLOOKUP('Customer Info'!C3925,'Customer Info'!C3925:C4424,1)</f>
        <v>#N/A</v>
      </c>
      <c r="I3933" s="6" t="e">
        <f>VLOOKUP('Customer Info'!E3925,'Customer Info'!E3925:E4424,1,0)</f>
        <v>#N/A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236</v>
      </c>
      <c r="R3933" s="2" t="s">
        <v>50</v>
      </c>
      <c r="S3933" s="9">
        <f t="shared" si="309"/>
        <v>0.05</v>
      </c>
    </row>
    <row r="3934" spans="1:19" x14ac:dyDescent="0.3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e">
        <f>VLOOKUP('Customer Info'!B3926,'Customer Info'!B3926:B4425,1,0)</f>
        <v>#N/A</v>
      </c>
      <c r="H3934" s="6" t="e">
        <f>VLOOKUP('Customer Info'!C3926,'Customer Info'!C3926:C4425,1)</f>
        <v>#N/A</v>
      </c>
      <c r="I3934" s="6" t="e">
        <f>VLOOKUP('Customer Info'!E3926,'Customer Info'!E3926:E4425,1,0)</f>
        <v>#N/A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70</v>
      </c>
      <c r="R3934" s="2" t="s">
        <v>28</v>
      </c>
      <c r="S3934" s="9">
        <f t="shared" si="309"/>
        <v>0.02</v>
      </c>
    </row>
    <row r="3935" spans="1:19" x14ac:dyDescent="0.3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e">
        <f>VLOOKUP('Customer Info'!B3927,'Customer Info'!B3927:B4426,1,0)</f>
        <v>#N/A</v>
      </c>
      <c r="H3935" s="6" t="e">
        <f>VLOOKUP('Customer Info'!C3927,'Customer Info'!C3927:C4426,1)</f>
        <v>#N/A</v>
      </c>
      <c r="I3935" s="6" t="e">
        <f>VLOOKUP('Customer Info'!E3927,'Customer Info'!E3927:E4426,1,0)</f>
        <v>#N/A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324</v>
      </c>
      <c r="R3935" s="2" t="s">
        <v>50</v>
      </c>
      <c r="S3935" s="9">
        <f t="shared" si="309"/>
        <v>0.02</v>
      </c>
    </row>
    <row r="3936" spans="1:19" x14ac:dyDescent="0.3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e">
        <f>VLOOKUP('Customer Info'!B3928,'Customer Info'!B3928:B4427,1,0)</f>
        <v>#N/A</v>
      </c>
      <c r="H3936" s="6" t="e">
        <f>VLOOKUP('Customer Info'!C3928,'Customer Info'!C3928:C4427,1)</f>
        <v>#N/A</v>
      </c>
      <c r="I3936" s="6" t="e">
        <f>VLOOKUP('Customer Info'!E3928,'Customer Info'!E3928:E4427,1,0)</f>
        <v>#N/A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93</v>
      </c>
      <c r="R3936" s="2" t="s">
        <v>28</v>
      </c>
      <c r="S3936" s="9">
        <f t="shared" si="309"/>
        <v>0.02</v>
      </c>
    </row>
    <row r="3937" spans="1:19" x14ac:dyDescent="0.3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e">
        <f>VLOOKUP('Customer Info'!B3929,'Customer Info'!B3929:B4428,1,0)</f>
        <v>#N/A</v>
      </c>
      <c r="H3937" s="6" t="e">
        <f>VLOOKUP('Customer Info'!C3929,'Customer Info'!C3929:C4428,1)</f>
        <v>#N/A</v>
      </c>
      <c r="I3937" s="6" t="e">
        <f>VLOOKUP('Customer Info'!E3929,'Customer Info'!E3929:E4428,1,0)</f>
        <v>#N/A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73</v>
      </c>
      <c r="R3937" s="2" t="s">
        <v>28</v>
      </c>
      <c r="S3937" s="9">
        <f t="shared" si="309"/>
        <v>0.02</v>
      </c>
    </row>
    <row r="3938" spans="1:19" x14ac:dyDescent="0.3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e">
        <f>VLOOKUP('Customer Info'!B3930,'Customer Info'!B3930:B4429,1,0)</f>
        <v>#N/A</v>
      </c>
      <c r="H3938" s="6" t="e">
        <f>VLOOKUP('Customer Info'!C3930,'Customer Info'!C3930:C4429,1)</f>
        <v>#N/A</v>
      </c>
      <c r="I3938" s="6" t="e">
        <f>VLOOKUP('Customer Info'!E3930,'Customer Info'!E3930:E4429,1,0)</f>
        <v>#N/A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410</v>
      </c>
      <c r="R3938" s="2" t="s">
        <v>50</v>
      </c>
      <c r="S3938" s="9">
        <f t="shared" si="309"/>
        <v>0.05</v>
      </c>
    </row>
    <row r="3939" spans="1:19" x14ac:dyDescent="0.3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e">
        <f>VLOOKUP('Customer Info'!B3931,'Customer Info'!B3931:B4430,1,0)</f>
        <v>#N/A</v>
      </c>
      <c r="H3939" s="6" t="e">
        <f>VLOOKUP('Customer Info'!C3931,'Customer Info'!C3931:C4430,1)</f>
        <v>#N/A</v>
      </c>
      <c r="I3939" s="6" t="e">
        <f>VLOOKUP('Customer Info'!E3931,'Customer Info'!E3931:E4430,1,0)</f>
        <v>#N/A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66</v>
      </c>
      <c r="R3939" s="2" t="s">
        <v>28</v>
      </c>
      <c r="S3939" s="9">
        <f t="shared" si="309"/>
        <v>0.02</v>
      </c>
    </row>
    <row r="3940" spans="1:19" x14ac:dyDescent="0.3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e">
        <f>VLOOKUP('Customer Info'!B3932,'Customer Info'!B3932:B4431,1,0)</f>
        <v>#N/A</v>
      </c>
      <c r="H3940" s="6" t="e">
        <f>VLOOKUP('Customer Info'!C3932,'Customer Info'!C3932:C4431,1)</f>
        <v>#N/A</v>
      </c>
      <c r="I3940" s="6" t="e">
        <f>VLOOKUP('Customer Info'!E3932,'Customer Info'!E3932:E4431,1,0)</f>
        <v>#N/A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444</v>
      </c>
      <c r="R3940" s="2" t="s">
        <v>50</v>
      </c>
      <c r="S3940" s="9">
        <f t="shared" si="309"/>
        <v>0.05</v>
      </c>
    </row>
    <row r="3941" spans="1:19" x14ac:dyDescent="0.3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e">
        <f>VLOOKUP('Customer Info'!B3933,'Customer Info'!B3933:B4432,1,0)</f>
        <v>#N/A</v>
      </c>
      <c r="H3941" s="6" t="e">
        <f>VLOOKUP('Customer Info'!C3933,'Customer Info'!C3933:C4432,1)</f>
        <v>#N/A</v>
      </c>
      <c r="I3941" s="6" t="e">
        <f>VLOOKUP('Customer Info'!E3933,'Customer Info'!E3933:E4432,1,0)</f>
        <v>#N/A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777</v>
      </c>
      <c r="R3941" s="2" t="s">
        <v>28</v>
      </c>
      <c r="S3941" s="9">
        <f t="shared" si="309"/>
        <v>0.05</v>
      </c>
    </row>
    <row r="3942" spans="1:19" x14ac:dyDescent="0.3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e">
        <f>VLOOKUP('Customer Info'!B3934,'Customer Info'!B3934:B4433,1,0)</f>
        <v>#N/A</v>
      </c>
      <c r="H3942" s="6" t="e">
        <f>VLOOKUP('Customer Info'!C3934,'Customer Info'!C3934:C4433,1)</f>
        <v>#N/A</v>
      </c>
      <c r="I3942" s="6" t="e">
        <f>VLOOKUP('Customer Info'!E3934,'Customer Info'!E3934:E4433,1,0)</f>
        <v>#N/A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2970</v>
      </c>
      <c r="R3942" s="2" t="s">
        <v>50</v>
      </c>
      <c r="S3942" s="9">
        <f t="shared" si="309"/>
        <v>7.0000000000000007E-2</v>
      </c>
    </row>
    <row r="3943" spans="1:19" x14ac:dyDescent="0.3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e">
        <f>VLOOKUP('Customer Info'!B3935,'Customer Info'!B3935:B4434,1,0)</f>
        <v>#N/A</v>
      </c>
      <c r="H3943" s="6" t="e">
        <f>VLOOKUP('Customer Info'!C3935,'Customer Info'!C3935:C4434,1)</f>
        <v>#N/A</v>
      </c>
      <c r="I3943" s="6" t="e">
        <f>VLOOKUP('Customer Info'!E3935,'Customer Info'!E3935:E4434,1,0)</f>
        <v>#N/A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60</v>
      </c>
      <c r="R3943" s="2" t="s">
        <v>50</v>
      </c>
      <c r="S3943" s="9">
        <f t="shared" si="309"/>
        <v>0.02</v>
      </c>
    </row>
    <row r="3944" spans="1:19" x14ac:dyDescent="0.3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e">
        <f>VLOOKUP('Customer Info'!B3936,'Customer Info'!B3936:B4435,1,0)</f>
        <v>#N/A</v>
      </c>
      <c r="H3944" s="6" t="e">
        <f>VLOOKUP('Customer Info'!C3936,'Customer Info'!C3936:C4435,1)</f>
        <v>#N/A</v>
      </c>
      <c r="I3944" s="6" t="e">
        <f>VLOOKUP('Customer Info'!E3936,'Customer Info'!E3936:E4435,1,0)</f>
        <v>#N/A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466</v>
      </c>
      <c r="R3944" s="2" t="s">
        <v>50</v>
      </c>
      <c r="S3944" s="9">
        <f t="shared" si="309"/>
        <v>0.05</v>
      </c>
    </row>
    <row r="3945" spans="1:19" x14ac:dyDescent="0.3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e">
        <f>VLOOKUP('Customer Info'!B3937,'Customer Info'!B3937:B4436,1,0)</f>
        <v>#N/A</v>
      </c>
      <c r="H3945" s="6" t="e">
        <f>VLOOKUP('Customer Info'!C3937,'Customer Info'!C3937:C4436,1)</f>
        <v>#N/A</v>
      </c>
      <c r="I3945" s="6" t="e">
        <f>VLOOKUP('Customer Info'!E3937,'Customer Info'!E3937:E4436,1,0)</f>
        <v>#N/A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28</v>
      </c>
      <c r="R3945" s="2" t="s">
        <v>28</v>
      </c>
      <c r="S3945" s="9">
        <f t="shared" si="309"/>
        <v>0.02</v>
      </c>
    </row>
    <row r="3946" spans="1:19" x14ac:dyDescent="0.3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e">
        <f>VLOOKUP('Customer Info'!B3938,'Customer Info'!B3938:B4437,1,0)</f>
        <v>#N/A</v>
      </c>
      <c r="H3946" s="6" t="e">
        <f>VLOOKUP('Customer Info'!C3938,'Customer Info'!C3938:C4437,1)</f>
        <v>#N/A</v>
      </c>
      <c r="I3946" s="6" t="e">
        <f>VLOOKUP('Customer Info'!E3938,'Customer Info'!E3938:E4437,1,0)</f>
        <v>#N/A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99</v>
      </c>
      <c r="R3946" s="2" t="s">
        <v>50</v>
      </c>
      <c r="S3946" s="9">
        <f t="shared" si="309"/>
        <v>0.02</v>
      </c>
    </row>
    <row r="3947" spans="1:19" x14ac:dyDescent="0.3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e">
        <f>VLOOKUP('Customer Info'!B3939,'Customer Info'!B3939:B4438,1,0)</f>
        <v>#N/A</v>
      </c>
      <c r="H3947" s="6" t="e">
        <f>VLOOKUP('Customer Info'!C3939,'Customer Info'!C3939:C4438,1)</f>
        <v>#N/A</v>
      </c>
      <c r="I3947" s="6" t="e">
        <f>VLOOKUP('Customer Info'!E3939,'Customer Info'!E3939:E4438,1,0)</f>
        <v>#N/A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828</v>
      </c>
      <c r="R3947" s="2" t="s">
        <v>50</v>
      </c>
      <c r="S3947" s="9">
        <f t="shared" si="309"/>
        <v>0.05</v>
      </c>
    </row>
    <row r="3948" spans="1:19" x14ac:dyDescent="0.3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e">
        <f>VLOOKUP('Customer Info'!B3940,'Customer Info'!B3940:B4439,1,0)</f>
        <v>#N/A</v>
      </c>
      <c r="H3948" s="6" t="e">
        <f>VLOOKUP('Customer Info'!C3940,'Customer Info'!C3940:C4439,1)</f>
        <v>#N/A</v>
      </c>
      <c r="I3948" s="6" t="e">
        <f>VLOOKUP('Customer Info'!E3940,'Customer Info'!E3940:E4439,1,0)</f>
        <v>#N/A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396</v>
      </c>
      <c r="R3948" s="2" t="s">
        <v>50</v>
      </c>
      <c r="S3948" s="9">
        <f t="shared" si="309"/>
        <v>0.05</v>
      </c>
    </row>
    <row r="3949" spans="1:19" x14ac:dyDescent="0.3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e">
        <f>VLOOKUP('Customer Info'!B3941,'Customer Info'!B3941:B4440,1,0)</f>
        <v>#N/A</v>
      </c>
      <c r="H3949" s="6" t="e">
        <f>VLOOKUP('Customer Info'!C3941,'Customer Info'!C3941:C4440,1)</f>
        <v>#N/A</v>
      </c>
      <c r="I3949" s="6" t="e">
        <f>VLOOKUP('Customer Info'!E3941,'Customer Info'!E3941:E4440,1,0)</f>
        <v>#N/A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39</v>
      </c>
      <c r="R3949" s="2" t="s">
        <v>28</v>
      </c>
      <c r="S3949" s="9">
        <f t="shared" si="309"/>
        <v>0.02</v>
      </c>
    </row>
    <row r="3950" spans="1:19" x14ac:dyDescent="0.3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e">
        <f>VLOOKUP('Customer Info'!B3942,'Customer Info'!B3942:B4441,1,0)</f>
        <v>#N/A</v>
      </c>
      <c r="H3950" s="6" t="e">
        <f>VLOOKUP('Customer Info'!C3942,'Customer Info'!C3942:C4441,1)</f>
        <v>#N/A</v>
      </c>
      <c r="I3950" s="6" t="e">
        <f>VLOOKUP('Customer Info'!E3942,'Customer Info'!E3942:E4441,1,0)</f>
        <v>#N/A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7023</v>
      </c>
      <c r="R3950" s="2" t="s">
        <v>28</v>
      </c>
      <c r="S3950" s="9">
        <f t="shared" si="309"/>
        <v>0.09</v>
      </c>
    </row>
    <row r="3951" spans="1:19" x14ac:dyDescent="0.3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e">
        <f>VLOOKUP('Customer Info'!B3943,'Customer Info'!B3943:B4442,1,0)</f>
        <v>#N/A</v>
      </c>
      <c r="H3951" s="6" t="e">
        <f>VLOOKUP('Customer Info'!C3943,'Customer Info'!C3943:C4442,1)</f>
        <v>#N/A</v>
      </c>
      <c r="I3951" s="6" t="e">
        <f>VLOOKUP('Customer Info'!E3943,'Customer Info'!E3943:E4442,1,0)</f>
        <v>#N/A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2004</v>
      </c>
      <c r="R3951" s="2" t="s">
        <v>28</v>
      </c>
      <c r="S3951" s="9">
        <f t="shared" si="309"/>
        <v>0.05</v>
      </c>
    </row>
    <row r="3952" spans="1:19" x14ac:dyDescent="0.3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e">
        <f>VLOOKUP('Customer Info'!B3944,'Customer Info'!B3944:B4443,1,0)</f>
        <v>#N/A</v>
      </c>
      <c r="H3952" s="6" t="e">
        <f>VLOOKUP('Customer Info'!C3944,'Customer Info'!C3944:C4443,1)</f>
        <v>#N/A</v>
      </c>
      <c r="I3952" s="6" t="e">
        <f>VLOOKUP('Customer Info'!E3944,'Customer Info'!E3944:E4443,1,0)</f>
        <v>#N/A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15</v>
      </c>
      <c r="R3952" s="2" t="s">
        <v>50</v>
      </c>
      <c r="S3952" s="9">
        <f t="shared" si="309"/>
        <v>0.02</v>
      </c>
    </row>
    <row r="3953" spans="1:19" x14ac:dyDescent="0.3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e">
        <f>VLOOKUP('Customer Info'!B3945,'Customer Info'!B3945:B4444,1,0)</f>
        <v>#N/A</v>
      </c>
      <c r="H3953" s="6" t="e">
        <f>VLOOKUP('Customer Info'!C3945,'Customer Info'!C3945:C4444,1)</f>
        <v>#N/A</v>
      </c>
      <c r="I3953" s="6" t="e">
        <f>VLOOKUP('Customer Info'!E3945,'Customer Info'!E3945:E4444,1,0)</f>
        <v>#N/A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101</v>
      </c>
      <c r="R3953" s="2" t="s">
        <v>50</v>
      </c>
      <c r="S3953" s="9">
        <f t="shared" si="309"/>
        <v>0.02</v>
      </c>
    </row>
    <row r="3954" spans="1:19" x14ac:dyDescent="0.3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e">
        <f>VLOOKUP('Customer Info'!B3946,'Customer Info'!B3946:B4445,1,0)</f>
        <v>#N/A</v>
      </c>
      <c r="H3954" s="6" t="e">
        <f>VLOOKUP('Customer Info'!C3946,'Customer Info'!C3946:C4445,1)</f>
        <v>#N/A</v>
      </c>
      <c r="I3954" s="6" t="e">
        <f>VLOOKUP('Customer Info'!E3946,'Customer Info'!E3946:E4445,1,0)</f>
        <v>#N/A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782</v>
      </c>
      <c r="R3954" s="2" t="s">
        <v>28</v>
      </c>
      <c r="S3954" s="9">
        <f t="shared" si="309"/>
        <v>0.05</v>
      </c>
    </row>
    <row r="3955" spans="1:19" x14ac:dyDescent="0.3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e">
        <f>VLOOKUP('Customer Info'!B3947,'Customer Info'!B3947:B4446,1,0)</f>
        <v>#N/A</v>
      </c>
      <c r="H3955" s="6" t="e">
        <f>VLOOKUP('Customer Info'!C3947,'Customer Info'!C3947:C4446,1)</f>
        <v>#N/A</v>
      </c>
      <c r="I3955" s="6" t="e">
        <f>VLOOKUP('Customer Info'!E3947,'Customer Info'!E3947:E4446,1,0)</f>
        <v>#N/A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236</v>
      </c>
      <c r="R3955" s="2" t="s">
        <v>28</v>
      </c>
      <c r="S3955" s="9">
        <f t="shared" si="309"/>
        <v>0.02</v>
      </c>
    </row>
    <row r="3956" spans="1:19" x14ac:dyDescent="0.3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e">
        <f>VLOOKUP('Customer Info'!B3948,'Customer Info'!B3948:B4447,1,0)</f>
        <v>#N/A</v>
      </c>
      <c r="H3956" s="6" t="e">
        <f>VLOOKUP('Customer Info'!C3948,'Customer Info'!C3948:C4447,1)</f>
        <v>#N/A</v>
      </c>
      <c r="I3956" s="6" t="e">
        <f>VLOOKUP('Customer Info'!E3948,'Customer Info'!E3948:E4447,1,0)</f>
        <v>#N/A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96</v>
      </c>
      <c r="R3956" s="2" t="s">
        <v>26</v>
      </c>
      <c r="S3956" s="9">
        <f t="shared" si="309"/>
        <v>0.02</v>
      </c>
    </row>
    <row r="3957" spans="1:19" x14ac:dyDescent="0.3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e">
        <f>VLOOKUP('Customer Info'!B3949,'Customer Info'!B3949:B4448,1,0)</f>
        <v>#N/A</v>
      </c>
      <c r="H3957" s="6" t="e">
        <f>VLOOKUP('Customer Info'!C3949,'Customer Info'!C3949:C4448,1)</f>
        <v>#N/A</v>
      </c>
      <c r="I3957" s="6" t="e">
        <f>VLOOKUP('Customer Info'!E3949,'Customer Info'!E3949:E4448,1,0)</f>
        <v>#N/A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204</v>
      </c>
      <c r="R3957" s="2" t="s">
        <v>28</v>
      </c>
      <c r="S3957" s="9">
        <f t="shared" si="309"/>
        <v>0.05</v>
      </c>
    </row>
    <row r="3958" spans="1:19" x14ac:dyDescent="0.3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e">
        <f>VLOOKUP('Customer Info'!B3950,'Customer Info'!B3950:B4449,1,0)</f>
        <v>#N/A</v>
      </c>
      <c r="H3958" s="6" t="e">
        <f>VLOOKUP('Customer Info'!C3950,'Customer Info'!C3950:C4449,1)</f>
        <v>#N/A</v>
      </c>
      <c r="I3958" s="6" t="e">
        <f>VLOOKUP('Customer Info'!E3950,'Customer Info'!E3950:E4449,1,0)</f>
        <v>#N/A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356</v>
      </c>
      <c r="R3958" s="2" t="s">
        <v>50</v>
      </c>
      <c r="S3958" s="9">
        <f t="shared" si="309"/>
        <v>0.02</v>
      </c>
    </row>
    <row r="3959" spans="1:19" x14ac:dyDescent="0.3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e">
        <f>VLOOKUP('Customer Info'!B3951,'Customer Info'!B3951:B4450,1,0)</f>
        <v>#N/A</v>
      </c>
      <c r="H3959" s="6" t="e">
        <f>VLOOKUP('Customer Info'!C3951,'Customer Info'!C3951:C4450,1)</f>
        <v>#N/A</v>
      </c>
      <c r="I3959" s="6" t="e">
        <f>VLOOKUP('Customer Info'!E3951,'Customer Info'!E3951:E4450,1,0)</f>
        <v>#N/A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88</v>
      </c>
      <c r="R3959" s="2" t="s">
        <v>50</v>
      </c>
      <c r="S3959" s="9">
        <f t="shared" si="309"/>
        <v>0.02</v>
      </c>
    </row>
    <row r="3960" spans="1:19" x14ac:dyDescent="0.3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e">
        <f>VLOOKUP('Customer Info'!B3952,'Customer Info'!B3952:B4451,1,0)</f>
        <v>#N/A</v>
      </c>
      <c r="H3960" s="6" t="e">
        <f>VLOOKUP('Customer Info'!C3952,'Customer Info'!C3952:C4451,1)</f>
        <v>#N/A</v>
      </c>
      <c r="I3960" s="6" t="e">
        <f>VLOOKUP('Customer Info'!E3952,'Customer Info'!E3952:E4451,1,0)</f>
        <v>#N/A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474</v>
      </c>
      <c r="R3960" s="2" t="s">
        <v>28</v>
      </c>
      <c r="S3960" s="9">
        <f t="shared" si="309"/>
        <v>0.05</v>
      </c>
    </row>
    <row r="3961" spans="1:19" x14ac:dyDescent="0.3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e">
        <f>VLOOKUP('Customer Info'!B3953,'Customer Info'!B3953:B4452,1,0)</f>
        <v>#N/A</v>
      </c>
      <c r="H3961" s="6" t="e">
        <f>VLOOKUP('Customer Info'!C3953,'Customer Info'!C3953:C4452,1)</f>
        <v>#N/A</v>
      </c>
      <c r="I3961" s="6" t="e">
        <f>VLOOKUP('Customer Info'!E3953,'Customer Info'!E3953:E4452,1,0)</f>
        <v>#N/A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430</v>
      </c>
      <c r="R3961" s="2" t="s">
        <v>50</v>
      </c>
      <c r="S3961" s="9">
        <f t="shared" si="309"/>
        <v>0.05</v>
      </c>
    </row>
    <row r="3962" spans="1:19" x14ac:dyDescent="0.3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e">
        <f>VLOOKUP('Customer Info'!B3954,'Customer Info'!B3954:B4453,1,0)</f>
        <v>#N/A</v>
      </c>
      <c r="H3962" s="6" t="e">
        <f>VLOOKUP('Customer Info'!C3954,'Customer Info'!C3954:C4453,1)</f>
        <v>#N/A</v>
      </c>
      <c r="I3962" s="6" t="e">
        <f>VLOOKUP('Customer Info'!E3954,'Customer Info'!E3954:E4453,1,0)</f>
        <v>#N/A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156</v>
      </c>
      <c r="R3962" s="2" t="s">
        <v>50</v>
      </c>
      <c r="S3962" s="9">
        <f t="shared" si="309"/>
        <v>0.02</v>
      </c>
    </row>
    <row r="3963" spans="1:19" x14ac:dyDescent="0.3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e">
        <f>VLOOKUP('Customer Info'!B3955,'Customer Info'!B3955:B4454,1,0)</f>
        <v>#N/A</v>
      </c>
      <c r="H3963" s="6" t="e">
        <f>VLOOKUP('Customer Info'!C3955,'Customer Info'!C3955:C4454,1)</f>
        <v>#N/A</v>
      </c>
      <c r="I3963" s="6" t="e">
        <f>VLOOKUP('Customer Info'!E3955,'Customer Info'!E3955:E4454,1,0)</f>
        <v>#N/A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191</v>
      </c>
      <c r="R3963" s="2" t="s">
        <v>56</v>
      </c>
      <c r="S3963" s="9">
        <f t="shared" si="309"/>
        <v>0.05</v>
      </c>
    </row>
    <row r="3964" spans="1:19" x14ac:dyDescent="0.3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e">
        <f>VLOOKUP('Customer Info'!B3956,'Customer Info'!B3956:B4455,1,0)</f>
        <v>#N/A</v>
      </c>
      <c r="H3964" s="6" t="e">
        <f>VLOOKUP('Customer Info'!C3956,'Customer Info'!C3956:C4455,1)</f>
        <v>#N/A</v>
      </c>
      <c r="I3964" s="6" t="e">
        <f>VLOOKUP('Customer Info'!E3956,'Customer Info'!E3956:E4455,1,0)</f>
        <v>#N/A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24</v>
      </c>
      <c r="R3964" s="2" t="s">
        <v>28</v>
      </c>
      <c r="S3964" s="9">
        <f t="shared" si="309"/>
        <v>0.02</v>
      </c>
    </row>
    <row r="3965" spans="1:19" x14ac:dyDescent="0.3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e">
        <f>VLOOKUP('Customer Info'!B3957,'Customer Info'!B3957:B4456,1,0)</f>
        <v>#N/A</v>
      </c>
      <c r="H3965" s="6" t="e">
        <f>VLOOKUP('Customer Info'!C3957,'Customer Info'!C3957:C4456,1)</f>
        <v>#N/A</v>
      </c>
      <c r="I3965" s="6" t="e">
        <f>VLOOKUP('Customer Info'!E3957,'Customer Info'!E3957:E4456,1,0)</f>
        <v>#N/A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288</v>
      </c>
      <c r="R3965" s="2" t="s">
        <v>28</v>
      </c>
      <c r="S3965" s="9">
        <f t="shared" si="309"/>
        <v>0.05</v>
      </c>
    </row>
    <row r="3966" spans="1:19" x14ac:dyDescent="0.3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e">
        <f>VLOOKUP('Customer Info'!B3958,'Customer Info'!B3958:B4457,1,0)</f>
        <v>#N/A</v>
      </c>
      <c r="H3966" s="6" t="e">
        <f>VLOOKUP('Customer Info'!C3958,'Customer Info'!C3958:C4457,1)</f>
        <v>#N/A</v>
      </c>
      <c r="I3966" s="6" t="e">
        <f>VLOOKUP('Customer Info'!E3958,'Customer Info'!E3958:E4457,1,0)</f>
        <v>#N/A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24</v>
      </c>
      <c r="R3966" s="2" t="s">
        <v>28</v>
      </c>
      <c r="S3966" s="9">
        <f t="shared" si="309"/>
        <v>0.02</v>
      </c>
    </row>
    <row r="3967" spans="1:19" x14ac:dyDescent="0.3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e">
        <f>VLOOKUP('Customer Info'!B3959,'Customer Info'!B3959:B4458,1,0)</f>
        <v>#N/A</v>
      </c>
      <c r="H3967" s="6" t="e">
        <f>VLOOKUP('Customer Info'!C3959,'Customer Info'!C3959:C4458,1)</f>
        <v>#N/A</v>
      </c>
      <c r="I3967" s="6" t="e">
        <f>VLOOKUP('Customer Info'!E3959,'Customer Info'!E3959:E4458,1,0)</f>
        <v>#N/A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308</v>
      </c>
      <c r="R3967" s="2" t="s">
        <v>28</v>
      </c>
      <c r="S3967" s="9">
        <f t="shared" si="309"/>
        <v>0.05</v>
      </c>
    </row>
    <row r="3968" spans="1:19" x14ac:dyDescent="0.3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e">
        <f>VLOOKUP('Customer Info'!B3960,'Customer Info'!B3960:B4459,1,0)</f>
        <v>#N/A</v>
      </c>
      <c r="H3968" s="6" t="e">
        <f>VLOOKUP('Customer Info'!C3960,'Customer Info'!C3960:C4459,1)</f>
        <v>#N/A</v>
      </c>
      <c r="I3968" s="6" t="e">
        <f>VLOOKUP('Customer Info'!E3960,'Customer Info'!E3960:E4459,1,0)</f>
        <v>#N/A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120</v>
      </c>
      <c r="R3968" s="2" t="s">
        <v>28</v>
      </c>
      <c r="S3968" s="9">
        <f t="shared" si="309"/>
        <v>0.02</v>
      </c>
    </row>
    <row r="3969" spans="1:19" x14ac:dyDescent="0.3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e">
        <f>VLOOKUP('Customer Info'!B3961,'Customer Info'!B3961:B4460,1,0)</f>
        <v>#N/A</v>
      </c>
      <c r="H3969" s="6" t="e">
        <f>VLOOKUP('Customer Info'!C3961,'Customer Info'!C3961:C4460,1)</f>
        <v>#N/A</v>
      </c>
      <c r="I3969" s="6" t="e">
        <f>VLOOKUP('Customer Info'!E3961,'Customer Info'!E3961:E4460,1,0)</f>
        <v>#N/A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135</v>
      </c>
      <c r="R3969" s="2" t="s">
        <v>50</v>
      </c>
      <c r="S3969" s="9">
        <f t="shared" si="309"/>
        <v>0.02</v>
      </c>
    </row>
    <row r="3970" spans="1:19" x14ac:dyDescent="0.3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e">
        <f>VLOOKUP('Customer Info'!B3962,'Customer Info'!B3962:B4461,1,0)</f>
        <v>#N/A</v>
      </c>
      <c r="H3970" s="6" t="e">
        <f>VLOOKUP('Customer Info'!C3962,'Customer Info'!C3962:C4461,1)</f>
        <v>#N/A</v>
      </c>
      <c r="I3970" s="6" t="e">
        <f>VLOOKUP('Customer Info'!E3962,'Customer Info'!E3962:E4461,1,0)</f>
        <v>#N/A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234</v>
      </c>
      <c r="R3970" s="2" t="s">
        <v>28</v>
      </c>
      <c r="S3970" s="9">
        <f t="shared" si="309"/>
        <v>0.02</v>
      </c>
    </row>
    <row r="3971" spans="1:19" x14ac:dyDescent="0.3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e">
        <f>VLOOKUP('Customer Info'!B3963,'Customer Info'!B3963:B4462,1,0)</f>
        <v>#N/A</v>
      </c>
      <c r="H3971" s="6" t="e">
        <f>VLOOKUP('Customer Info'!C3963,'Customer Info'!C3963:C4462,1)</f>
        <v>#N/A</v>
      </c>
      <c r="I3971" s="6" t="e">
        <f>VLOOKUP('Customer Info'!E3963,'Customer Info'!E3963:E4462,1,0)</f>
        <v>#N/A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36</v>
      </c>
      <c r="R3971" s="2" t="s">
        <v>28</v>
      </c>
      <c r="S3971" s="9">
        <f t="shared" si="309"/>
        <v>0.02</v>
      </c>
    </row>
    <row r="3972" spans="1:19" x14ac:dyDescent="0.3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e">
        <f>VLOOKUP('Customer Info'!B3964,'Customer Info'!B3964:B4463,1,0)</f>
        <v>#N/A</v>
      </c>
      <c r="H3972" s="6" t="e">
        <f>VLOOKUP('Customer Info'!C3964,'Customer Info'!C3964:C4463,1)</f>
        <v>#N/A</v>
      </c>
      <c r="I3972" s="6" t="e">
        <f>VLOOKUP('Customer Info'!E3964,'Customer Info'!E3964:E4463,1,0)</f>
        <v>#N/A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112</v>
      </c>
      <c r="R3972" s="2" t="s">
        <v>28</v>
      </c>
      <c r="S3972" s="9">
        <f t="shared" si="309"/>
        <v>0.02</v>
      </c>
    </row>
    <row r="3973" spans="1:19" x14ac:dyDescent="0.3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e">
        <f>VLOOKUP('Customer Info'!B3965,'Customer Info'!B3965:B4464,1,0)</f>
        <v>#N/A</v>
      </c>
      <c r="H3973" s="6" t="e">
        <f>VLOOKUP('Customer Info'!C3965,'Customer Info'!C3965:C4464,1)</f>
        <v>#N/A</v>
      </c>
      <c r="I3973" s="6" t="e">
        <f>VLOOKUP('Customer Info'!E3965,'Customer Info'!E3965:E4464,1,0)</f>
        <v>#N/A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39</v>
      </c>
      <c r="R3973" s="2" t="s">
        <v>26</v>
      </c>
      <c r="S3973" s="9">
        <f t="shared" si="309"/>
        <v>0.02</v>
      </c>
    </row>
    <row r="3974" spans="1:19" x14ac:dyDescent="0.3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e">
        <f>VLOOKUP('Customer Info'!B3966,'Customer Info'!B3966:B4465,1,0)</f>
        <v>#N/A</v>
      </c>
      <c r="H3974" s="6" t="e">
        <f>VLOOKUP('Customer Info'!C3966,'Customer Info'!C3966:C4465,1)</f>
        <v>#N/A</v>
      </c>
      <c r="I3974" s="6" t="e">
        <f>VLOOKUP('Customer Info'!E3966,'Customer Info'!E3966:E4465,1,0)</f>
        <v>#N/A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215</v>
      </c>
      <c r="R3974" s="2" t="s">
        <v>50</v>
      </c>
      <c r="S3974" s="9">
        <f t="shared" si="309"/>
        <v>0.02</v>
      </c>
    </row>
    <row r="3975" spans="1:19" x14ac:dyDescent="0.3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e">
        <f>VLOOKUP('Customer Info'!B3967,'Customer Info'!B3967:B4466,1,0)</f>
        <v>#N/A</v>
      </c>
      <c r="H3975" s="6" t="e">
        <f>VLOOKUP('Customer Info'!C3967,'Customer Info'!C3967:C4466,1)</f>
        <v>#N/A</v>
      </c>
      <c r="I3975" s="6" t="e">
        <f>VLOOKUP('Customer Info'!E3967,'Customer Info'!E3967:E4466,1,0)</f>
        <v>#N/A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430</v>
      </c>
      <c r="R3975" s="2" t="s">
        <v>28</v>
      </c>
      <c r="S3975" s="9">
        <f t="shared" si="309"/>
        <v>0.05</v>
      </c>
    </row>
    <row r="3976" spans="1:19" x14ac:dyDescent="0.3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e">
        <f>VLOOKUP('Customer Info'!B3968,'Customer Info'!B3968:B4467,1,0)</f>
        <v>#N/A</v>
      </c>
      <c r="H3976" s="6" t="e">
        <f>VLOOKUP('Customer Info'!C3968,'Customer Info'!C3968:C4467,1)</f>
        <v>#N/A</v>
      </c>
      <c r="I3976" s="6" t="e">
        <f>VLOOKUP('Customer Info'!E3968,'Customer Info'!E3968:E4467,1,0)</f>
        <v>#N/A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88</v>
      </c>
      <c r="R3976" s="2" t="s">
        <v>26</v>
      </c>
      <c r="S3976" s="9">
        <f t="shared" si="309"/>
        <v>0.02</v>
      </c>
    </row>
    <row r="3977" spans="1:19" x14ac:dyDescent="0.3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e">
        <f>VLOOKUP('Customer Info'!B3969,'Customer Info'!B3969:B4468,1,0)</f>
        <v>#N/A</v>
      </c>
      <c r="H3977" s="6" t="e">
        <f>VLOOKUP('Customer Info'!C3969,'Customer Info'!C3969:C4468,1)</f>
        <v>#N/A</v>
      </c>
      <c r="I3977" s="6" t="e">
        <f>VLOOKUP('Customer Info'!E3969,'Customer Info'!E3969:E4468,1,0)</f>
        <v>#N/A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2064</v>
      </c>
      <c r="R3977" s="2" t="s">
        <v>28</v>
      </c>
      <c r="S3977" s="9">
        <f t="shared" si="309"/>
        <v>7.0000000000000007E-2</v>
      </c>
    </row>
    <row r="3978" spans="1:19" x14ac:dyDescent="0.3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e">
        <f>VLOOKUP('Customer Info'!B3970,'Customer Info'!B3970:B4469,1,0)</f>
        <v>#N/A</v>
      </c>
      <c r="H3978" s="6" t="e">
        <f>VLOOKUP('Customer Info'!C3970,'Customer Info'!C3970:C4469,1)</f>
        <v>#N/A</v>
      </c>
      <c r="I3978" s="6" t="e">
        <f>VLOOKUP('Customer Info'!E3970,'Customer Info'!E3970:E4469,1,0)</f>
        <v>#N/A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1116</v>
      </c>
      <c r="R3978" s="2" t="s">
        <v>56</v>
      </c>
      <c r="S3978" s="9">
        <f t="shared" si="309"/>
        <v>0.05</v>
      </c>
    </row>
    <row r="3979" spans="1:19" x14ac:dyDescent="0.3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e">
        <f>VLOOKUP('Customer Info'!B3971,'Customer Info'!B3971:B4470,1,0)</f>
        <v>#N/A</v>
      </c>
      <c r="H3979" s="6" t="e">
        <f>VLOOKUP('Customer Info'!C3971,'Customer Info'!C3971:C4470,1)</f>
        <v>#N/A</v>
      </c>
      <c r="I3979" s="6" t="e">
        <f>VLOOKUP('Customer Info'!E3971,'Customer Info'!E3971:E4470,1,0)</f>
        <v>#N/A</v>
      </c>
      <c r="J3979" s="2">
        <v>2921</v>
      </c>
      <c r="K3979" s="2">
        <v>2809</v>
      </c>
      <c r="L3979" s="2">
        <v>3</v>
      </c>
      <c r="M3979" s="7">
        <f t="shared" ref="M3979:M4042" si="310">(K3979*L3979)</f>
        <v>8427</v>
      </c>
      <c r="N3979" s="7">
        <f t="shared" ref="N3979:N4042" si="311">(J3979*L3979)</f>
        <v>8763</v>
      </c>
      <c r="O3979" s="2">
        <v>99</v>
      </c>
      <c r="P3979" s="8">
        <f t="shared" ref="P3979:P4042" si="312">(N3979+O3979)</f>
        <v>8862</v>
      </c>
      <c r="Q3979" s="8">
        <f t="shared" ref="Q3979:Q4042" si="313">(N3979-M3979)</f>
        <v>336</v>
      </c>
      <c r="R3979" s="2" t="s">
        <v>28</v>
      </c>
      <c r="S3979" s="9">
        <f t="shared" ref="S3979:S4042" si="314">_xlfn.IFS(P3979&gt;250000,0.15,P3979&gt;100000,0.12,P3979&gt;50000,0.09,P3979&gt;25000,0.07,P3979&gt;5000,0.05,
 TRUE,0.02)</f>
        <v>0.05</v>
      </c>
    </row>
    <row r="3980" spans="1:19" x14ac:dyDescent="0.3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e">
        <f>VLOOKUP('Customer Info'!B3972,'Customer Info'!B3972:B4471,1,0)</f>
        <v>#N/A</v>
      </c>
      <c r="H3980" s="6" t="e">
        <f>VLOOKUP('Customer Info'!C3972,'Customer Info'!C3972:C4471,1)</f>
        <v>#N/A</v>
      </c>
      <c r="I3980" s="6" t="e">
        <f>VLOOKUP('Customer Info'!E3972,'Customer Info'!E3972:E4471,1,0)</f>
        <v>#N/A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140</v>
      </c>
      <c r="R3980" s="2" t="s">
        <v>50</v>
      </c>
      <c r="S3980" s="9">
        <f t="shared" si="314"/>
        <v>0.02</v>
      </c>
    </row>
    <row r="3981" spans="1:19" x14ac:dyDescent="0.3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e">
        <f>VLOOKUP('Customer Info'!B3973,'Customer Info'!B3973:B4472,1,0)</f>
        <v>#N/A</v>
      </c>
      <c r="H3981" s="6" t="e">
        <f>VLOOKUP('Customer Info'!C3973,'Customer Info'!C3973:C4472,1)</f>
        <v>#N/A</v>
      </c>
      <c r="I3981" s="6" t="e">
        <f>VLOOKUP('Customer Info'!E3973,'Customer Info'!E3973:E4472,1,0)</f>
        <v>#N/A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40</v>
      </c>
      <c r="R3981" s="2" t="s">
        <v>26</v>
      </c>
      <c r="S3981" s="9">
        <f t="shared" si="314"/>
        <v>0.02</v>
      </c>
    </row>
    <row r="3982" spans="1:19" x14ac:dyDescent="0.3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e">
        <f>VLOOKUP('Customer Info'!B3974,'Customer Info'!B3974:B4473,1,0)</f>
        <v>#N/A</v>
      </c>
      <c r="H3982" s="6" t="e">
        <f>VLOOKUP('Customer Info'!C3974,'Customer Info'!C3974:C4473,1)</f>
        <v>#N/A</v>
      </c>
      <c r="I3982" s="6" t="e">
        <f>VLOOKUP('Customer Info'!E3974,'Customer Info'!E3974:E4473,1,0)</f>
        <v>#N/A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36</v>
      </c>
      <c r="R3982" s="2" t="s">
        <v>28</v>
      </c>
      <c r="S3982" s="9">
        <f t="shared" si="314"/>
        <v>0.02</v>
      </c>
    </row>
    <row r="3983" spans="1:19" x14ac:dyDescent="0.3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e">
        <f>VLOOKUP('Customer Info'!B3975,'Customer Info'!B3975:B4474,1,0)</f>
        <v>#N/A</v>
      </c>
      <c r="H3983" s="6" t="e">
        <f>VLOOKUP('Customer Info'!C3975,'Customer Info'!C3975:C4474,1)</f>
        <v>#N/A</v>
      </c>
      <c r="I3983" s="6" t="e">
        <f>VLOOKUP('Customer Info'!E3975,'Customer Info'!E3975:E4474,1,0)</f>
        <v>#N/A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24</v>
      </c>
      <c r="R3983" s="2" t="s">
        <v>26</v>
      </c>
      <c r="S3983" s="9">
        <f t="shared" si="314"/>
        <v>0.02</v>
      </c>
    </row>
    <row r="3984" spans="1:19" x14ac:dyDescent="0.3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e">
        <f>VLOOKUP('Customer Info'!B3976,'Customer Info'!B3976:B4475,1,0)</f>
        <v>#N/A</v>
      </c>
      <c r="H3984" s="6" t="e">
        <f>VLOOKUP('Customer Info'!C3976,'Customer Info'!C3976:C4475,1)</f>
        <v>#N/A</v>
      </c>
      <c r="I3984" s="6" t="e">
        <f>VLOOKUP('Customer Info'!E3976,'Customer Info'!E3976:E4475,1,0)</f>
        <v>#N/A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52</v>
      </c>
      <c r="R3984" s="2" t="s">
        <v>50</v>
      </c>
      <c r="S3984" s="9">
        <f t="shared" si="314"/>
        <v>0.02</v>
      </c>
    </row>
    <row r="3985" spans="1:19" x14ac:dyDescent="0.3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e">
        <f>VLOOKUP('Customer Info'!B3977,'Customer Info'!B3977:B4476,1,0)</f>
        <v>#N/A</v>
      </c>
      <c r="H3985" s="6" t="e">
        <f>VLOOKUP('Customer Info'!C3977,'Customer Info'!C3977:C4476,1)</f>
        <v>#N/A</v>
      </c>
      <c r="I3985" s="6" t="e">
        <f>VLOOKUP('Customer Info'!E3977,'Customer Info'!E3977:E4476,1,0)</f>
        <v>#N/A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42</v>
      </c>
      <c r="R3985" s="2" t="s">
        <v>50</v>
      </c>
      <c r="S3985" s="9">
        <f t="shared" si="314"/>
        <v>0.02</v>
      </c>
    </row>
    <row r="3986" spans="1:19" x14ac:dyDescent="0.3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e">
        <f>VLOOKUP('Customer Info'!B3978,'Customer Info'!B3978:B4477,1,0)</f>
        <v>#N/A</v>
      </c>
      <c r="H3986" s="6" t="e">
        <f>VLOOKUP('Customer Info'!C3978,'Customer Info'!C3978:C4477,1)</f>
        <v>#N/A</v>
      </c>
      <c r="I3986" s="6" t="e">
        <f>VLOOKUP('Customer Info'!E3978,'Customer Info'!E3978:E4477,1,0)</f>
        <v>#N/A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258</v>
      </c>
      <c r="R3986" s="2" t="s">
        <v>28</v>
      </c>
      <c r="S3986" s="9">
        <f t="shared" si="314"/>
        <v>0.02</v>
      </c>
    </row>
    <row r="3987" spans="1:19" x14ac:dyDescent="0.3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e">
        <f>VLOOKUP('Customer Info'!B3979,'Customer Info'!B3979:B4478,1,0)</f>
        <v>#N/A</v>
      </c>
      <c r="H3987" s="6" t="e">
        <f>VLOOKUP('Customer Info'!C3979,'Customer Info'!C3979:C4478,1)</f>
        <v>#N/A</v>
      </c>
      <c r="I3987" s="6" t="e">
        <f>VLOOKUP('Customer Info'!E3979,'Customer Info'!E3979:E4478,1,0)</f>
        <v>#N/A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36</v>
      </c>
      <c r="R3987" s="2" t="s">
        <v>28</v>
      </c>
      <c r="S3987" s="9">
        <f t="shared" si="314"/>
        <v>0.02</v>
      </c>
    </row>
    <row r="3988" spans="1:19" x14ac:dyDescent="0.3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e">
        <f>VLOOKUP('Customer Info'!B3980,'Customer Info'!B3980:B4479,1,0)</f>
        <v>#N/A</v>
      </c>
      <c r="H3988" s="6" t="e">
        <f>VLOOKUP('Customer Info'!C3980,'Customer Info'!C3980:C4479,1)</f>
        <v>#N/A</v>
      </c>
      <c r="I3988" s="6" t="e">
        <f>VLOOKUP('Customer Info'!E3980,'Customer Info'!E3980:E4479,1,0)</f>
        <v>#N/A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776</v>
      </c>
      <c r="R3988" s="2" t="s">
        <v>56</v>
      </c>
      <c r="S3988" s="9">
        <f t="shared" si="314"/>
        <v>0.05</v>
      </c>
    </row>
    <row r="3989" spans="1:19" x14ac:dyDescent="0.3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e">
        <f>VLOOKUP('Customer Info'!B3981,'Customer Info'!B3981:B4480,1,0)</f>
        <v>#N/A</v>
      </c>
      <c r="H3989" s="6" t="e">
        <f>VLOOKUP('Customer Info'!C3981,'Customer Info'!C3981:C4480,1)</f>
        <v>#N/A</v>
      </c>
      <c r="I3989" s="6" t="e">
        <f>VLOOKUP('Customer Info'!E3981,'Customer Info'!E3981:E4480,1,0)</f>
        <v>#N/A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770</v>
      </c>
      <c r="R3989" s="2" t="s">
        <v>28</v>
      </c>
      <c r="S3989" s="9">
        <f t="shared" si="314"/>
        <v>7.0000000000000007E-2</v>
      </c>
    </row>
    <row r="3990" spans="1:19" x14ac:dyDescent="0.3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e">
        <f>VLOOKUP('Customer Info'!B3982,'Customer Info'!B3982:B4481,1,0)</f>
        <v>#N/A</v>
      </c>
      <c r="H3990" s="6" t="e">
        <f>VLOOKUP('Customer Info'!C3982,'Customer Info'!C3982:C4481,1)</f>
        <v>#N/A</v>
      </c>
      <c r="I3990" s="6" t="e">
        <f>VLOOKUP('Customer Info'!E3982,'Customer Info'!E3982:E4481,1,0)</f>
        <v>#N/A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6</v>
      </c>
      <c r="R3990" s="2" t="s">
        <v>28</v>
      </c>
      <c r="S3990" s="9">
        <f t="shared" si="314"/>
        <v>0.02</v>
      </c>
    </row>
    <row r="3991" spans="1:19" x14ac:dyDescent="0.3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e">
        <f>VLOOKUP('Customer Info'!B3983,'Customer Info'!B3983:B4482,1,0)</f>
        <v>#N/A</v>
      </c>
      <c r="H3991" s="6" t="e">
        <f>VLOOKUP('Customer Info'!C3983,'Customer Info'!C3983:C4482,1)</f>
        <v>#N/A</v>
      </c>
      <c r="I3991" s="6" t="e">
        <f>VLOOKUP('Customer Info'!E3983,'Customer Info'!E3983:E4482,1,0)</f>
        <v>#N/A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90</v>
      </c>
      <c r="R3991" s="2" t="s">
        <v>50</v>
      </c>
      <c r="S3991" s="9">
        <f t="shared" si="314"/>
        <v>0.02</v>
      </c>
    </row>
    <row r="3992" spans="1:19" x14ac:dyDescent="0.3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e">
        <f>VLOOKUP('Customer Info'!B3984,'Customer Info'!B3984:B4483,1,0)</f>
        <v>#N/A</v>
      </c>
      <c r="H3992" s="6" t="e">
        <f>VLOOKUP('Customer Info'!C3984,'Customer Info'!C3984:C4483,1)</f>
        <v>#N/A</v>
      </c>
      <c r="I3992" s="6" t="e">
        <f>VLOOKUP('Customer Info'!E3984,'Customer Info'!E3984:E4483,1,0)</f>
        <v>#N/A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402</v>
      </c>
      <c r="R3992" s="2" t="s">
        <v>50</v>
      </c>
      <c r="S3992" s="9">
        <f t="shared" si="314"/>
        <v>0.05</v>
      </c>
    </row>
    <row r="3993" spans="1:19" x14ac:dyDescent="0.3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e">
        <f>VLOOKUP('Customer Info'!B3985,'Customer Info'!B3985:B4484,1,0)</f>
        <v>#N/A</v>
      </c>
      <c r="H3993" s="6" t="e">
        <f>VLOOKUP('Customer Info'!C3985,'Customer Info'!C3985:C4484,1)</f>
        <v>#N/A</v>
      </c>
      <c r="I3993" s="6" t="e">
        <f>VLOOKUP('Customer Info'!E3985,'Customer Info'!E3985:E4484,1,0)</f>
        <v>#N/A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20</v>
      </c>
      <c r="R3993" s="2" t="s">
        <v>26</v>
      </c>
      <c r="S3993" s="9">
        <f t="shared" si="314"/>
        <v>0.02</v>
      </c>
    </row>
    <row r="3994" spans="1:19" x14ac:dyDescent="0.3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e">
        <f>VLOOKUP('Customer Info'!B3986,'Customer Info'!B3986:B4485,1,0)</f>
        <v>#N/A</v>
      </c>
      <c r="H3994" s="6" t="e">
        <f>VLOOKUP('Customer Info'!C3986,'Customer Info'!C3986:C4485,1)</f>
        <v>#N/A</v>
      </c>
      <c r="I3994" s="6" t="e">
        <f>VLOOKUP('Customer Info'!E3986,'Customer Info'!E3986:E4485,1,0)</f>
        <v>#N/A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288</v>
      </c>
      <c r="R3994" s="2" t="s">
        <v>50</v>
      </c>
      <c r="S3994" s="9">
        <f t="shared" si="314"/>
        <v>0.02</v>
      </c>
    </row>
    <row r="3995" spans="1:19" x14ac:dyDescent="0.3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e">
        <f>VLOOKUP('Customer Info'!B3987,'Customer Info'!B3987:B4486,1,0)</f>
        <v>#N/A</v>
      </c>
      <c r="H3995" s="6" t="e">
        <f>VLOOKUP('Customer Info'!C3987,'Customer Info'!C3987:C4486,1)</f>
        <v>#N/A</v>
      </c>
      <c r="I3995" s="6" t="e">
        <f>VLOOKUP('Customer Info'!E3987,'Customer Info'!E3987:E4486,1,0)</f>
        <v>#N/A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42</v>
      </c>
      <c r="R3995" s="2" t="s">
        <v>28</v>
      </c>
      <c r="S3995" s="9">
        <f t="shared" si="314"/>
        <v>0.02</v>
      </c>
    </row>
    <row r="3996" spans="1:19" x14ac:dyDescent="0.3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e">
        <f>VLOOKUP('Customer Info'!B3988,'Customer Info'!B3988:B4487,1,0)</f>
        <v>#N/A</v>
      </c>
      <c r="H3996" s="6" t="e">
        <f>VLOOKUP('Customer Info'!C3988,'Customer Info'!C3988:C4487,1)</f>
        <v>#N/A</v>
      </c>
      <c r="I3996" s="6" t="e">
        <f>VLOOKUP('Customer Info'!E3988,'Customer Info'!E3988:E4487,1,0)</f>
        <v>#N/A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2432</v>
      </c>
      <c r="R3996" s="2" t="s">
        <v>28</v>
      </c>
      <c r="S3996" s="9">
        <f t="shared" si="314"/>
        <v>7.0000000000000007E-2</v>
      </c>
    </row>
    <row r="3997" spans="1:19" x14ac:dyDescent="0.3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e">
        <f>VLOOKUP('Customer Info'!B3989,'Customer Info'!B3989:B4488,1,0)</f>
        <v>#N/A</v>
      </c>
      <c r="H3997" s="6" t="e">
        <f>VLOOKUP('Customer Info'!C3989,'Customer Info'!C3989:C4488,1)</f>
        <v>#N/A</v>
      </c>
      <c r="I3997" s="6" t="e">
        <f>VLOOKUP('Customer Info'!E3989,'Customer Info'!E3989:E4488,1,0)</f>
        <v>#N/A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360</v>
      </c>
      <c r="R3997" s="2" t="s">
        <v>28</v>
      </c>
      <c r="S3997" s="9">
        <f t="shared" si="314"/>
        <v>0.02</v>
      </c>
    </row>
    <row r="3998" spans="1:19" x14ac:dyDescent="0.3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e">
        <f>VLOOKUP('Customer Info'!B3990,'Customer Info'!B3990:B4489,1,0)</f>
        <v>#N/A</v>
      </c>
      <c r="H3998" s="6" t="e">
        <f>VLOOKUP('Customer Info'!C3990,'Customer Info'!C3990:C4489,1)</f>
        <v>#N/A</v>
      </c>
      <c r="I3998" s="6" t="e">
        <f>VLOOKUP('Customer Info'!E3990,'Customer Info'!E3990:E4489,1,0)</f>
        <v>#N/A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234</v>
      </c>
      <c r="R3998" s="2" t="s">
        <v>50</v>
      </c>
      <c r="S3998" s="9">
        <f t="shared" si="314"/>
        <v>0.02</v>
      </c>
    </row>
    <row r="3999" spans="1:19" x14ac:dyDescent="0.3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e">
        <f>VLOOKUP('Customer Info'!B3991,'Customer Info'!B3991:B4490,1,0)</f>
        <v>#N/A</v>
      </c>
      <c r="H3999" s="6" t="e">
        <f>VLOOKUP('Customer Info'!C3991,'Customer Info'!C3991:C4490,1)</f>
        <v>#N/A</v>
      </c>
      <c r="I3999" s="6" t="e">
        <f>VLOOKUP('Customer Info'!E3991,'Customer Info'!E3991:E4490,1,0)</f>
        <v>#N/A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1884</v>
      </c>
      <c r="R3999" s="2" t="s">
        <v>28</v>
      </c>
      <c r="S3999" s="9">
        <f t="shared" si="314"/>
        <v>0.05</v>
      </c>
    </row>
    <row r="4000" spans="1:19" x14ac:dyDescent="0.3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e">
        <f>VLOOKUP('Customer Info'!B3992,'Customer Info'!B3992:B4491,1,0)</f>
        <v>#N/A</v>
      </c>
      <c r="H4000" s="6" t="e">
        <f>VLOOKUP('Customer Info'!C3992,'Customer Info'!C3992:C4491,1)</f>
        <v>#N/A</v>
      </c>
      <c r="I4000" s="6" t="e">
        <f>VLOOKUP('Customer Info'!E3992,'Customer Info'!E3992:E4491,1,0)</f>
        <v>#N/A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84</v>
      </c>
      <c r="R4000" s="2" t="s">
        <v>50</v>
      </c>
      <c r="S4000" s="9">
        <f t="shared" si="314"/>
        <v>0.02</v>
      </c>
    </row>
    <row r="4001" spans="1:19" x14ac:dyDescent="0.3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e">
        <f>VLOOKUP('Customer Info'!B3993,'Customer Info'!B3993:B4492,1,0)</f>
        <v>#N/A</v>
      </c>
      <c r="H4001" s="6" t="e">
        <f>VLOOKUP('Customer Info'!C3993,'Customer Info'!C3993:C4492,1)</f>
        <v>#N/A</v>
      </c>
      <c r="I4001" s="6" t="e">
        <f>VLOOKUP('Customer Info'!E3993,'Customer Info'!E3993:E4492,1,0)</f>
        <v>#N/A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1720</v>
      </c>
      <c r="R4001" s="2" t="s">
        <v>26</v>
      </c>
      <c r="S4001" s="9">
        <f t="shared" si="314"/>
        <v>0.05</v>
      </c>
    </row>
    <row r="4002" spans="1:19" x14ac:dyDescent="0.3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e">
        <f>VLOOKUP('Customer Info'!B3994,'Customer Info'!B3994:B4493,1,0)</f>
        <v>#N/A</v>
      </c>
      <c r="H4002" s="6" t="e">
        <f>VLOOKUP('Customer Info'!C3994,'Customer Info'!C3994:C4493,1)</f>
        <v>#N/A</v>
      </c>
      <c r="I4002" s="6" t="e">
        <f>VLOOKUP('Customer Info'!E3994,'Customer Info'!E3994:E4493,1,0)</f>
        <v>#N/A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132</v>
      </c>
      <c r="R4002" s="2" t="s">
        <v>28</v>
      </c>
      <c r="S4002" s="9">
        <f t="shared" si="314"/>
        <v>0.02</v>
      </c>
    </row>
    <row r="4003" spans="1:19" x14ac:dyDescent="0.3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e">
        <f>VLOOKUP('Customer Info'!B3995,'Customer Info'!B3995:B4494,1,0)</f>
        <v>#N/A</v>
      </c>
      <c r="H4003" s="6" t="e">
        <f>VLOOKUP('Customer Info'!C3995,'Customer Info'!C3995:C4494,1)</f>
        <v>#N/A</v>
      </c>
      <c r="I4003" s="6" t="e">
        <f>VLOOKUP('Customer Info'!E3995,'Customer Info'!E3995:E4494,1,0)</f>
        <v>#N/A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394</v>
      </c>
      <c r="R4003" s="2" t="s">
        <v>50</v>
      </c>
      <c r="S4003" s="9">
        <f t="shared" si="314"/>
        <v>0.05</v>
      </c>
    </row>
    <row r="4004" spans="1:19" x14ac:dyDescent="0.3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e">
        <f>VLOOKUP('Customer Info'!B3996,'Customer Info'!B3996:B4495,1,0)</f>
        <v>#N/A</v>
      </c>
      <c r="H4004" s="6" t="e">
        <f>VLOOKUP('Customer Info'!C3996,'Customer Info'!C3996:C4495,1)</f>
        <v>#N/A</v>
      </c>
      <c r="I4004" s="6" t="e">
        <f>VLOOKUP('Customer Info'!E3996,'Customer Info'!E3996:E4495,1,0)</f>
        <v>#N/A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284</v>
      </c>
      <c r="R4004" s="2" t="s">
        <v>28</v>
      </c>
      <c r="S4004" s="9">
        <f t="shared" si="314"/>
        <v>0.02</v>
      </c>
    </row>
    <row r="4005" spans="1:19" x14ac:dyDescent="0.3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e">
        <f>VLOOKUP('Customer Info'!B3997,'Customer Info'!B3997:B4496,1,0)</f>
        <v>#N/A</v>
      </c>
      <c r="H4005" s="6" t="e">
        <f>VLOOKUP('Customer Info'!C3997,'Customer Info'!C3997:C4496,1)</f>
        <v>#N/A</v>
      </c>
      <c r="I4005" s="6" t="e">
        <f>VLOOKUP('Customer Info'!E3997,'Customer Info'!E3997:E4496,1,0)</f>
        <v>#N/A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354</v>
      </c>
      <c r="R4005" s="2" t="s">
        <v>28</v>
      </c>
      <c r="S4005" s="9">
        <f t="shared" si="314"/>
        <v>0.02</v>
      </c>
    </row>
    <row r="4006" spans="1:19" x14ac:dyDescent="0.3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e">
        <f>VLOOKUP('Customer Info'!B3998,'Customer Info'!B3998:B4497,1,0)</f>
        <v>#N/A</v>
      </c>
      <c r="H4006" s="6" t="e">
        <f>VLOOKUP('Customer Info'!C3998,'Customer Info'!C3998:C4497,1)</f>
        <v>#N/A</v>
      </c>
      <c r="I4006" s="6" t="e">
        <f>VLOOKUP('Customer Info'!E3998,'Customer Info'!E3998:E4497,1,0)</f>
        <v>#N/A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508</v>
      </c>
      <c r="R4006" s="2" t="s">
        <v>26</v>
      </c>
      <c r="S4006" s="9">
        <f t="shared" si="314"/>
        <v>0.05</v>
      </c>
    </row>
    <row r="4007" spans="1:19" x14ac:dyDescent="0.3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e">
        <f>VLOOKUP('Customer Info'!B3999,'Customer Info'!B3999:B4498,1,0)</f>
        <v>#N/A</v>
      </c>
      <c r="H4007" s="6" t="e">
        <f>VLOOKUP('Customer Info'!C3999,'Customer Info'!C3999:C4498,1)</f>
        <v>#N/A</v>
      </c>
      <c r="I4007" s="6" t="e">
        <f>VLOOKUP('Customer Info'!E3999,'Customer Info'!E3999:E4498,1,0)</f>
        <v>#N/A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20</v>
      </c>
      <c r="R4007" s="2" t="s">
        <v>28</v>
      </c>
      <c r="S4007" s="9">
        <f t="shared" si="314"/>
        <v>0.02</v>
      </c>
    </row>
    <row r="4008" spans="1:19" x14ac:dyDescent="0.3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e">
        <f>VLOOKUP('Customer Info'!B4000,'Customer Info'!B4000:B4499,1,0)</f>
        <v>#N/A</v>
      </c>
      <c r="H4008" s="6" t="e">
        <f>VLOOKUP('Customer Info'!C4000,'Customer Info'!C4000:C4499,1)</f>
        <v>#N/A</v>
      </c>
      <c r="I4008" s="6" t="e">
        <f>VLOOKUP('Customer Info'!E4000,'Customer Info'!E4000:E4499,1,0)</f>
        <v>#N/A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75</v>
      </c>
      <c r="R4008" s="2" t="s">
        <v>28</v>
      </c>
      <c r="S4008" s="9">
        <f t="shared" si="314"/>
        <v>0.02</v>
      </c>
    </row>
    <row r="4009" spans="1:19" x14ac:dyDescent="0.3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e">
        <f>VLOOKUP('Customer Info'!B4001,'Customer Info'!B4001:B4500,1,0)</f>
        <v>#N/A</v>
      </c>
      <c r="H4009" s="6" t="e">
        <f>VLOOKUP('Customer Info'!C4001,'Customer Info'!C4001:C4500,1)</f>
        <v>#N/A</v>
      </c>
      <c r="I4009" s="6" t="e">
        <f>VLOOKUP('Customer Info'!E4001,'Customer Info'!E4001:E4500,1,0)</f>
        <v>#N/A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2478</v>
      </c>
      <c r="R4009" s="2" t="s">
        <v>56</v>
      </c>
      <c r="S4009" s="9">
        <f t="shared" si="314"/>
        <v>7.0000000000000007E-2</v>
      </c>
    </row>
    <row r="4010" spans="1:19" x14ac:dyDescent="0.3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e">
        <f>VLOOKUP('Customer Info'!B4002,'Customer Info'!B4002:B4501,1,0)</f>
        <v>#N/A</v>
      </c>
      <c r="H4010" s="6" t="e">
        <f>VLOOKUP('Customer Info'!C4002,'Customer Info'!C4002:C4501,1)</f>
        <v>#N/A</v>
      </c>
      <c r="I4010" s="6" t="e">
        <f>VLOOKUP('Customer Info'!E4002,'Customer Info'!E4002:E4501,1,0)</f>
        <v>#N/A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236</v>
      </c>
      <c r="R4010" s="2" t="s">
        <v>50</v>
      </c>
      <c r="S4010" s="9">
        <f t="shared" si="314"/>
        <v>0.02</v>
      </c>
    </row>
    <row r="4011" spans="1:19" x14ac:dyDescent="0.3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e">
        <f>VLOOKUP('Customer Info'!B4003,'Customer Info'!B4003:B4502,1,0)</f>
        <v>#N/A</v>
      </c>
      <c r="H4011" s="6" t="e">
        <f>VLOOKUP('Customer Info'!C4003,'Customer Info'!C4003:C4502,1)</f>
        <v>#N/A</v>
      </c>
      <c r="I4011" s="6" t="e">
        <f>VLOOKUP('Customer Info'!E4003,'Customer Info'!E4003:E4502,1,0)</f>
        <v>#N/A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10</v>
      </c>
      <c r="R4011" s="2" t="s">
        <v>28</v>
      </c>
      <c r="S4011" s="9">
        <f t="shared" si="314"/>
        <v>0.02</v>
      </c>
    </row>
    <row r="4012" spans="1:19" x14ac:dyDescent="0.3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e">
        <f>VLOOKUP('Customer Info'!B4004,'Customer Info'!B4004:B4503,1,0)</f>
        <v>#N/A</v>
      </c>
      <c r="H4012" s="6" t="e">
        <f>VLOOKUP('Customer Info'!C4004,'Customer Info'!C4004:C4503,1)</f>
        <v>#N/A</v>
      </c>
      <c r="I4012" s="6" t="e">
        <f>VLOOKUP('Customer Info'!E4004,'Customer Info'!E4004:E4503,1,0)</f>
        <v>#N/A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1372</v>
      </c>
      <c r="R4012" s="2" t="s">
        <v>50</v>
      </c>
      <c r="S4012" s="9">
        <f t="shared" si="314"/>
        <v>0.05</v>
      </c>
    </row>
    <row r="4013" spans="1:19" x14ac:dyDescent="0.3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e">
        <f>VLOOKUP('Customer Info'!B4005,'Customer Info'!B4005:B4504,1,0)</f>
        <v>#N/A</v>
      </c>
      <c r="H4013" s="6" t="e">
        <f>VLOOKUP('Customer Info'!C4005,'Customer Info'!C4005:C4504,1)</f>
        <v>#N/A</v>
      </c>
      <c r="I4013" s="6" t="e">
        <f>VLOOKUP('Customer Info'!E4005,'Customer Info'!E4005:E4504,1,0)</f>
        <v>#N/A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146</v>
      </c>
      <c r="R4013" s="2" t="s">
        <v>28</v>
      </c>
      <c r="S4013" s="9">
        <f t="shared" si="314"/>
        <v>0.02</v>
      </c>
    </row>
    <row r="4014" spans="1:19" x14ac:dyDescent="0.3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e">
        <f>VLOOKUP('Customer Info'!B4006,'Customer Info'!B4006:B4505,1,0)</f>
        <v>#N/A</v>
      </c>
      <c r="H4014" s="6" t="e">
        <f>VLOOKUP('Customer Info'!C4006,'Customer Info'!C4006:C4505,1)</f>
        <v>#N/A</v>
      </c>
      <c r="I4014" s="6" t="e">
        <f>VLOOKUP('Customer Info'!E4006,'Customer Info'!E4006:E4505,1,0)</f>
        <v>#N/A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252</v>
      </c>
      <c r="R4014" s="2" t="s">
        <v>28</v>
      </c>
      <c r="S4014" s="9">
        <f t="shared" si="314"/>
        <v>0.02</v>
      </c>
    </row>
    <row r="4015" spans="1:19" x14ac:dyDescent="0.3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e">
        <f>VLOOKUP('Customer Info'!B4007,'Customer Info'!B4007:B4506,1,0)</f>
        <v>#N/A</v>
      </c>
      <c r="H4015" s="6" t="e">
        <f>VLOOKUP('Customer Info'!C4007,'Customer Info'!C4007:C4506,1)</f>
        <v>#N/A</v>
      </c>
      <c r="I4015" s="6" t="e">
        <f>VLOOKUP('Customer Info'!E4007,'Customer Info'!E4007:E4506,1,0)</f>
        <v>#N/A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2723</v>
      </c>
      <c r="R4015" s="2" t="s">
        <v>28</v>
      </c>
      <c r="S4015" s="9">
        <f t="shared" si="314"/>
        <v>7.0000000000000007E-2</v>
      </c>
    </row>
    <row r="4016" spans="1:19" x14ac:dyDescent="0.3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e">
        <f>VLOOKUP('Customer Info'!B4008,'Customer Info'!B4008:B4507,1,0)</f>
        <v>#N/A</v>
      </c>
      <c r="H4016" s="6" t="e">
        <f>VLOOKUP('Customer Info'!C4008,'Customer Info'!C4008:C4507,1)</f>
        <v>#N/A</v>
      </c>
      <c r="I4016" s="6" t="e">
        <f>VLOOKUP('Customer Info'!E4008,'Customer Info'!E4008:E4507,1,0)</f>
        <v>#N/A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42</v>
      </c>
      <c r="R4016" s="2" t="s">
        <v>56</v>
      </c>
      <c r="S4016" s="9">
        <f t="shared" si="314"/>
        <v>0.02</v>
      </c>
    </row>
    <row r="4017" spans="1:19" x14ac:dyDescent="0.3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e">
        <f>VLOOKUP('Customer Info'!B4009,'Customer Info'!B4009:B4508,1,0)</f>
        <v>#N/A</v>
      </c>
      <c r="H4017" s="6" t="e">
        <f>VLOOKUP('Customer Info'!C4009,'Customer Info'!C4009:C4508,1)</f>
        <v>#N/A</v>
      </c>
      <c r="I4017" s="6" t="e">
        <f>VLOOKUP('Customer Info'!E4009,'Customer Info'!E4009:E4508,1,0)</f>
        <v>#N/A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5838</v>
      </c>
      <c r="R4017" s="2" t="s">
        <v>50</v>
      </c>
      <c r="S4017" s="9">
        <f t="shared" si="314"/>
        <v>0.09</v>
      </c>
    </row>
    <row r="4018" spans="1:19" x14ac:dyDescent="0.3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e">
        <f>VLOOKUP('Customer Info'!B4010,'Customer Info'!B4010:B4509,1,0)</f>
        <v>#N/A</v>
      </c>
      <c r="H4018" s="6" t="e">
        <f>VLOOKUP('Customer Info'!C4010,'Customer Info'!C4010:C4509,1)</f>
        <v>#N/A</v>
      </c>
      <c r="I4018" s="6" t="e">
        <f>VLOOKUP('Customer Info'!E4010,'Customer Info'!E4010:E4509,1,0)</f>
        <v>#N/A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18</v>
      </c>
      <c r="R4018" s="2" t="s">
        <v>28</v>
      </c>
      <c r="S4018" s="9">
        <f t="shared" si="314"/>
        <v>0.02</v>
      </c>
    </row>
    <row r="4019" spans="1:19" x14ac:dyDescent="0.3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e">
        <f>VLOOKUP('Customer Info'!B4011,'Customer Info'!B4011:B4510,1,0)</f>
        <v>#N/A</v>
      </c>
      <c r="H4019" s="6" t="e">
        <f>VLOOKUP('Customer Info'!C4011,'Customer Info'!C4011:C4510,1)</f>
        <v>#N/A</v>
      </c>
      <c r="I4019" s="6" t="e">
        <f>VLOOKUP('Customer Info'!E4011,'Customer Info'!E4011:E4510,1,0)</f>
        <v>#N/A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16</v>
      </c>
      <c r="R4019" s="2" t="s">
        <v>56</v>
      </c>
      <c r="S4019" s="9">
        <f t="shared" si="314"/>
        <v>0.02</v>
      </c>
    </row>
    <row r="4020" spans="1:19" x14ac:dyDescent="0.3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e">
        <f>VLOOKUP('Customer Info'!B4012,'Customer Info'!B4012:B4511,1,0)</f>
        <v>#N/A</v>
      </c>
      <c r="H4020" s="6" t="e">
        <f>VLOOKUP('Customer Info'!C4012,'Customer Info'!C4012:C4511,1)</f>
        <v>#N/A</v>
      </c>
      <c r="I4020" s="6" t="e">
        <f>VLOOKUP('Customer Info'!E4012,'Customer Info'!E4012:E4511,1,0)</f>
        <v>#N/A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4</v>
      </c>
      <c r="R4020" s="2" t="s">
        <v>28</v>
      </c>
      <c r="S4020" s="9">
        <f t="shared" si="314"/>
        <v>0.02</v>
      </c>
    </row>
    <row r="4021" spans="1:19" x14ac:dyDescent="0.3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e">
        <f>VLOOKUP('Customer Info'!B4013,'Customer Info'!B4013:B4512,1,0)</f>
        <v>#N/A</v>
      </c>
      <c r="H4021" s="6" t="e">
        <f>VLOOKUP('Customer Info'!C4013,'Customer Info'!C4013:C4512,1)</f>
        <v>#N/A</v>
      </c>
      <c r="I4021" s="6" t="e">
        <f>VLOOKUP('Customer Info'!E4013,'Customer Info'!E4013:E4512,1,0)</f>
        <v>#N/A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955</v>
      </c>
      <c r="R4021" s="2" t="s">
        <v>50</v>
      </c>
      <c r="S4021" s="9">
        <f t="shared" si="314"/>
        <v>7.0000000000000007E-2</v>
      </c>
    </row>
    <row r="4022" spans="1:19" x14ac:dyDescent="0.3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e">
        <f>VLOOKUP('Customer Info'!B4014,'Customer Info'!B4014:B4513,1,0)</f>
        <v>#N/A</v>
      </c>
      <c r="H4022" s="6" t="e">
        <f>VLOOKUP('Customer Info'!C4014,'Customer Info'!C4014:C4513,1)</f>
        <v>#N/A</v>
      </c>
      <c r="I4022" s="6" t="e">
        <f>VLOOKUP('Customer Info'!E4014,'Customer Info'!E4014:E4513,1,0)</f>
        <v>#N/A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495</v>
      </c>
      <c r="R4022" s="2" t="s">
        <v>56</v>
      </c>
      <c r="S4022" s="9">
        <f t="shared" si="314"/>
        <v>0.05</v>
      </c>
    </row>
    <row r="4023" spans="1:19" x14ac:dyDescent="0.3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e">
        <f>VLOOKUP('Customer Info'!B4015,'Customer Info'!B4015:B4514,1,0)</f>
        <v>#N/A</v>
      </c>
      <c r="H4023" s="6" t="e">
        <f>VLOOKUP('Customer Info'!C4015,'Customer Info'!C4015:C4514,1)</f>
        <v>#N/A</v>
      </c>
      <c r="I4023" s="6" t="e">
        <f>VLOOKUP('Customer Info'!E4015,'Customer Info'!E4015:E4514,1,0)</f>
        <v>#N/A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162</v>
      </c>
      <c r="R4023" s="2" t="s">
        <v>50</v>
      </c>
      <c r="S4023" s="9">
        <f t="shared" si="314"/>
        <v>0.02</v>
      </c>
    </row>
    <row r="4024" spans="1:19" x14ac:dyDescent="0.3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e">
        <f>VLOOKUP('Customer Info'!B4016,'Customer Info'!B4016:B4515,1,0)</f>
        <v>#N/A</v>
      </c>
      <c r="H4024" s="6" t="e">
        <f>VLOOKUP('Customer Info'!C4016,'Customer Info'!C4016:C4515,1)</f>
        <v>#N/A</v>
      </c>
      <c r="I4024" s="6" t="e">
        <f>VLOOKUP('Customer Info'!E4016,'Customer Info'!E4016:E4515,1,0)</f>
        <v>#N/A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78</v>
      </c>
      <c r="R4024" s="2" t="s">
        <v>28</v>
      </c>
      <c r="S4024" s="9">
        <f t="shared" si="314"/>
        <v>0.02</v>
      </c>
    </row>
    <row r="4025" spans="1:19" x14ac:dyDescent="0.3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e">
        <f>VLOOKUP('Customer Info'!B4017,'Customer Info'!B4017:B4516,1,0)</f>
        <v>#N/A</v>
      </c>
      <c r="H4025" s="6" t="e">
        <f>VLOOKUP('Customer Info'!C4017,'Customer Info'!C4017:C4516,1)</f>
        <v>#N/A</v>
      </c>
      <c r="I4025" s="6" t="e">
        <f>VLOOKUP('Customer Info'!E4017,'Customer Info'!E4017:E4516,1,0)</f>
        <v>#N/A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890</v>
      </c>
      <c r="R4025" s="2" t="s">
        <v>50</v>
      </c>
      <c r="S4025" s="9">
        <f t="shared" si="314"/>
        <v>0.05</v>
      </c>
    </row>
    <row r="4026" spans="1:19" x14ac:dyDescent="0.3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e">
        <f>VLOOKUP('Customer Info'!B4018,'Customer Info'!B4018:B4517,1,0)</f>
        <v>#N/A</v>
      </c>
      <c r="H4026" s="6" t="e">
        <f>VLOOKUP('Customer Info'!C4018,'Customer Info'!C4018:C4517,1)</f>
        <v>#N/A</v>
      </c>
      <c r="I4026" s="6" t="e">
        <f>VLOOKUP('Customer Info'!E4018,'Customer Info'!E4018:E4517,1,0)</f>
        <v>#N/A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333</v>
      </c>
      <c r="R4026" s="2" t="s">
        <v>28</v>
      </c>
      <c r="S4026" s="9">
        <f t="shared" si="314"/>
        <v>0.05</v>
      </c>
    </row>
    <row r="4027" spans="1:19" x14ac:dyDescent="0.3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e">
        <f>VLOOKUP('Customer Info'!B4019,'Customer Info'!B4019:B4518,1,0)</f>
        <v>#N/A</v>
      </c>
      <c r="H4027" s="6" t="e">
        <f>VLOOKUP('Customer Info'!C4019,'Customer Info'!C4019:C4518,1)</f>
        <v>#N/A</v>
      </c>
      <c r="I4027" s="6" t="e">
        <f>VLOOKUP('Customer Info'!E4019,'Customer Info'!E4019:E4518,1,0)</f>
        <v>#N/A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515</v>
      </c>
      <c r="R4027" s="2" t="s">
        <v>28</v>
      </c>
      <c r="S4027" s="9">
        <f t="shared" si="314"/>
        <v>0.05</v>
      </c>
    </row>
    <row r="4028" spans="1:19" x14ac:dyDescent="0.3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e">
        <f>VLOOKUP('Customer Info'!B4020,'Customer Info'!B4020:B4519,1,0)</f>
        <v>#N/A</v>
      </c>
      <c r="H4028" s="6" t="e">
        <f>VLOOKUP('Customer Info'!C4020,'Customer Info'!C4020:C4519,1)</f>
        <v>#N/A</v>
      </c>
      <c r="I4028" s="6" t="e">
        <f>VLOOKUP('Customer Info'!E4020,'Customer Info'!E4020:E4519,1,0)</f>
        <v>#N/A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4803</v>
      </c>
      <c r="R4028" s="2" t="s">
        <v>28</v>
      </c>
      <c r="S4028" s="9">
        <f t="shared" si="314"/>
        <v>0.09</v>
      </c>
    </row>
    <row r="4029" spans="1:19" x14ac:dyDescent="0.3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e">
        <f>VLOOKUP('Customer Info'!B4021,'Customer Info'!B4021:B4520,1,0)</f>
        <v>#N/A</v>
      </c>
      <c r="H4029" s="6" t="e">
        <f>VLOOKUP('Customer Info'!C4021,'Customer Info'!C4021:C4520,1)</f>
        <v>#N/A</v>
      </c>
      <c r="I4029" s="6" t="e">
        <f>VLOOKUP('Customer Info'!E4021,'Customer Info'!E4021:E4520,1,0)</f>
        <v>#N/A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28</v>
      </c>
      <c r="R4029" s="2" t="s">
        <v>50</v>
      </c>
      <c r="S4029" s="9">
        <f t="shared" si="314"/>
        <v>0.02</v>
      </c>
    </row>
    <row r="4030" spans="1:19" x14ac:dyDescent="0.3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e">
        <f>VLOOKUP('Customer Info'!B4022,'Customer Info'!B4022:B4521,1,0)</f>
        <v>#N/A</v>
      </c>
      <c r="H4030" s="6" t="e">
        <f>VLOOKUP('Customer Info'!C4022,'Customer Info'!C4022:C4521,1)</f>
        <v>#N/A</v>
      </c>
      <c r="I4030" s="6" t="e">
        <f>VLOOKUP('Customer Info'!E4022,'Customer Info'!E4022:E4521,1,0)</f>
        <v>#N/A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1176</v>
      </c>
      <c r="R4030" s="2" t="s">
        <v>50</v>
      </c>
      <c r="S4030" s="9">
        <f t="shared" si="314"/>
        <v>7.0000000000000007E-2</v>
      </c>
    </row>
    <row r="4031" spans="1:19" x14ac:dyDescent="0.3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e">
        <f>VLOOKUP('Customer Info'!B4023,'Customer Info'!B4023:B4522,1,0)</f>
        <v>#N/A</v>
      </c>
      <c r="H4031" s="6" t="e">
        <f>VLOOKUP('Customer Info'!C4023,'Customer Info'!C4023:C4522,1)</f>
        <v>#N/A</v>
      </c>
      <c r="I4031" s="6" t="e">
        <f>VLOOKUP('Customer Info'!E4023,'Customer Info'!E4023:E4522,1,0)</f>
        <v>#N/A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2400</v>
      </c>
      <c r="R4031" s="2" t="s">
        <v>28</v>
      </c>
      <c r="S4031" s="9">
        <f t="shared" si="314"/>
        <v>7.0000000000000007E-2</v>
      </c>
    </row>
    <row r="4032" spans="1:19" x14ac:dyDescent="0.3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e">
        <f>VLOOKUP('Customer Info'!B4024,'Customer Info'!B4024:B4523,1,0)</f>
        <v>#N/A</v>
      </c>
      <c r="H4032" s="6" t="e">
        <f>VLOOKUP('Customer Info'!C4024,'Customer Info'!C4024:C4523,1)</f>
        <v>#N/A</v>
      </c>
      <c r="I4032" s="6" t="e">
        <f>VLOOKUP('Customer Info'!E4024,'Customer Info'!E4024:E4523,1,0)</f>
        <v>#N/A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732</v>
      </c>
      <c r="R4032" s="2" t="s">
        <v>50</v>
      </c>
      <c r="S4032" s="9">
        <f t="shared" si="314"/>
        <v>0.05</v>
      </c>
    </row>
    <row r="4033" spans="1:19" x14ac:dyDescent="0.3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e">
        <f>VLOOKUP('Customer Info'!B4025,'Customer Info'!B4025:B4524,1,0)</f>
        <v>#N/A</v>
      </c>
      <c r="H4033" s="6" t="e">
        <f>VLOOKUP('Customer Info'!C4025,'Customer Info'!C4025:C4524,1)</f>
        <v>#N/A</v>
      </c>
      <c r="I4033" s="6" t="e">
        <f>VLOOKUP('Customer Info'!E4025,'Customer Info'!E4025:E4524,1,0)</f>
        <v>#N/A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242</v>
      </c>
      <c r="R4033" s="2" t="s">
        <v>28</v>
      </c>
      <c r="S4033" s="9">
        <f t="shared" si="314"/>
        <v>0.02</v>
      </c>
    </row>
    <row r="4034" spans="1:19" x14ac:dyDescent="0.3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e">
        <f>VLOOKUP('Customer Info'!B4026,'Customer Info'!B4026:B4525,1,0)</f>
        <v>#N/A</v>
      </c>
      <c r="H4034" s="6" t="e">
        <f>VLOOKUP('Customer Info'!C4026,'Customer Info'!C4026:C4525,1)</f>
        <v>#N/A</v>
      </c>
      <c r="I4034" s="6" t="e">
        <f>VLOOKUP('Customer Info'!E4026,'Customer Info'!E4026:E4525,1,0)</f>
        <v>#N/A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144</v>
      </c>
      <c r="R4034" s="2" t="s">
        <v>28</v>
      </c>
      <c r="S4034" s="9">
        <f t="shared" si="314"/>
        <v>0.02</v>
      </c>
    </row>
    <row r="4035" spans="1:19" x14ac:dyDescent="0.3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e">
        <f>VLOOKUP('Customer Info'!B4027,'Customer Info'!B4027:B4526,1,0)</f>
        <v>#N/A</v>
      </c>
      <c r="H4035" s="6" t="e">
        <f>VLOOKUP('Customer Info'!C4027,'Customer Info'!C4027:C4526,1)</f>
        <v>#N/A</v>
      </c>
      <c r="I4035" s="6" t="e">
        <f>VLOOKUP('Customer Info'!E4027,'Customer Info'!E4027:E4526,1,0)</f>
        <v>#N/A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84</v>
      </c>
      <c r="R4035" s="2" t="s">
        <v>28</v>
      </c>
      <c r="S4035" s="9">
        <f t="shared" si="314"/>
        <v>0.02</v>
      </c>
    </row>
    <row r="4036" spans="1:19" x14ac:dyDescent="0.3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e">
        <f>VLOOKUP('Customer Info'!B4028,'Customer Info'!B4028:B4527,1,0)</f>
        <v>#N/A</v>
      </c>
      <c r="H4036" s="6" t="e">
        <f>VLOOKUP('Customer Info'!C4028,'Customer Info'!C4028:C4527,1)</f>
        <v>#N/A</v>
      </c>
      <c r="I4036" s="6" t="e">
        <f>VLOOKUP('Customer Info'!E4028,'Customer Info'!E4028:E4527,1,0)</f>
        <v>#N/A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284</v>
      </c>
      <c r="R4036" s="2" t="s">
        <v>50</v>
      </c>
      <c r="S4036" s="9">
        <f t="shared" si="314"/>
        <v>0.02</v>
      </c>
    </row>
    <row r="4037" spans="1:19" x14ac:dyDescent="0.3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e">
        <f>VLOOKUP('Customer Info'!B4029,'Customer Info'!B4029:B4528,1,0)</f>
        <v>#N/A</v>
      </c>
      <c r="H4037" s="6" t="e">
        <f>VLOOKUP('Customer Info'!C4029,'Customer Info'!C4029:C4528,1)</f>
        <v>#N/A</v>
      </c>
      <c r="I4037" s="6" t="e">
        <f>VLOOKUP('Customer Info'!E4029,'Customer Info'!E4029:E4528,1,0)</f>
        <v>#N/A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62</v>
      </c>
      <c r="R4037" s="2" t="s">
        <v>28</v>
      </c>
      <c r="S4037" s="9">
        <f t="shared" si="314"/>
        <v>0.02</v>
      </c>
    </row>
    <row r="4038" spans="1:19" x14ac:dyDescent="0.3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e">
        <f>VLOOKUP('Customer Info'!B4030,'Customer Info'!B4030:B4529,1,0)</f>
        <v>#N/A</v>
      </c>
      <c r="H4038" s="6" t="e">
        <f>VLOOKUP('Customer Info'!C4030,'Customer Info'!C4030:C4529,1)</f>
        <v>#N/A</v>
      </c>
      <c r="I4038" s="6" t="e">
        <f>VLOOKUP('Customer Info'!E4030,'Customer Info'!E4030:E4529,1,0)</f>
        <v>#N/A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116</v>
      </c>
      <c r="R4038" s="2" t="s">
        <v>26</v>
      </c>
      <c r="S4038" s="9">
        <f t="shared" si="314"/>
        <v>0.05</v>
      </c>
    </row>
    <row r="4039" spans="1:19" x14ac:dyDescent="0.3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e">
        <f>VLOOKUP('Customer Info'!B4031,'Customer Info'!B4031:B4530,1,0)</f>
        <v>#N/A</v>
      </c>
      <c r="H4039" s="6" t="e">
        <f>VLOOKUP('Customer Info'!C4031,'Customer Info'!C4031:C4530,1)</f>
        <v>#N/A</v>
      </c>
      <c r="I4039" s="6" t="e">
        <f>VLOOKUP('Customer Info'!E4031,'Customer Info'!E4031:E4530,1,0)</f>
        <v>#N/A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125</v>
      </c>
      <c r="R4039" s="2" t="s">
        <v>28</v>
      </c>
      <c r="S4039" s="9">
        <f t="shared" si="314"/>
        <v>0.02</v>
      </c>
    </row>
    <row r="4040" spans="1:19" x14ac:dyDescent="0.3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e">
        <f>VLOOKUP('Customer Info'!B4032,'Customer Info'!B4032:B4531,1,0)</f>
        <v>#N/A</v>
      </c>
      <c r="H4040" s="6" t="e">
        <f>VLOOKUP('Customer Info'!C4032,'Customer Info'!C4032:C4531,1)</f>
        <v>#N/A</v>
      </c>
      <c r="I4040" s="6" t="e">
        <f>VLOOKUP('Customer Info'!E4032,'Customer Info'!E4032:E4531,1,0)</f>
        <v>#N/A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215</v>
      </c>
      <c r="R4040" s="2" t="s">
        <v>28</v>
      </c>
      <c r="S4040" s="9">
        <f t="shared" si="314"/>
        <v>0.02</v>
      </c>
    </row>
    <row r="4041" spans="1:19" x14ac:dyDescent="0.3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e">
        <f>VLOOKUP('Customer Info'!B4033,'Customer Info'!B4033:B4532,1,0)</f>
        <v>#N/A</v>
      </c>
      <c r="H4041" s="6" t="e">
        <f>VLOOKUP('Customer Info'!C4033,'Customer Info'!C4033:C4532,1)</f>
        <v>#N/A</v>
      </c>
      <c r="I4041" s="6" t="e">
        <f>VLOOKUP('Customer Info'!E4033,'Customer Info'!E4033:E4532,1,0)</f>
        <v>#N/A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620</v>
      </c>
      <c r="R4041" s="2" t="s">
        <v>50</v>
      </c>
      <c r="S4041" s="9">
        <f t="shared" si="314"/>
        <v>0.05</v>
      </c>
    </row>
    <row r="4042" spans="1:19" x14ac:dyDescent="0.3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e">
        <f>VLOOKUP('Customer Info'!B4034,'Customer Info'!B4034:B4533,1,0)</f>
        <v>#N/A</v>
      </c>
      <c r="H4042" s="6" t="e">
        <f>VLOOKUP('Customer Info'!C4034,'Customer Info'!C4034:C4533,1)</f>
        <v>#N/A</v>
      </c>
      <c r="I4042" s="6" t="e">
        <f>VLOOKUP('Customer Info'!E4034,'Customer Info'!E4034:E4533,1,0)</f>
        <v>#N/A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670</v>
      </c>
      <c r="R4042" s="2" t="s">
        <v>50</v>
      </c>
      <c r="S4042" s="9">
        <f t="shared" si="314"/>
        <v>0.05</v>
      </c>
    </row>
    <row r="4043" spans="1:19" x14ac:dyDescent="0.3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e">
        <f>VLOOKUP('Customer Info'!B4035,'Customer Info'!B4035:B4534,1,0)</f>
        <v>#N/A</v>
      </c>
      <c r="H4043" s="6" t="e">
        <f>VLOOKUP('Customer Info'!C4035,'Customer Info'!C4035:C4534,1)</f>
        <v>#N/A</v>
      </c>
      <c r="I4043" s="6" t="e">
        <f>VLOOKUP('Customer Info'!E4035,'Customer Info'!E4035:E4534,1,0)</f>
        <v>#N/A</v>
      </c>
      <c r="J4043" s="2">
        <v>751</v>
      </c>
      <c r="K4043" s="2">
        <v>696</v>
      </c>
      <c r="L4043" s="2">
        <v>3</v>
      </c>
      <c r="M4043" s="7">
        <f t="shared" ref="M4043:M4106" si="315">(K4043*L4043)</f>
        <v>2088</v>
      </c>
      <c r="N4043" s="7">
        <f t="shared" ref="N4043:N4106" si="316">(J4043*L4043)</f>
        <v>2253</v>
      </c>
      <c r="O4043" s="2">
        <v>55</v>
      </c>
      <c r="P4043" s="8">
        <f t="shared" ref="P4043:P4106" si="317">(N4043+O4043)</f>
        <v>2308</v>
      </c>
      <c r="Q4043" s="8">
        <f t="shared" ref="Q4043:Q4106" si="318">(N4043-M4043)</f>
        <v>165</v>
      </c>
      <c r="R4043" s="2" t="s">
        <v>50</v>
      </c>
      <c r="S4043" s="9">
        <f t="shared" ref="S4043:S4106" si="319">_xlfn.IFS(P4043&gt;250000,0.15,P4043&gt;100000,0.12,P4043&gt;50000,0.09,P4043&gt;25000,0.07,P4043&gt;5000,0.05,
 TRUE,0.02)</f>
        <v>0.02</v>
      </c>
    </row>
    <row r="4044" spans="1:19" x14ac:dyDescent="0.3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e">
        <f>VLOOKUP('Customer Info'!B4036,'Customer Info'!B4036:B4535,1,0)</f>
        <v>#N/A</v>
      </c>
      <c r="H4044" s="6" t="e">
        <f>VLOOKUP('Customer Info'!C4036,'Customer Info'!C4036:C4535,1)</f>
        <v>#N/A</v>
      </c>
      <c r="I4044" s="6" t="e">
        <f>VLOOKUP('Customer Info'!E4036,'Customer Info'!E4036:E4535,1,0)</f>
        <v>#N/A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4896</v>
      </c>
      <c r="R4044" s="2" t="s">
        <v>50</v>
      </c>
      <c r="S4044" s="9">
        <f t="shared" si="319"/>
        <v>0.09</v>
      </c>
    </row>
    <row r="4045" spans="1:19" x14ac:dyDescent="0.3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e">
        <f>VLOOKUP('Customer Info'!B4037,'Customer Info'!B4037:B4536,1,0)</f>
        <v>#N/A</v>
      </c>
      <c r="H4045" s="6" t="e">
        <f>VLOOKUP('Customer Info'!C4037,'Customer Info'!C4037:C4536,1)</f>
        <v>#N/A</v>
      </c>
      <c r="I4045" s="6" t="e">
        <f>VLOOKUP('Customer Info'!E4037,'Customer Info'!E4037:E4536,1,0)</f>
        <v>#N/A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2261</v>
      </c>
      <c r="R4045" s="2" t="s">
        <v>50</v>
      </c>
      <c r="S4045" s="9">
        <f t="shared" si="319"/>
        <v>0.05</v>
      </c>
    </row>
    <row r="4046" spans="1:19" x14ac:dyDescent="0.3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e">
        <f>VLOOKUP('Customer Info'!B4038,'Customer Info'!B4038:B4537,1,0)</f>
        <v>#N/A</v>
      </c>
      <c r="H4046" s="6" t="e">
        <f>VLOOKUP('Customer Info'!C4038,'Customer Info'!C4038:C4537,1)</f>
        <v>#N/A</v>
      </c>
      <c r="I4046" s="6" t="e">
        <f>VLOOKUP('Customer Info'!E4038,'Customer Info'!E4038:E4537,1,0)</f>
        <v>#N/A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128</v>
      </c>
      <c r="R4046" s="2" t="s">
        <v>28</v>
      </c>
      <c r="S4046" s="9">
        <f t="shared" si="319"/>
        <v>0.02</v>
      </c>
    </row>
    <row r="4047" spans="1:19" x14ac:dyDescent="0.3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e">
        <f>VLOOKUP('Customer Info'!B4039,'Customer Info'!B4039:B4538,1,0)</f>
        <v>#N/A</v>
      </c>
      <c r="H4047" s="6" t="e">
        <f>VLOOKUP('Customer Info'!C4039,'Customer Info'!C4039:C4538,1)</f>
        <v>#N/A</v>
      </c>
      <c r="I4047" s="6" t="e">
        <f>VLOOKUP('Customer Info'!E4039,'Customer Info'!E4039:E4538,1,0)</f>
        <v>#N/A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-5</v>
      </c>
      <c r="R4047" s="2" t="s">
        <v>28</v>
      </c>
      <c r="S4047" s="9">
        <f t="shared" si="319"/>
        <v>7.0000000000000007E-2</v>
      </c>
    </row>
    <row r="4048" spans="1:19" x14ac:dyDescent="0.3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e">
        <f>VLOOKUP('Customer Info'!B4040,'Customer Info'!B4040:B4539,1,0)</f>
        <v>#N/A</v>
      </c>
      <c r="H4048" s="6" t="e">
        <f>VLOOKUP('Customer Info'!C4040,'Customer Info'!C4040:C4539,1)</f>
        <v>#N/A</v>
      </c>
      <c r="I4048" s="6" t="e">
        <f>VLOOKUP('Customer Info'!E4040,'Customer Info'!E4040:E4539,1,0)</f>
        <v>#N/A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369</v>
      </c>
      <c r="R4048" s="2" t="s">
        <v>26</v>
      </c>
      <c r="S4048" s="9">
        <f t="shared" si="319"/>
        <v>0.02</v>
      </c>
    </row>
    <row r="4049" spans="1:19" x14ac:dyDescent="0.3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e">
        <f>VLOOKUP('Customer Info'!B4041,'Customer Info'!B4041:B4540,1,0)</f>
        <v>#N/A</v>
      </c>
      <c r="H4049" s="6" t="e">
        <f>VLOOKUP('Customer Info'!C4041,'Customer Info'!C4041:C4540,1)</f>
        <v>#N/A</v>
      </c>
      <c r="I4049" s="6" t="e">
        <f>VLOOKUP('Customer Info'!E4041,'Customer Info'!E4041:E4540,1,0)</f>
        <v>#N/A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180</v>
      </c>
      <c r="R4049" s="2" t="s">
        <v>56</v>
      </c>
      <c r="S4049" s="9">
        <f t="shared" si="319"/>
        <v>0.02</v>
      </c>
    </row>
    <row r="4050" spans="1:19" x14ac:dyDescent="0.3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e">
        <f>VLOOKUP('Customer Info'!B4042,'Customer Info'!B4042:B4541,1,0)</f>
        <v>#N/A</v>
      </c>
      <c r="H4050" s="6" t="e">
        <f>VLOOKUP('Customer Info'!C4042,'Customer Info'!C4042:C4541,1)</f>
        <v>#N/A</v>
      </c>
      <c r="I4050" s="6" t="e">
        <f>VLOOKUP('Customer Info'!E4042,'Customer Info'!E4042:E4541,1,0)</f>
        <v>#N/A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236</v>
      </c>
      <c r="R4050" s="2" t="s">
        <v>50</v>
      </c>
      <c r="S4050" s="9">
        <f t="shared" si="319"/>
        <v>0.05</v>
      </c>
    </row>
    <row r="4051" spans="1:19" x14ac:dyDescent="0.3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e">
        <f>VLOOKUP('Customer Info'!B4043,'Customer Info'!B4043:B4542,1,0)</f>
        <v>#N/A</v>
      </c>
      <c r="H4051" s="6" t="e">
        <f>VLOOKUP('Customer Info'!C4043,'Customer Info'!C4043:C4542,1)</f>
        <v>#N/A</v>
      </c>
      <c r="I4051" s="6" t="e">
        <f>VLOOKUP('Customer Info'!E4043,'Customer Info'!E4043:E4542,1,0)</f>
        <v>#N/A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758</v>
      </c>
      <c r="R4051" s="2" t="s">
        <v>28</v>
      </c>
      <c r="S4051" s="9">
        <f t="shared" si="319"/>
        <v>0.05</v>
      </c>
    </row>
    <row r="4052" spans="1:19" x14ac:dyDescent="0.3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e">
        <f>VLOOKUP('Customer Info'!B4044,'Customer Info'!B4044:B4543,1,0)</f>
        <v>#N/A</v>
      </c>
      <c r="H4052" s="6" t="e">
        <f>VLOOKUP('Customer Info'!C4044,'Customer Info'!C4044:C4543,1)</f>
        <v>#N/A</v>
      </c>
      <c r="I4052" s="6" t="e">
        <f>VLOOKUP('Customer Info'!E4044,'Customer Info'!E4044:E4543,1,0)</f>
        <v>#N/A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21</v>
      </c>
      <c r="R4052" s="2" t="s">
        <v>50</v>
      </c>
      <c r="S4052" s="9">
        <f t="shared" si="319"/>
        <v>0.02</v>
      </c>
    </row>
    <row r="4053" spans="1:19" x14ac:dyDescent="0.3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e">
        <f>VLOOKUP('Customer Info'!B4045,'Customer Info'!B4045:B4544,1,0)</f>
        <v>#N/A</v>
      </c>
      <c r="H4053" s="6" t="e">
        <f>VLOOKUP('Customer Info'!C4045,'Customer Info'!C4045:C4544,1)</f>
        <v>#N/A</v>
      </c>
      <c r="I4053" s="6" t="e">
        <f>VLOOKUP('Customer Info'!E4045,'Customer Info'!E4045:E4544,1,0)</f>
        <v>#N/A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1392</v>
      </c>
      <c r="R4053" s="2" t="s">
        <v>50</v>
      </c>
      <c r="S4053" s="9">
        <f t="shared" si="319"/>
        <v>7.0000000000000007E-2</v>
      </c>
    </row>
    <row r="4054" spans="1:19" x14ac:dyDescent="0.3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e">
        <f>VLOOKUP('Customer Info'!B4046,'Customer Info'!B4046:B4545,1,0)</f>
        <v>#N/A</v>
      </c>
      <c r="H4054" s="6" t="e">
        <f>VLOOKUP('Customer Info'!C4046,'Customer Info'!C4046:C4545,1)</f>
        <v>#N/A</v>
      </c>
      <c r="I4054" s="6" t="e">
        <f>VLOOKUP('Customer Info'!E4046,'Customer Info'!E4046:E4545,1,0)</f>
        <v>#N/A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1290</v>
      </c>
      <c r="R4054" s="2" t="s">
        <v>28</v>
      </c>
      <c r="S4054" s="9">
        <f t="shared" si="319"/>
        <v>0.05</v>
      </c>
    </row>
    <row r="4055" spans="1:19" x14ac:dyDescent="0.3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e">
        <f>VLOOKUP('Customer Info'!B4047,'Customer Info'!B4047:B4546,1,0)</f>
        <v>#N/A</v>
      </c>
      <c r="H4055" s="6" t="e">
        <f>VLOOKUP('Customer Info'!C4047,'Customer Info'!C4047:C4546,1)</f>
        <v>#N/A</v>
      </c>
      <c r="I4055" s="6" t="e">
        <f>VLOOKUP('Customer Info'!E4047,'Customer Info'!E4047:E4546,1,0)</f>
        <v>#N/A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14</v>
      </c>
      <c r="R4055" s="2" t="s">
        <v>28</v>
      </c>
      <c r="S4055" s="9">
        <f t="shared" si="319"/>
        <v>0.02</v>
      </c>
    </row>
    <row r="4056" spans="1:19" x14ac:dyDescent="0.3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e">
        <f>VLOOKUP('Customer Info'!B4048,'Customer Info'!B4048:B4547,1,0)</f>
        <v>#N/A</v>
      </c>
      <c r="H4056" s="6" t="e">
        <f>VLOOKUP('Customer Info'!C4048,'Customer Info'!C4048:C4547,1)</f>
        <v>#N/A</v>
      </c>
      <c r="I4056" s="6" t="e">
        <f>VLOOKUP('Customer Info'!E4048,'Customer Info'!E4048:E4547,1,0)</f>
        <v>#N/A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960</v>
      </c>
      <c r="R4056" s="2" t="s">
        <v>50</v>
      </c>
      <c r="S4056" s="9">
        <f t="shared" si="319"/>
        <v>7.0000000000000007E-2</v>
      </c>
    </row>
    <row r="4057" spans="1:19" x14ac:dyDescent="0.3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e">
        <f>VLOOKUP('Customer Info'!B4049,'Customer Info'!B4049:B4548,1,0)</f>
        <v>#N/A</v>
      </c>
      <c r="H4057" s="6" t="e">
        <f>VLOOKUP('Customer Info'!C4049,'Customer Info'!C4049:C4548,1)</f>
        <v>#N/A</v>
      </c>
      <c r="I4057" s="6" t="e">
        <f>VLOOKUP('Customer Info'!E4049,'Customer Info'!E4049:E4548,1,0)</f>
        <v>#N/A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140</v>
      </c>
      <c r="R4057" s="2" t="s">
        <v>28</v>
      </c>
      <c r="S4057" s="9">
        <f t="shared" si="319"/>
        <v>0.02</v>
      </c>
    </row>
    <row r="4058" spans="1:19" x14ac:dyDescent="0.3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e">
        <f>VLOOKUP('Customer Info'!B4050,'Customer Info'!B4050:B4549,1,0)</f>
        <v>#N/A</v>
      </c>
      <c r="H4058" s="6" t="e">
        <f>VLOOKUP('Customer Info'!C4050,'Customer Info'!C4050:C4549,1)</f>
        <v>#N/A</v>
      </c>
      <c r="I4058" s="6" t="e">
        <f>VLOOKUP('Customer Info'!E4050,'Customer Info'!E4050:E4549,1,0)</f>
        <v>#N/A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65</v>
      </c>
      <c r="R4058" s="2" t="s">
        <v>50</v>
      </c>
      <c r="S4058" s="9">
        <f t="shared" si="319"/>
        <v>0.02</v>
      </c>
    </row>
    <row r="4059" spans="1:19" x14ac:dyDescent="0.3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e">
        <f>VLOOKUP('Customer Info'!B4051,'Customer Info'!B4051:B4550,1,0)</f>
        <v>#N/A</v>
      </c>
      <c r="H4059" s="6" t="e">
        <f>VLOOKUP('Customer Info'!C4051,'Customer Info'!C4051:C4550,1)</f>
        <v>#N/A</v>
      </c>
      <c r="I4059" s="6" t="e">
        <f>VLOOKUP('Customer Info'!E4051,'Customer Info'!E4051:E4550,1,0)</f>
        <v>#N/A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726</v>
      </c>
      <c r="R4059" s="2" t="s">
        <v>28</v>
      </c>
      <c r="S4059" s="9">
        <f t="shared" si="319"/>
        <v>0.05</v>
      </c>
    </row>
    <row r="4060" spans="1:19" x14ac:dyDescent="0.3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e">
        <f>VLOOKUP('Customer Info'!B4052,'Customer Info'!B4052:B4551,1,0)</f>
        <v>#N/A</v>
      </c>
      <c r="H4060" s="6" t="e">
        <f>VLOOKUP('Customer Info'!C4052,'Customer Info'!C4052:C4551,1)</f>
        <v>#N/A</v>
      </c>
      <c r="I4060" s="6" t="e">
        <f>VLOOKUP('Customer Info'!E4052,'Customer Info'!E4052:E4551,1,0)</f>
        <v>#N/A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905</v>
      </c>
      <c r="R4060" s="2" t="s">
        <v>28</v>
      </c>
      <c r="S4060" s="9">
        <f t="shared" si="319"/>
        <v>0.05</v>
      </c>
    </row>
    <row r="4061" spans="1:19" x14ac:dyDescent="0.3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e">
        <f>VLOOKUP('Customer Info'!B4053,'Customer Info'!B4053:B4552,1,0)</f>
        <v>#N/A</v>
      </c>
      <c r="H4061" s="6" t="e">
        <f>VLOOKUP('Customer Info'!C4053,'Customer Info'!C4053:C4552,1)</f>
        <v>#N/A</v>
      </c>
      <c r="I4061" s="6" t="e">
        <f>VLOOKUP('Customer Info'!E4053,'Customer Info'!E4053:E4552,1,0)</f>
        <v>#N/A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55</v>
      </c>
      <c r="R4061" s="2" t="s">
        <v>28</v>
      </c>
      <c r="S4061" s="9">
        <f t="shared" si="319"/>
        <v>0.02</v>
      </c>
    </row>
    <row r="4062" spans="1:19" x14ac:dyDescent="0.3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e">
        <f>VLOOKUP('Customer Info'!B4054,'Customer Info'!B4054:B4553,1,0)</f>
        <v>#N/A</v>
      </c>
      <c r="H4062" s="6" t="e">
        <f>VLOOKUP('Customer Info'!C4054,'Customer Info'!C4054:C4553,1)</f>
        <v>#N/A</v>
      </c>
      <c r="I4062" s="6" t="e">
        <f>VLOOKUP('Customer Info'!E4054,'Customer Info'!E4054:E4553,1,0)</f>
        <v>#N/A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156</v>
      </c>
      <c r="R4062" s="2" t="s">
        <v>28</v>
      </c>
      <c r="S4062" s="9">
        <f t="shared" si="319"/>
        <v>0.02</v>
      </c>
    </row>
    <row r="4063" spans="1:19" x14ac:dyDescent="0.3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e">
        <f>VLOOKUP('Customer Info'!B4055,'Customer Info'!B4055:B4554,1,0)</f>
        <v>#N/A</v>
      </c>
      <c r="H4063" s="6" t="e">
        <f>VLOOKUP('Customer Info'!C4055,'Customer Info'!C4055:C4554,1)</f>
        <v>#N/A</v>
      </c>
      <c r="I4063" s="6" t="e">
        <f>VLOOKUP('Customer Info'!E4055,'Customer Info'!E4055:E4554,1,0)</f>
        <v>#N/A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79</v>
      </c>
      <c r="R4063" s="2" t="s">
        <v>50</v>
      </c>
      <c r="S4063" s="9">
        <f t="shared" si="319"/>
        <v>0.02</v>
      </c>
    </row>
    <row r="4064" spans="1:19" x14ac:dyDescent="0.3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e">
        <f>VLOOKUP('Customer Info'!B4056,'Customer Info'!B4056:B4555,1,0)</f>
        <v>#N/A</v>
      </c>
      <c r="H4064" s="6" t="e">
        <f>VLOOKUP('Customer Info'!C4056,'Customer Info'!C4056:C4555,1)</f>
        <v>#N/A</v>
      </c>
      <c r="I4064" s="6" t="e">
        <f>VLOOKUP('Customer Info'!E4056,'Customer Info'!E4056:E4555,1,0)</f>
        <v>#N/A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516</v>
      </c>
      <c r="R4064" s="2" t="s">
        <v>50</v>
      </c>
      <c r="S4064" s="9">
        <f t="shared" si="319"/>
        <v>0.05</v>
      </c>
    </row>
    <row r="4065" spans="1:19" x14ac:dyDescent="0.3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e">
        <f>VLOOKUP('Customer Info'!B4057,'Customer Info'!B4057:B4556,1,0)</f>
        <v>#N/A</v>
      </c>
      <c r="H4065" s="6" t="e">
        <f>VLOOKUP('Customer Info'!C4057,'Customer Info'!C4057:C4556,1)</f>
        <v>#N/A</v>
      </c>
      <c r="I4065" s="6" t="e">
        <f>VLOOKUP('Customer Info'!E4057,'Customer Info'!E4057:E4556,1,0)</f>
        <v>#N/A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56</v>
      </c>
      <c r="R4065" s="2" t="s">
        <v>28</v>
      </c>
      <c r="S4065" s="9">
        <f t="shared" si="319"/>
        <v>0.02</v>
      </c>
    </row>
    <row r="4066" spans="1:19" x14ac:dyDescent="0.3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e">
        <f>VLOOKUP('Customer Info'!B4058,'Customer Info'!B4058:B4557,1,0)</f>
        <v>#N/A</v>
      </c>
      <c r="H4066" s="6" t="e">
        <f>VLOOKUP('Customer Info'!C4058,'Customer Info'!C4058:C4557,1)</f>
        <v>#N/A</v>
      </c>
      <c r="I4066" s="6" t="e">
        <f>VLOOKUP('Customer Info'!E4058,'Customer Info'!E4058:E4557,1,0)</f>
        <v>#N/A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16</v>
      </c>
      <c r="R4066" s="2" t="s">
        <v>50</v>
      </c>
      <c r="S4066" s="9">
        <f t="shared" si="319"/>
        <v>0.02</v>
      </c>
    </row>
    <row r="4067" spans="1:19" x14ac:dyDescent="0.3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e">
        <f>VLOOKUP('Customer Info'!B4059,'Customer Info'!B4059:B4558,1,0)</f>
        <v>#N/A</v>
      </c>
      <c r="H4067" s="6" t="e">
        <f>VLOOKUP('Customer Info'!C4059,'Customer Info'!C4059:C4558,1)</f>
        <v>#N/A</v>
      </c>
      <c r="I4067" s="6" t="e">
        <f>VLOOKUP('Customer Info'!E4059,'Customer Info'!E4059:E4558,1,0)</f>
        <v>#N/A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36</v>
      </c>
      <c r="R4067" s="2" t="s">
        <v>28</v>
      </c>
      <c r="S4067" s="9">
        <f t="shared" si="319"/>
        <v>0.02</v>
      </c>
    </row>
    <row r="4068" spans="1:19" x14ac:dyDescent="0.3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e">
        <f>VLOOKUP('Customer Info'!B4060,'Customer Info'!B4060:B4559,1,0)</f>
        <v>#N/A</v>
      </c>
      <c r="H4068" s="6" t="e">
        <f>VLOOKUP('Customer Info'!C4060,'Customer Info'!C4060:C4559,1)</f>
        <v>#N/A</v>
      </c>
      <c r="I4068" s="6" t="e">
        <f>VLOOKUP('Customer Info'!E4060,'Customer Info'!E4060:E4559,1,0)</f>
        <v>#N/A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12</v>
      </c>
      <c r="R4068" s="2" t="s">
        <v>50</v>
      </c>
      <c r="S4068" s="9">
        <f t="shared" si="319"/>
        <v>0.02</v>
      </c>
    </row>
    <row r="4069" spans="1:19" x14ac:dyDescent="0.3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e">
        <f>VLOOKUP('Customer Info'!B4061,'Customer Info'!B4061:B4560,1,0)</f>
        <v>#N/A</v>
      </c>
      <c r="H4069" s="6" t="e">
        <f>VLOOKUP('Customer Info'!C4061,'Customer Info'!C4061:C4560,1)</f>
        <v>#N/A</v>
      </c>
      <c r="I4069" s="6" t="e">
        <f>VLOOKUP('Customer Info'!E4061,'Customer Info'!E4061:E4560,1,0)</f>
        <v>#N/A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312</v>
      </c>
      <c r="R4069" s="2" t="s">
        <v>56</v>
      </c>
      <c r="S4069" s="9">
        <f t="shared" si="319"/>
        <v>0.05</v>
      </c>
    </row>
    <row r="4070" spans="1:19" x14ac:dyDescent="0.3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e">
        <f>VLOOKUP('Customer Info'!B4062,'Customer Info'!B4062:B4561,1,0)</f>
        <v>#N/A</v>
      </c>
      <c r="H4070" s="6" t="e">
        <f>VLOOKUP('Customer Info'!C4062,'Customer Info'!C4062:C4561,1)</f>
        <v>#N/A</v>
      </c>
      <c r="I4070" s="6" t="e">
        <f>VLOOKUP('Customer Info'!E4062,'Customer Info'!E4062:E4561,1,0)</f>
        <v>#N/A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130</v>
      </c>
      <c r="R4070" s="2" t="s">
        <v>28</v>
      </c>
      <c r="S4070" s="9">
        <f t="shared" si="319"/>
        <v>0.02</v>
      </c>
    </row>
    <row r="4071" spans="1:19" x14ac:dyDescent="0.3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e">
        <f>VLOOKUP('Customer Info'!B4063,'Customer Info'!B4063:B4562,1,0)</f>
        <v>#N/A</v>
      </c>
      <c r="H4071" s="6" t="e">
        <f>VLOOKUP('Customer Info'!C4063,'Customer Info'!C4063:C4562,1)</f>
        <v>#N/A</v>
      </c>
      <c r="I4071" s="6" t="e">
        <f>VLOOKUP('Customer Info'!E4063,'Customer Info'!E4063:E4562,1,0)</f>
        <v>#N/A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10</v>
      </c>
      <c r="R4071" s="2" t="s">
        <v>26</v>
      </c>
      <c r="S4071" s="9">
        <f t="shared" si="319"/>
        <v>0.02</v>
      </c>
    </row>
    <row r="4072" spans="1:19" x14ac:dyDescent="0.3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e">
        <f>VLOOKUP('Customer Info'!B4064,'Customer Info'!B4064:B4563,1,0)</f>
        <v>#N/A</v>
      </c>
      <c r="H4072" s="6" t="e">
        <f>VLOOKUP('Customer Info'!C4064,'Customer Info'!C4064:C4563,1)</f>
        <v>#N/A</v>
      </c>
      <c r="I4072" s="6" t="e">
        <f>VLOOKUP('Customer Info'!E4064,'Customer Info'!E4064:E4563,1,0)</f>
        <v>#N/A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4546</v>
      </c>
      <c r="R4072" s="2" t="s">
        <v>28</v>
      </c>
      <c r="S4072" s="9">
        <f t="shared" si="319"/>
        <v>7.0000000000000007E-2</v>
      </c>
    </row>
    <row r="4073" spans="1:19" x14ac:dyDescent="0.3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e">
        <f>VLOOKUP('Customer Info'!B4065,'Customer Info'!B4065:B4564,1,0)</f>
        <v>#N/A</v>
      </c>
      <c r="H4073" s="6" t="e">
        <f>VLOOKUP('Customer Info'!C4065,'Customer Info'!C4065:C4564,1)</f>
        <v>#N/A</v>
      </c>
      <c r="I4073" s="6" t="e">
        <f>VLOOKUP('Customer Info'!E4065,'Customer Info'!E4065:E4564,1,0)</f>
        <v>#N/A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60</v>
      </c>
      <c r="R4073" s="2" t="s">
        <v>28</v>
      </c>
      <c r="S4073" s="9">
        <f t="shared" si="319"/>
        <v>0.02</v>
      </c>
    </row>
    <row r="4074" spans="1:19" x14ac:dyDescent="0.3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e">
        <f>VLOOKUP('Customer Info'!B4066,'Customer Info'!B4066:B4565,1,0)</f>
        <v>#N/A</v>
      </c>
      <c r="H4074" s="6" t="e">
        <f>VLOOKUP('Customer Info'!C4066,'Customer Info'!C4066:C4565,1)</f>
        <v>#N/A</v>
      </c>
      <c r="I4074" s="6" t="e">
        <f>VLOOKUP('Customer Info'!E4066,'Customer Info'!E4066:E4565,1,0)</f>
        <v>#N/A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240</v>
      </c>
      <c r="R4074" s="2" t="s">
        <v>28</v>
      </c>
      <c r="S4074" s="9">
        <f t="shared" si="319"/>
        <v>0.05</v>
      </c>
    </row>
    <row r="4075" spans="1:19" x14ac:dyDescent="0.3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e">
        <f>VLOOKUP('Customer Info'!B4067,'Customer Info'!B4067:B4566,1,0)</f>
        <v>#N/A</v>
      </c>
      <c r="H4075" s="6" t="e">
        <f>VLOOKUP('Customer Info'!C4067,'Customer Info'!C4067:C4566,1)</f>
        <v>#N/A</v>
      </c>
      <c r="I4075" s="6" t="e">
        <f>VLOOKUP('Customer Info'!E4067,'Customer Info'!E4067:E4566,1,0)</f>
        <v>#N/A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18</v>
      </c>
      <c r="R4075" s="2" t="s">
        <v>28</v>
      </c>
      <c r="S4075" s="9">
        <f t="shared" si="319"/>
        <v>0.02</v>
      </c>
    </row>
    <row r="4076" spans="1:19" x14ac:dyDescent="0.3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e">
        <f>VLOOKUP('Customer Info'!B4068,'Customer Info'!B4068:B4567,1,0)</f>
        <v>#N/A</v>
      </c>
      <c r="H4076" s="6" t="e">
        <f>VLOOKUP('Customer Info'!C4068,'Customer Info'!C4068:C4567,1)</f>
        <v>#N/A</v>
      </c>
      <c r="I4076" s="6" t="e">
        <f>VLOOKUP('Customer Info'!E4068,'Customer Info'!E4068:E4567,1,0)</f>
        <v>#N/A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118</v>
      </c>
      <c r="R4076" s="2" t="s">
        <v>50</v>
      </c>
      <c r="S4076" s="9">
        <f t="shared" si="319"/>
        <v>0.02</v>
      </c>
    </row>
    <row r="4077" spans="1:19" x14ac:dyDescent="0.3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e">
        <f>VLOOKUP('Customer Info'!B4069,'Customer Info'!B4069:B4568,1,0)</f>
        <v>#N/A</v>
      </c>
      <c r="H4077" s="6" t="e">
        <f>VLOOKUP('Customer Info'!C4069,'Customer Info'!C4069:C4568,1)</f>
        <v>#N/A</v>
      </c>
      <c r="I4077" s="6" t="e">
        <f>VLOOKUP('Customer Info'!E4069,'Customer Info'!E4069:E4568,1,0)</f>
        <v>#N/A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333</v>
      </c>
      <c r="R4077" s="2" t="s">
        <v>50</v>
      </c>
      <c r="S4077" s="9">
        <f t="shared" si="319"/>
        <v>0.02</v>
      </c>
    </row>
    <row r="4078" spans="1:19" x14ac:dyDescent="0.3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e">
        <f>VLOOKUP('Customer Info'!B4070,'Customer Info'!B4070:B4569,1,0)</f>
        <v>#N/A</v>
      </c>
      <c r="H4078" s="6" t="e">
        <f>VLOOKUP('Customer Info'!C4070,'Customer Info'!C4070:C4569,1)</f>
        <v>#N/A</v>
      </c>
      <c r="I4078" s="6" t="e">
        <f>VLOOKUP('Customer Info'!E4070,'Customer Info'!E4070:E4569,1,0)</f>
        <v>#N/A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413</v>
      </c>
      <c r="R4078" s="2" t="s">
        <v>28</v>
      </c>
      <c r="S4078" s="9">
        <f t="shared" si="319"/>
        <v>0.05</v>
      </c>
    </row>
    <row r="4079" spans="1:19" x14ac:dyDescent="0.3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e">
        <f>VLOOKUP('Customer Info'!B4071,'Customer Info'!B4071:B4570,1,0)</f>
        <v>#N/A</v>
      </c>
      <c r="H4079" s="6" t="e">
        <f>VLOOKUP('Customer Info'!C4071,'Customer Info'!C4071:C4570,1)</f>
        <v>#N/A</v>
      </c>
      <c r="I4079" s="6" t="e">
        <f>VLOOKUP('Customer Info'!E4071,'Customer Info'!E4071:E4570,1,0)</f>
        <v>#N/A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770</v>
      </c>
      <c r="R4079" s="2" t="s">
        <v>28</v>
      </c>
      <c r="S4079" s="9">
        <f t="shared" si="319"/>
        <v>7.0000000000000007E-2</v>
      </c>
    </row>
    <row r="4080" spans="1:19" x14ac:dyDescent="0.3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e">
        <f>VLOOKUP('Customer Info'!B4072,'Customer Info'!B4072:B4571,1,0)</f>
        <v>#N/A</v>
      </c>
      <c r="H4080" s="6" t="e">
        <f>VLOOKUP('Customer Info'!C4072,'Customer Info'!C4072:C4571,1)</f>
        <v>#N/A</v>
      </c>
      <c r="I4080" s="6" t="e">
        <f>VLOOKUP('Customer Info'!E4072,'Customer Info'!E4072:E4571,1,0)</f>
        <v>#N/A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176</v>
      </c>
      <c r="R4080" s="2" t="s">
        <v>56</v>
      </c>
      <c r="S4080" s="9">
        <f t="shared" si="319"/>
        <v>0.02</v>
      </c>
    </row>
    <row r="4081" spans="1:19" x14ac:dyDescent="0.3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e">
        <f>VLOOKUP('Customer Info'!B4073,'Customer Info'!B4073:B4572,1,0)</f>
        <v>#N/A</v>
      </c>
      <c r="H4081" s="6" t="e">
        <f>VLOOKUP('Customer Info'!C4073,'Customer Info'!C4073:C4572,1)</f>
        <v>#N/A</v>
      </c>
      <c r="I4081" s="6" t="e">
        <f>VLOOKUP('Customer Info'!E4073,'Customer Info'!E4073:E4572,1,0)</f>
        <v>#N/A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20</v>
      </c>
      <c r="R4081" s="2" t="s">
        <v>50</v>
      </c>
      <c r="S4081" s="9">
        <f t="shared" si="319"/>
        <v>0.02</v>
      </c>
    </row>
    <row r="4082" spans="1:19" x14ac:dyDescent="0.3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e">
        <f>VLOOKUP('Customer Info'!B4074,'Customer Info'!B4074:B4573,1,0)</f>
        <v>#N/A</v>
      </c>
      <c r="H4082" s="6" t="e">
        <f>VLOOKUP('Customer Info'!C4074,'Customer Info'!C4074:C4573,1)</f>
        <v>#N/A</v>
      </c>
      <c r="I4082" s="6" t="e">
        <f>VLOOKUP('Customer Info'!E4074,'Customer Info'!E4074:E4573,1,0)</f>
        <v>#N/A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225</v>
      </c>
      <c r="R4082" s="2" t="s">
        <v>50</v>
      </c>
      <c r="S4082" s="9">
        <f t="shared" si="319"/>
        <v>0.05</v>
      </c>
    </row>
    <row r="4083" spans="1:19" x14ac:dyDescent="0.3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e">
        <f>VLOOKUP('Customer Info'!B4075,'Customer Info'!B4075:B4574,1,0)</f>
        <v>#N/A</v>
      </c>
      <c r="H4083" s="6" t="e">
        <f>VLOOKUP('Customer Info'!C4075,'Customer Info'!C4075:C4574,1)</f>
        <v>#N/A</v>
      </c>
      <c r="I4083" s="6" t="e">
        <f>VLOOKUP('Customer Info'!E4075,'Customer Info'!E4075:E4574,1,0)</f>
        <v>#N/A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364</v>
      </c>
      <c r="R4083" s="2" t="s">
        <v>28</v>
      </c>
      <c r="S4083" s="9">
        <f t="shared" si="319"/>
        <v>0.05</v>
      </c>
    </row>
    <row r="4084" spans="1:19" x14ac:dyDescent="0.3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e">
        <f>VLOOKUP('Customer Info'!B4076,'Customer Info'!B4076:B4575,1,0)</f>
        <v>#N/A</v>
      </c>
      <c r="H4084" s="6" t="e">
        <f>VLOOKUP('Customer Info'!C4076,'Customer Info'!C4076:C4575,1)</f>
        <v>#N/A</v>
      </c>
      <c r="I4084" s="6" t="e">
        <f>VLOOKUP('Customer Info'!E4076,'Customer Info'!E4076:E4575,1,0)</f>
        <v>#N/A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3648</v>
      </c>
      <c r="R4084" s="2" t="s">
        <v>28</v>
      </c>
      <c r="S4084" s="9">
        <f t="shared" si="319"/>
        <v>7.0000000000000007E-2</v>
      </c>
    </row>
    <row r="4085" spans="1:19" x14ac:dyDescent="0.3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e">
        <f>VLOOKUP('Customer Info'!B4077,'Customer Info'!B4077:B4576,1,0)</f>
        <v>#N/A</v>
      </c>
      <c r="H4085" s="6" t="e">
        <f>VLOOKUP('Customer Info'!C4077,'Customer Info'!C4077:C4576,1)</f>
        <v>#N/A</v>
      </c>
      <c r="I4085" s="6" t="e">
        <f>VLOOKUP('Customer Info'!E4077,'Customer Info'!E4077:E4576,1,0)</f>
        <v>#N/A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12</v>
      </c>
      <c r="R4085" s="2" t="s">
        <v>28</v>
      </c>
      <c r="S4085" s="9">
        <f t="shared" si="319"/>
        <v>0.02</v>
      </c>
    </row>
    <row r="4086" spans="1:19" x14ac:dyDescent="0.3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e">
        <f>VLOOKUP('Customer Info'!B4078,'Customer Info'!B4078:B4577,1,0)</f>
        <v>#N/A</v>
      </c>
      <c r="H4086" s="6" t="e">
        <f>VLOOKUP('Customer Info'!C4078,'Customer Info'!C4078:C4577,1)</f>
        <v>#N/A</v>
      </c>
      <c r="I4086" s="6" t="e">
        <f>VLOOKUP('Customer Info'!E4078,'Customer Info'!E4078:E4577,1,0)</f>
        <v>#N/A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335</v>
      </c>
      <c r="R4086" s="2" t="s">
        <v>50</v>
      </c>
      <c r="S4086" s="9">
        <f t="shared" si="319"/>
        <v>0.05</v>
      </c>
    </row>
    <row r="4087" spans="1:19" x14ac:dyDescent="0.3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e">
        <f>VLOOKUP('Customer Info'!B4079,'Customer Info'!B4079:B4578,1,0)</f>
        <v>#N/A</v>
      </c>
      <c r="H4087" s="6" t="e">
        <f>VLOOKUP('Customer Info'!C4079,'Customer Info'!C4079:C4578,1)</f>
        <v>#N/A</v>
      </c>
      <c r="I4087" s="6" t="e">
        <f>VLOOKUP('Customer Info'!E4079,'Customer Info'!E4079:E4578,1,0)</f>
        <v>#N/A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6939</v>
      </c>
      <c r="R4087" s="2" t="s">
        <v>50</v>
      </c>
      <c r="S4087" s="9">
        <f t="shared" si="319"/>
        <v>0.12</v>
      </c>
    </row>
    <row r="4088" spans="1:19" x14ac:dyDescent="0.3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e">
        <f>VLOOKUP('Customer Info'!B4080,'Customer Info'!B4080:B4579,1,0)</f>
        <v>#N/A</v>
      </c>
      <c r="H4088" s="6" t="e">
        <f>VLOOKUP('Customer Info'!C4080,'Customer Info'!C4080:C4579,1)</f>
        <v>#N/A</v>
      </c>
      <c r="I4088" s="6" t="e">
        <f>VLOOKUP('Customer Info'!E4080,'Customer Info'!E4080:E4579,1,0)</f>
        <v>#N/A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384</v>
      </c>
      <c r="R4088" s="2" t="s">
        <v>50</v>
      </c>
      <c r="S4088" s="9">
        <f t="shared" si="319"/>
        <v>0.02</v>
      </c>
    </row>
    <row r="4089" spans="1:19" x14ac:dyDescent="0.3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e">
        <f>VLOOKUP('Customer Info'!B4081,'Customer Info'!B4081:B4580,1,0)</f>
        <v>#N/A</v>
      </c>
      <c r="H4089" s="6" t="e">
        <f>VLOOKUP('Customer Info'!C4081,'Customer Info'!C4081:C4580,1)</f>
        <v>#N/A</v>
      </c>
      <c r="I4089" s="6" t="e">
        <f>VLOOKUP('Customer Info'!E4081,'Customer Info'!E4081:E4580,1,0)</f>
        <v>#N/A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472</v>
      </c>
      <c r="R4089" s="2" t="s">
        <v>50</v>
      </c>
      <c r="S4089" s="9">
        <f t="shared" si="319"/>
        <v>0.05</v>
      </c>
    </row>
    <row r="4090" spans="1:19" x14ac:dyDescent="0.3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e">
        <f>VLOOKUP('Customer Info'!B4082,'Customer Info'!B4082:B4581,1,0)</f>
        <v>#N/A</v>
      </c>
      <c r="H4090" s="6" t="e">
        <f>VLOOKUP('Customer Info'!C4082,'Customer Info'!C4082:C4581,1)</f>
        <v>#N/A</v>
      </c>
      <c r="I4090" s="6" t="e">
        <f>VLOOKUP('Customer Info'!E4082,'Customer Info'!E4082:E4581,1,0)</f>
        <v>#N/A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702</v>
      </c>
      <c r="R4090" s="2" t="s">
        <v>28</v>
      </c>
      <c r="S4090" s="9">
        <f t="shared" si="319"/>
        <v>0.05</v>
      </c>
    </row>
    <row r="4091" spans="1:19" x14ac:dyDescent="0.3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e">
        <f>VLOOKUP('Customer Info'!B4083,'Customer Info'!B4083:B4582,1,0)</f>
        <v>#N/A</v>
      </c>
      <c r="H4091" s="6" t="e">
        <f>VLOOKUP('Customer Info'!C4083,'Customer Info'!C4083:C4582,1)</f>
        <v>#N/A</v>
      </c>
      <c r="I4091" s="6" t="e">
        <f>VLOOKUP('Customer Info'!E4083,'Customer Info'!E4083:E4582,1,0)</f>
        <v>#N/A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446</v>
      </c>
      <c r="R4091" s="2" t="s">
        <v>50</v>
      </c>
      <c r="S4091" s="9">
        <f t="shared" si="319"/>
        <v>0.05</v>
      </c>
    </row>
    <row r="4092" spans="1:19" x14ac:dyDescent="0.3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e">
        <f>VLOOKUP('Customer Info'!B4084,'Customer Info'!B4084:B4583,1,0)</f>
        <v>#N/A</v>
      </c>
      <c r="H4092" s="6" t="e">
        <f>VLOOKUP('Customer Info'!C4084,'Customer Info'!C4084:C4583,1)</f>
        <v>#N/A</v>
      </c>
      <c r="I4092" s="6" t="e">
        <f>VLOOKUP('Customer Info'!E4084,'Customer Info'!E4084:E4583,1,0)</f>
        <v>#N/A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129</v>
      </c>
      <c r="R4092" s="2" t="s">
        <v>28</v>
      </c>
      <c r="S4092" s="9">
        <f t="shared" si="319"/>
        <v>0.05</v>
      </c>
    </row>
    <row r="4093" spans="1:19" x14ac:dyDescent="0.3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e">
        <f>VLOOKUP('Customer Info'!B4085,'Customer Info'!B4085:B4584,1,0)</f>
        <v>#N/A</v>
      </c>
      <c r="H4093" s="6" t="e">
        <f>VLOOKUP('Customer Info'!C4085,'Customer Info'!C4085:C4584,1)</f>
        <v>#N/A</v>
      </c>
      <c r="I4093" s="6" t="e">
        <f>VLOOKUP('Customer Info'!E4085,'Customer Info'!E4085:E4584,1,0)</f>
        <v>#N/A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45</v>
      </c>
      <c r="R4093" s="2" t="s">
        <v>28</v>
      </c>
      <c r="S4093" s="9">
        <f t="shared" si="319"/>
        <v>0.02</v>
      </c>
    </row>
    <row r="4094" spans="1:19" x14ac:dyDescent="0.3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e">
        <f>VLOOKUP('Customer Info'!B4086,'Customer Info'!B4086:B4585,1,0)</f>
        <v>#N/A</v>
      </c>
      <c r="H4094" s="6" t="e">
        <f>VLOOKUP('Customer Info'!C4086,'Customer Info'!C4086:C4585,1)</f>
        <v>#N/A</v>
      </c>
      <c r="I4094" s="6" t="e">
        <f>VLOOKUP('Customer Info'!E4086,'Customer Info'!E4086:E4585,1,0)</f>
        <v>#N/A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2925</v>
      </c>
      <c r="R4094" s="2" t="s">
        <v>50</v>
      </c>
      <c r="S4094" s="9">
        <f t="shared" si="319"/>
        <v>7.0000000000000007E-2</v>
      </c>
    </row>
    <row r="4095" spans="1:19" x14ac:dyDescent="0.3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e">
        <f>VLOOKUP('Customer Info'!B4087,'Customer Info'!B4087:B4586,1,0)</f>
        <v>#N/A</v>
      </c>
      <c r="H4095" s="6" t="e">
        <f>VLOOKUP('Customer Info'!C4087,'Customer Info'!C4087:C4586,1)</f>
        <v>#N/A</v>
      </c>
      <c r="I4095" s="6" t="e">
        <f>VLOOKUP('Customer Info'!E4087,'Customer Info'!E4087:E4586,1,0)</f>
        <v>#N/A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356</v>
      </c>
      <c r="R4095" s="2" t="s">
        <v>50</v>
      </c>
      <c r="S4095" s="9">
        <f t="shared" si="319"/>
        <v>0.02</v>
      </c>
    </row>
    <row r="4096" spans="1:19" x14ac:dyDescent="0.3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e">
        <f>VLOOKUP('Customer Info'!B4088,'Customer Info'!B4088:B4587,1,0)</f>
        <v>#N/A</v>
      </c>
      <c r="H4096" s="6" t="e">
        <f>VLOOKUP('Customer Info'!C4088,'Customer Info'!C4088:C4587,1)</f>
        <v>#N/A</v>
      </c>
      <c r="I4096" s="6" t="e">
        <f>VLOOKUP('Customer Info'!E4088,'Customer Info'!E4088:E4587,1,0)</f>
        <v>#N/A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32</v>
      </c>
      <c r="R4096" s="2" t="s">
        <v>28</v>
      </c>
      <c r="S4096" s="9">
        <f t="shared" si="319"/>
        <v>0.02</v>
      </c>
    </row>
    <row r="4097" spans="1:19" x14ac:dyDescent="0.3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e">
        <f>VLOOKUP('Customer Info'!B4089,'Customer Info'!B4089:B4588,1,0)</f>
        <v>#N/A</v>
      </c>
      <c r="H4097" s="6" t="e">
        <f>VLOOKUP('Customer Info'!C4089,'Customer Info'!C4089:C4588,1)</f>
        <v>#N/A</v>
      </c>
      <c r="I4097" s="6" t="e">
        <f>VLOOKUP('Customer Info'!E4089,'Customer Info'!E4089:E4588,1,0)</f>
        <v>#N/A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117</v>
      </c>
      <c r="R4097" s="2" t="s">
        <v>50</v>
      </c>
      <c r="S4097" s="9">
        <f t="shared" si="319"/>
        <v>0.02</v>
      </c>
    </row>
    <row r="4098" spans="1:19" x14ac:dyDescent="0.3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e">
        <f>VLOOKUP('Customer Info'!B4090,'Customer Info'!B4090:B4589,1,0)</f>
        <v>#N/A</v>
      </c>
      <c r="H4098" s="6" t="e">
        <f>VLOOKUP('Customer Info'!C4090,'Customer Info'!C4090:C4589,1)</f>
        <v>#N/A</v>
      </c>
      <c r="I4098" s="6" t="e">
        <f>VLOOKUP('Customer Info'!E4090,'Customer Info'!E4090:E4589,1,0)</f>
        <v>#N/A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2268</v>
      </c>
      <c r="R4098" s="2" t="s">
        <v>28</v>
      </c>
      <c r="S4098" s="9">
        <f t="shared" si="319"/>
        <v>0.09</v>
      </c>
    </row>
    <row r="4099" spans="1:19" x14ac:dyDescent="0.3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e">
        <f>VLOOKUP('Customer Info'!B4091,'Customer Info'!B4091:B4590,1,0)</f>
        <v>#N/A</v>
      </c>
      <c r="H4099" s="6" t="e">
        <f>VLOOKUP('Customer Info'!C4091,'Customer Info'!C4091:C4590,1)</f>
        <v>#N/A</v>
      </c>
      <c r="I4099" s="6" t="e">
        <f>VLOOKUP('Customer Info'!E4091,'Customer Info'!E4091:E4590,1,0)</f>
        <v>#N/A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48</v>
      </c>
      <c r="R4099" s="2" t="s">
        <v>50</v>
      </c>
      <c r="S4099" s="9">
        <f t="shared" si="319"/>
        <v>0.02</v>
      </c>
    </row>
    <row r="4100" spans="1:19" x14ac:dyDescent="0.3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e">
        <f>VLOOKUP('Customer Info'!B4092,'Customer Info'!B4092:B4591,1,0)</f>
        <v>#N/A</v>
      </c>
      <c r="H4100" s="6" t="e">
        <f>VLOOKUP('Customer Info'!C4092,'Customer Info'!C4092:C4591,1)</f>
        <v>#N/A</v>
      </c>
      <c r="I4100" s="6" t="e">
        <f>VLOOKUP('Customer Info'!E4092,'Customer Info'!E4092:E4591,1,0)</f>
        <v>#N/A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600</v>
      </c>
      <c r="R4100" s="2" t="s">
        <v>28</v>
      </c>
      <c r="S4100" s="9">
        <f t="shared" si="319"/>
        <v>0.05</v>
      </c>
    </row>
    <row r="4101" spans="1:19" x14ac:dyDescent="0.3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e">
        <f>VLOOKUP('Customer Info'!B4093,'Customer Info'!B4093:B4592,1,0)</f>
        <v>#N/A</v>
      </c>
      <c r="H4101" s="6" t="e">
        <f>VLOOKUP('Customer Info'!C4093,'Customer Info'!C4093:C4592,1)</f>
        <v>#N/A</v>
      </c>
      <c r="I4101" s="6" t="e">
        <f>VLOOKUP('Customer Info'!E4093,'Customer Info'!E4093:E4592,1,0)</f>
        <v>#N/A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354</v>
      </c>
      <c r="R4101" s="2" t="s">
        <v>56</v>
      </c>
      <c r="S4101" s="9">
        <f t="shared" si="319"/>
        <v>0.02</v>
      </c>
    </row>
    <row r="4102" spans="1:19" x14ac:dyDescent="0.3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e">
        <f>VLOOKUP('Customer Info'!B4094,'Customer Info'!B4094:B4593,1,0)</f>
        <v>#N/A</v>
      </c>
      <c r="H4102" s="6" t="e">
        <f>VLOOKUP('Customer Info'!C4094,'Customer Info'!C4094:C4593,1)</f>
        <v>#N/A</v>
      </c>
      <c r="I4102" s="6" t="e">
        <f>VLOOKUP('Customer Info'!E4094,'Customer Info'!E4094:E4593,1,0)</f>
        <v>#N/A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100</v>
      </c>
      <c r="R4102" s="2" t="s">
        <v>26</v>
      </c>
      <c r="S4102" s="9">
        <f t="shared" si="319"/>
        <v>0.02</v>
      </c>
    </row>
    <row r="4103" spans="1:19" x14ac:dyDescent="0.3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e">
        <f>VLOOKUP('Customer Info'!B4095,'Customer Info'!B4095:B4594,1,0)</f>
        <v>#N/A</v>
      </c>
      <c r="H4103" s="6" t="e">
        <f>VLOOKUP('Customer Info'!C4095,'Customer Info'!C4095:C4594,1)</f>
        <v>#N/A</v>
      </c>
      <c r="I4103" s="6" t="e">
        <f>VLOOKUP('Customer Info'!E4095,'Customer Info'!E4095:E4594,1,0)</f>
        <v>#N/A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1192</v>
      </c>
      <c r="R4103" s="2" t="s">
        <v>50</v>
      </c>
      <c r="S4103" s="9">
        <f t="shared" si="319"/>
        <v>7.0000000000000007E-2</v>
      </c>
    </row>
    <row r="4104" spans="1:19" x14ac:dyDescent="0.3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e">
        <f>VLOOKUP('Customer Info'!B4096,'Customer Info'!B4096:B4595,1,0)</f>
        <v>#N/A</v>
      </c>
      <c r="H4104" s="6" t="e">
        <f>VLOOKUP('Customer Info'!C4096,'Customer Info'!C4096:C4595,1)</f>
        <v>#N/A</v>
      </c>
      <c r="I4104" s="6" t="e">
        <f>VLOOKUP('Customer Info'!E4096,'Customer Info'!E4096:E4595,1,0)</f>
        <v>#N/A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2676</v>
      </c>
      <c r="R4104" s="2" t="s">
        <v>28</v>
      </c>
      <c r="S4104" s="9">
        <f t="shared" si="319"/>
        <v>7.0000000000000007E-2</v>
      </c>
    </row>
    <row r="4105" spans="1:19" x14ac:dyDescent="0.3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e">
        <f>VLOOKUP('Customer Info'!B4097,'Customer Info'!B4097:B4596,1,0)</f>
        <v>#N/A</v>
      </c>
      <c r="H4105" s="6" t="e">
        <f>VLOOKUP('Customer Info'!C4097,'Customer Info'!C4097:C4596,1)</f>
        <v>#N/A</v>
      </c>
      <c r="I4105" s="6" t="e">
        <f>VLOOKUP('Customer Info'!E4097,'Customer Info'!E4097:E4596,1,0)</f>
        <v>#N/A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680</v>
      </c>
      <c r="R4105" s="2" t="s">
        <v>28</v>
      </c>
      <c r="S4105" s="9">
        <f t="shared" si="319"/>
        <v>0.05</v>
      </c>
    </row>
    <row r="4106" spans="1:19" x14ac:dyDescent="0.3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e">
        <f>VLOOKUP('Customer Info'!B4098,'Customer Info'!B4098:B4597,1,0)</f>
        <v>#N/A</v>
      </c>
      <c r="H4106" s="6" t="e">
        <f>VLOOKUP('Customer Info'!C4098,'Customer Info'!C4098:C4597,1)</f>
        <v>#N/A</v>
      </c>
      <c r="I4106" s="6" t="e">
        <f>VLOOKUP('Customer Info'!E4098,'Customer Info'!E4098:E4597,1,0)</f>
        <v>#N/A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368</v>
      </c>
      <c r="R4106" s="2" t="s">
        <v>50</v>
      </c>
      <c r="S4106" s="9">
        <f t="shared" si="319"/>
        <v>0.05</v>
      </c>
    </row>
    <row r="4107" spans="1:19" x14ac:dyDescent="0.3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e">
        <f>VLOOKUP('Customer Info'!B4099,'Customer Info'!B4099:B4598,1,0)</f>
        <v>#N/A</v>
      </c>
      <c r="H4107" s="6" t="e">
        <f>VLOOKUP('Customer Info'!C4099,'Customer Info'!C4099:C4598,1)</f>
        <v>#N/A</v>
      </c>
      <c r="I4107" s="6" t="e">
        <f>VLOOKUP('Customer Info'!E4099,'Customer Info'!E4099:E4598,1,0)</f>
        <v>#N/A</v>
      </c>
      <c r="J4107" s="2">
        <v>1585</v>
      </c>
      <c r="K4107" s="2">
        <v>1495</v>
      </c>
      <c r="L4107" s="2">
        <v>5</v>
      </c>
      <c r="M4107" s="7">
        <f t="shared" ref="M4107:M4170" si="320">(K4107*L4107)</f>
        <v>7475</v>
      </c>
      <c r="N4107" s="7">
        <f t="shared" ref="N4107:N4170" si="321">(J4107*L4107)</f>
        <v>7925</v>
      </c>
      <c r="O4107" s="2">
        <v>73</v>
      </c>
      <c r="P4107" s="8">
        <f t="shared" ref="P4107:P4170" si="322">(N4107+O4107)</f>
        <v>7998</v>
      </c>
      <c r="Q4107" s="8">
        <f t="shared" ref="Q4107:Q4170" si="323">(N4107-M4107)</f>
        <v>450</v>
      </c>
      <c r="R4107" s="2" t="s">
        <v>28</v>
      </c>
      <c r="S4107" s="9">
        <f t="shared" ref="S4107:S4170" si="324">_xlfn.IFS(P4107&gt;250000,0.15,P4107&gt;100000,0.12,P4107&gt;50000,0.09,P4107&gt;25000,0.07,P4107&gt;5000,0.05,
 TRUE,0.02)</f>
        <v>0.05</v>
      </c>
    </row>
    <row r="4108" spans="1:19" x14ac:dyDescent="0.3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e">
        <f>VLOOKUP('Customer Info'!B4100,'Customer Info'!B4100:B4599,1,0)</f>
        <v>#N/A</v>
      </c>
      <c r="H4108" s="6" t="e">
        <f>VLOOKUP('Customer Info'!C4100,'Customer Info'!C4100:C4599,1)</f>
        <v>#N/A</v>
      </c>
      <c r="I4108" s="6" t="e">
        <f>VLOOKUP('Customer Info'!E4100,'Customer Info'!E4100:E4599,1,0)</f>
        <v>#N/A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12</v>
      </c>
      <c r="R4108" s="2" t="s">
        <v>28</v>
      </c>
      <c r="S4108" s="9">
        <f t="shared" si="324"/>
        <v>0.02</v>
      </c>
    </row>
    <row r="4109" spans="1:19" x14ac:dyDescent="0.3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e">
        <f>VLOOKUP('Customer Info'!B4101,'Customer Info'!B4101:B4600,1,0)</f>
        <v>#N/A</v>
      </c>
      <c r="H4109" s="6" t="e">
        <f>VLOOKUP('Customer Info'!C4101,'Customer Info'!C4101:C4600,1)</f>
        <v>#N/A</v>
      </c>
      <c r="I4109" s="6" t="e">
        <f>VLOOKUP('Customer Info'!E4101,'Customer Info'!E4101:E4600,1,0)</f>
        <v>#N/A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708</v>
      </c>
      <c r="R4109" s="2" t="s">
        <v>26</v>
      </c>
      <c r="S4109" s="9">
        <f t="shared" si="324"/>
        <v>0.05</v>
      </c>
    </row>
    <row r="4110" spans="1:19" x14ac:dyDescent="0.3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e">
        <f>VLOOKUP('Customer Info'!B4102,'Customer Info'!B4102:B4601,1,0)</f>
        <v>#N/A</v>
      </c>
      <c r="H4110" s="6" t="e">
        <f>VLOOKUP('Customer Info'!C4102,'Customer Info'!C4102:C4601,1)</f>
        <v>#N/A</v>
      </c>
      <c r="I4110" s="6" t="e">
        <f>VLOOKUP('Customer Info'!E4102,'Customer Info'!E4102:E4601,1,0)</f>
        <v>#N/A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270</v>
      </c>
      <c r="R4110" s="2" t="s">
        <v>28</v>
      </c>
      <c r="S4110" s="9">
        <f t="shared" si="324"/>
        <v>0.02</v>
      </c>
    </row>
    <row r="4111" spans="1:19" x14ac:dyDescent="0.3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e">
        <f>VLOOKUP('Customer Info'!B4103,'Customer Info'!B4103:B4602,1,0)</f>
        <v>#N/A</v>
      </c>
      <c r="H4111" s="6" t="e">
        <f>VLOOKUP('Customer Info'!C4103,'Customer Info'!C4103:C4602,1)</f>
        <v>#N/A</v>
      </c>
      <c r="I4111" s="6" t="e">
        <f>VLOOKUP('Customer Info'!E4103,'Customer Info'!E4103:E4602,1,0)</f>
        <v>#N/A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12</v>
      </c>
      <c r="R4111" s="2" t="s">
        <v>28</v>
      </c>
      <c r="S4111" s="9">
        <f t="shared" si="324"/>
        <v>0.02</v>
      </c>
    </row>
    <row r="4112" spans="1:19" x14ac:dyDescent="0.3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e">
        <f>VLOOKUP('Customer Info'!B4104,'Customer Info'!B4104:B4603,1,0)</f>
        <v>#N/A</v>
      </c>
      <c r="H4112" s="6" t="e">
        <f>VLOOKUP('Customer Info'!C4104,'Customer Info'!C4104:C4603,1)</f>
        <v>#N/A</v>
      </c>
      <c r="I4112" s="6" t="e">
        <f>VLOOKUP('Customer Info'!E4104,'Customer Info'!E4104:E4603,1,0)</f>
        <v>#N/A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118</v>
      </c>
      <c r="R4112" s="2" t="s">
        <v>28</v>
      </c>
      <c r="S4112" s="9">
        <f t="shared" si="324"/>
        <v>0.02</v>
      </c>
    </row>
    <row r="4113" spans="1:19" x14ac:dyDescent="0.3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e">
        <f>VLOOKUP('Customer Info'!B4105,'Customer Info'!B4105:B4604,1,0)</f>
        <v>#N/A</v>
      </c>
      <c r="H4113" s="6" t="e">
        <f>VLOOKUP('Customer Info'!C4105,'Customer Info'!C4105:C4604,1)</f>
        <v>#N/A</v>
      </c>
      <c r="I4113" s="6" t="e">
        <f>VLOOKUP('Customer Info'!E4105,'Customer Info'!E4105:E4604,1,0)</f>
        <v>#N/A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27</v>
      </c>
      <c r="R4113" s="2" t="s">
        <v>26</v>
      </c>
      <c r="S4113" s="9">
        <f t="shared" si="324"/>
        <v>0.02</v>
      </c>
    </row>
    <row r="4114" spans="1:19" x14ac:dyDescent="0.3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e">
        <f>VLOOKUP('Customer Info'!B4106,'Customer Info'!B4106:B4605,1,0)</f>
        <v>#N/A</v>
      </c>
      <c r="H4114" s="6" t="e">
        <f>VLOOKUP('Customer Info'!C4106,'Customer Info'!C4106:C4605,1)</f>
        <v>#N/A</v>
      </c>
      <c r="I4114" s="6" t="e">
        <f>VLOOKUP('Customer Info'!E4106,'Customer Info'!E4106:E4605,1,0)</f>
        <v>#N/A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466</v>
      </c>
      <c r="R4114" s="2" t="s">
        <v>28</v>
      </c>
      <c r="S4114" s="9">
        <f t="shared" si="324"/>
        <v>0.05</v>
      </c>
    </row>
    <row r="4115" spans="1:19" x14ac:dyDescent="0.3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e">
        <f>VLOOKUP('Customer Info'!B4107,'Customer Info'!B4107:B4606,1,0)</f>
        <v>#N/A</v>
      </c>
      <c r="H4115" s="6" t="e">
        <f>VLOOKUP('Customer Info'!C4107,'Customer Info'!C4107:C4606,1)</f>
        <v>#N/A</v>
      </c>
      <c r="I4115" s="6" t="e">
        <f>VLOOKUP('Customer Info'!E4107,'Customer Info'!E4107:E4606,1,0)</f>
        <v>#N/A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1430</v>
      </c>
      <c r="R4115" s="2" t="s">
        <v>28</v>
      </c>
      <c r="S4115" s="9">
        <f t="shared" si="324"/>
        <v>0.05</v>
      </c>
    </row>
    <row r="4116" spans="1:19" x14ac:dyDescent="0.3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e">
        <f>VLOOKUP('Customer Info'!B4108,'Customer Info'!B4108:B4607,1,0)</f>
        <v>#N/A</v>
      </c>
      <c r="H4116" s="6" t="e">
        <f>VLOOKUP('Customer Info'!C4108,'Customer Info'!C4108:C4607,1)</f>
        <v>#N/A</v>
      </c>
      <c r="I4116" s="6" t="e">
        <f>VLOOKUP('Customer Info'!E4108,'Customer Info'!E4108:E4607,1,0)</f>
        <v>#N/A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36</v>
      </c>
      <c r="R4116" s="2" t="s">
        <v>50</v>
      </c>
      <c r="S4116" s="9">
        <f t="shared" si="324"/>
        <v>0.02</v>
      </c>
    </row>
    <row r="4117" spans="1:19" x14ac:dyDescent="0.3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e">
        <f>VLOOKUP('Customer Info'!B4109,'Customer Info'!B4109:B4608,1,0)</f>
        <v>#N/A</v>
      </c>
      <c r="H4117" s="6" t="e">
        <f>VLOOKUP('Customer Info'!C4109,'Customer Info'!C4109:C4608,1)</f>
        <v>#N/A</v>
      </c>
      <c r="I4117" s="6" t="e">
        <f>VLOOKUP('Customer Info'!E4109,'Customer Info'!E4109:E4608,1,0)</f>
        <v>#N/A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765</v>
      </c>
      <c r="R4117" s="2" t="s">
        <v>50</v>
      </c>
      <c r="S4117" s="9">
        <f t="shared" si="324"/>
        <v>0.05</v>
      </c>
    </row>
    <row r="4118" spans="1:19" x14ac:dyDescent="0.3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e">
        <f>VLOOKUP('Customer Info'!B4110,'Customer Info'!B4110:B4609,1,0)</f>
        <v>#N/A</v>
      </c>
      <c r="H4118" s="6" t="e">
        <f>VLOOKUP('Customer Info'!C4110,'Customer Info'!C4110:C4609,1)</f>
        <v>#N/A</v>
      </c>
      <c r="I4118" s="6" t="e">
        <f>VLOOKUP('Customer Info'!E4110,'Customer Info'!E4110:E4609,1,0)</f>
        <v>#N/A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430</v>
      </c>
      <c r="R4118" s="2" t="s">
        <v>28</v>
      </c>
      <c r="S4118" s="9">
        <f t="shared" si="324"/>
        <v>0.05</v>
      </c>
    </row>
    <row r="4119" spans="1:19" x14ac:dyDescent="0.3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e">
        <f>VLOOKUP('Customer Info'!B4111,'Customer Info'!B4111:B4610,1,0)</f>
        <v>#N/A</v>
      </c>
      <c r="H4119" s="6" t="e">
        <f>VLOOKUP('Customer Info'!C4111,'Customer Info'!C4111:C4610,1)</f>
        <v>#N/A</v>
      </c>
      <c r="I4119" s="6" t="e">
        <f>VLOOKUP('Customer Info'!E4111,'Customer Info'!E4111:E4610,1,0)</f>
        <v>#N/A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2025</v>
      </c>
      <c r="R4119" s="2" t="s">
        <v>28</v>
      </c>
      <c r="S4119" s="9">
        <f t="shared" si="324"/>
        <v>0.05</v>
      </c>
    </row>
    <row r="4120" spans="1:19" x14ac:dyDescent="0.3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e">
        <f>VLOOKUP('Customer Info'!B4112,'Customer Info'!B4112:B4611,1,0)</f>
        <v>#N/A</v>
      </c>
      <c r="H4120" s="6" t="e">
        <f>VLOOKUP('Customer Info'!C4112,'Customer Info'!C4112:C4611,1)</f>
        <v>#N/A</v>
      </c>
      <c r="I4120" s="6" t="e">
        <f>VLOOKUP('Customer Info'!E4112,'Customer Info'!E4112:E4611,1,0)</f>
        <v>#N/A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84</v>
      </c>
      <c r="R4120" s="2" t="s">
        <v>50</v>
      </c>
      <c r="S4120" s="9">
        <f t="shared" si="324"/>
        <v>0.02</v>
      </c>
    </row>
    <row r="4121" spans="1:19" x14ac:dyDescent="0.3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e">
        <f>VLOOKUP('Customer Info'!B4113,'Customer Info'!B4113:B4612,1,0)</f>
        <v>#N/A</v>
      </c>
      <c r="H4121" s="6" t="e">
        <f>VLOOKUP('Customer Info'!C4113,'Customer Info'!C4113:C4612,1)</f>
        <v>#N/A</v>
      </c>
      <c r="I4121" s="6" t="e">
        <f>VLOOKUP('Customer Info'!E4113,'Customer Info'!E4113:E4612,1,0)</f>
        <v>#N/A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729</v>
      </c>
      <c r="R4121" s="2" t="s">
        <v>50</v>
      </c>
      <c r="S4121" s="9">
        <f t="shared" si="324"/>
        <v>0.05</v>
      </c>
    </row>
    <row r="4122" spans="1:19" x14ac:dyDescent="0.3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e">
        <f>VLOOKUP('Customer Info'!B4114,'Customer Info'!B4114:B4613,1,0)</f>
        <v>#N/A</v>
      </c>
      <c r="H4122" s="6" t="e">
        <f>VLOOKUP('Customer Info'!C4114,'Customer Info'!C4114:C4613,1)</f>
        <v>#N/A</v>
      </c>
      <c r="I4122" s="6" t="e">
        <f>VLOOKUP('Customer Info'!E4114,'Customer Info'!E4114:E4613,1,0)</f>
        <v>#N/A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489</v>
      </c>
      <c r="R4122" s="2" t="s">
        <v>28</v>
      </c>
      <c r="S4122" s="9">
        <f t="shared" si="324"/>
        <v>0.02</v>
      </c>
    </row>
    <row r="4123" spans="1:19" x14ac:dyDescent="0.3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e">
        <f>VLOOKUP('Customer Info'!B4115,'Customer Info'!B4115:B4614,1,0)</f>
        <v>#N/A</v>
      </c>
      <c r="H4123" s="6" t="e">
        <f>VLOOKUP('Customer Info'!C4115,'Customer Info'!C4115:C4614,1)</f>
        <v>#N/A</v>
      </c>
      <c r="I4123" s="6" t="e">
        <f>VLOOKUP('Customer Info'!E4115,'Customer Info'!E4115:E4614,1,0)</f>
        <v>#N/A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152</v>
      </c>
      <c r="R4123" s="2" t="s">
        <v>28</v>
      </c>
      <c r="S4123" s="9">
        <f t="shared" si="324"/>
        <v>0.02</v>
      </c>
    </row>
    <row r="4124" spans="1:19" x14ac:dyDescent="0.3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e">
        <f>VLOOKUP('Customer Info'!B4116,'Customer Info'!B4116:B4615,1,0)</f>
        <v>#N/A</v>
      </c>
      <c r="H4124" s="6" t="e">
        <f>VLOOKUP('Customer Info'!C4116,'Customer Info'!C4116:C4615,1)</f>
        <v>#N/A</v>
      </c>
      <c r="I4124" s="6" t="e">
        <f>VLOOKUP('Customer Info'!E4116,'Customer Info'!E4116:E4615,1,0)</f>
        <v>#N/A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1284</v>
      </c>
      <c r="R4124" s="2" t="s">
        <v>28</v>
      </c>
      <c r="S4124" s="9">
        <f t="shared" si="324"/>
        <v>0.05</v>
      </c>
    </row>
    <row r="4125" spans="1:19" x14ac:dyDescent="0.3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e">
        <f>VLOOKUP('Customer Info'!B4117,'Customer Info'!B4117:B4616,1,0)</f>
        <v>#N/A</v>
      </c>
      <c r="H4125" s="6" t="e">
        <f>VLOOKUP('Customer Info'!C4117,'Customer Info'!C4117:C4616,1)</f>
        <v>#N/A</v>
      </c>
      <c r="I4125" s="6" t="e">
        <f>VLOOKUP('Customer Info'!E4117,'Customer Info'!E4117:E4616,1,0)</f>
        <v>#N/A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78</v>
      </c>
      <c r="R4125" s="2" t="s">
        <v>28</v>
      </c>
      <c r="S4125" s="9">
        <f t="shared" si="324"/>
        <v>0.02</v>
      </c>
    </row>
    <row r="4126" spans="1:19" x14ac:dyDescent="0.3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e">
        <f>VLOOKUP('Customer Info'!B4118,'Customer Info'!B4118:B4617,1,0)</f>
        <v>#N/A</v>
      </c>
      <c r="H4126" s="6" t="e">
        <f>VLOOKUP('Customer Info'!C4118,'Customer Info'!C4118:C4617,1)</f>
        <v>#N/A</v>
      </c>
      <c r="I4126" s="6" t="e">
        <f>VLOOKUP('Customer Info'!E4118,'Customer Info'!E4118:E4617,1,0)</f>
        <v>#N/A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540</v>
      </c>
      <c r="R4126" s="2" t="s">
        <v>56</v>
      </c>
      <c r="S4126" s="9">
        <f t="shared" si="324"/>
        <v>0.05</v>
      </c>
    </row>
    <row r="4127" spans="1:19" x14ac:dyDescent="0.3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e">
        <f>VLOOKUP('Customer Info'!B4119,'Customer Info'!B4119:B4618,1,0)</f>
        <v>#N/A</v>
      </c>
      <c r="H4127" s="6" t="e">
        <f>VLOOKUP('Customer Info'!C4119,'Customer Info'!C4119:C4618,1)</f>
        <v>#N/A</v>
      </c>
      <c r="I4127" s="6" t="e">
        <f>VLOOKUP('Customer Info'!E4119,'Customer Info'!E4119:E4618,1,0)</f>
        <v>#N/A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14</v>
      </c>
      <c r="R4127" s="2" t="s">
        <v>28</v>
      </c>
      <c r="S4127" s="9">
        <f t="shared" si="324"/>
        <v>0.02</v>
      </c>
    </row>
    <row r="4128" spans="1:19" x14ac:dyDescent="0.3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e">
        <f>VLOOKUP('Customer Info'!B4120,'Customer Info'!B4120:B4619,1,0)</f>
        <v>#N/A</v>
      </c>
      <c r="H4128" s="6" t="e">
        <f>VLOOKUP('Customer Info'!C4120,'Customer Info'!C4120:C4619,1)</f>
        <v>#N/A</v>
      </c>
      <c r="I4128" s="6" t="e">
        <f>VLOOKUP('Customer Info'!E4120,'Customer Info'!E4120:E4619,1,0)</f>
        <v>#N/A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700</v>
      </c>
      <c r="R4128" s="2" t="s">
        <v>26</v>
      </c>
      <c r="S4128" s="9">
        <f t="shared" si="324"/>
        <v>0.05</v>
      </c>
    </row>
    <row r="4129" spans="1:19" x14ac:dyDescent="0.3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e">
        <f>VLOOKUP('Customer Info'!B4121,'Customer Info'!B4121:B4620,1,0)</f>
        <v>#N/A</v>
      </c>
      <c r="H4129" s="6" t="e">
        <f>VLOOKUP('Customer Info'!C4121,'Customer Info'!C4121:C4620,1)</f>
        <v>#N/A</v>
      </c>
      <c r="I4129" s="6" t="e">
        <f>VLOOKUP('Customer Info'!E4121,'Customer Info'!E4121:E4620,1,0)</f>
        <v>#N/A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8</v>
      </c>
      <c r="R4129" s="2" t="s">
        <v>50</v>
      </c>
      <c r="S4129" s="9">
        <f t="shared" si="324"/>
        <v>0.02</v>
      </c>
    </row>
    <row r="4130" spans="1:19" x14ac:dyDescent="0.3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e">
        <f>VLOOKUP('Customer Info'!B4122,'Customer Info'!B4122:B4621,1,0)</f>
        <v>#N/A</v>
      </c>
      <c r="H4130" s="6" t="e">
        <f>VLOOKUP('Customer Info'!C4122,'Customer Info'!C4122:C4621,1)</f>
        <v>#N/A</v>
      </c>
      <c r="I4130" s="6" t="e">
        <f>VLOOKUP('Customer Info'!E4122,'Customer Info'!E4122:E4621,1,0)</f>
        <v>#N/A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92</v>
      </c>
      <c r="R4130" s="2" t="s">
        <v>28</v>
      </c>
      <c r="S4130" s="9">
        <f t="shared" si="324"/>
        <v>0.02</v>
      </c>
    </row>
    <row r="4131" spans="1:19" x14ac:dyDescent="0.3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e">
        <f>VLOOKUP('Customer Info'!B4123,'Customer Info'!B4123:B4622,1,0)</f>
        <v>#N/A</v>
      </c>
      <c r="H4131" s="6" t="e">
        <f>VLOOKUP('Customer Info'!C4123,'Customer Info'!C4123:C4622,1)</f>
        <v>#N/A</v>
      </c>
      <c r="I4131" s="6" t="e">
        <f>VLOOKUP('Customer Info'!E4123,'Customer Info'!E4123:E4622,1,0)</f>
        <v>#N/A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576</v>
      </c>
      <c r="R4131" s="2" t="s">
        <v>50</v>
      </c>
      <c r="S4131" s="9">
        <f t="shared" si="324"/>
        <v>0.05</v>
      </c>
    </row>
    <row r="4132" spans="1:19" x14ac:dyDescent="0.3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e">
        <f>VLOOKUP('Customer Info'!B4124,'Customer Info'!B4124:B4623,1,0)</f>
        <v>#N/A</v>
      </c>
      <c r="H4132" s="6" t="e">
        <f>VLOOKUP('Customer Info'!C4124,'Customer Info'!C4124:C4623,1)</f>
        <v>#N/A</v>
      </c>
      <c r="I4132" s="6" t="e">
        <f>VLOOKUP('Customer Info'!E4124,'Customer Info'!E4124:E4623,1,0)</f>
        <v>#N/A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220</v>
      </c>
      <c r="R4132" s="2" t="s">
        <v>26</v>
      </c>
      <c r="S4132" s="9">
        <f t="shared" si="324"/>
        <v>0.02</v>
      </c>
    </row>
    <row r="4133" spans="1:19" x14ac:dyDescent="0.3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e">
        <f>VLOOKUP('Customer Info'!B4125,'Customer Info'!B4125:B4624,1,0)</f>
        <v>#N/A</v>
      </c>
      <c r="H4133" s="6" t="e">
        <f>VLOOKUP('Customer Info'!C4125,'Customer Info'!C4125:C4624,1)</f>
        <v>#N/A</v>
      </c>
      <c r="I4133" s="6" t="e">
        <f>VLOOKUP('Customer Info'!E4125,'Customer Info'!E4125:E4624,1,0)</f>
        <v>#N/A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3773</v>
      </c>
      <c r="R4133" s="2" t="s">
        <v>28</v>
      </c>
      <c r="S4133" s="9">
        <f t="shared" si="324"/>
        <v>0.09</v>
      </c>
    </row>
    <row r="4134" spans="1:19" x14ac:dyDescent="0.3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e">
        <f>VLOOKUP('Customer Info'!B4126,'Customer Info'!B4126:B4625,1,0)</f>
        <v>#N/A</v>
      </c>
      <c r="H4134" s="6" t="e">
        <f>VLOOKUP('Customer Info'!C4126,'Customer Info'!C4126:C4625,1)</f>
        <v>#N/A</v>
      </c>
      <c r="I4134" s="6" t="e">
        <f>VLOOKUP('Customer Info'!E4126,'Customer Info'!E4126:E4625,1,0)</f>
        <v>#N/A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126</v>
      </c>
      <c r="R4134" s="2" t="s">
        <v>28</v>
      </c>
      <c r="S4134" s="9">
        <f t="shared" si="324"/>
        <v>0.02</v>
      </c>
    </row>
    <row r="4135" spans="1:19" x14ac:dyDescent="0.3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e">
        <f>VLOOKUP('Customer Info'!B4127,'Customer Info'!B4127:B4626,1,0)</f>
        <v>#N/A</v>
      </c>
      <c r="H4135" s="6" t="e">
        <f>VLOOKUP('Customer Info'!C4127,'Customer Info'!C4127:C4626,1)</f>
        <v>#N/A</v>
      </c>
      <c r="I4135" s="6" t="e">
        <f>VLOOKUP('Customer Info'!E4127,'Customer Info'!E4127:E4626,1,0)</f>
        <v>#N/A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74</v>
      </c>
      <c r="R4135" s="2" t="s">
        <v>28</v>
      </c>
      <c r="S4135" s="9">
        <f t="shared" si="324"/>
        <v>0.02</v>
      </c>
    </row>
    <row r="4136" spans="1:19" x14ac:dyDescent="0.3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e">
        <f>VLOOKUP('Customer Info'!B4128,'Customer Info'!B4128:B4627,1,0)</f>
        <v>#N/A</v>
      </c>
      <c r="H4136" s="6" t="e">
        <f>VLOOKUP('Customer Info'!C4128,'Customer Info'!C4128:C4627,1)</f>
        <v>#N/A</v>
      </c>
      <c r="I4136" s="6" t="e">
        <f>VLOOKUP('Customer Info'!E4128,'Customer Info'!E4128:E4627,1,0)</f>
        <v>#N/A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692</v>
      </c>
      <c r="R4136" s="2" t="s">
        <v>28</v>
      </c>
      <c r="S4136" s="9">
        <f t="shared" si="324"/>
        <v>0.05</v>
      </c>
    </row>
    <row r="4137" spans="1:19" x14ac:dyDescent="0.3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e">
        <f>VLOOKUP('Customer Info'!B4129,'Customer Info'!B4129:B4628,1,0)</f>
        <v>#N/A</v>
      </c>
      <c r="H4137" s="6" t="e">
        <f>VLOOKUP('Customer Info'!C4129,'Customer Info'!C4129:C4628,1)</f>
        <v>#N/A</v>
      </c>
      <c r="I4137" s="6" t="e">
        <f>VLOOKUP('Customer Info'!E4129,'Customer Info'!E4129:E4628,1,0)</f>
        <v>#N/A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8300</v>
      </c>
      <c r="R4137" s="2" t="s">
        <v>50</v>
      </c>
      <c r="S4137" s="9">
        <f t="shared" si="324"/>
        <v>0.12</v>
      </c>
    </row>
    <row r="4138" spans="1:19" x14ac:dyDescent="0.3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e">
        <f>VLOOKUP('Customer Info'!B4130,'Customer Info'!B4130:B4629,1,0)</f>
        <v>#N/A</v>
      </c>
      <c r="H4138" s="6" t="e">
        <f>VLOOKUP('Customer Info'!C4130,'Customer Info'!C4130:C4629,1)</f>
        <v>#N/A</v>
      </c>
      <c r="I4138" s="6" t="e">
        <f>VLOOKUP('Customer Info'!E4130,'Customer Info'!E4130:E4629,1,0)</f>
        <v>#N/A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1276</v>
      </c>
      <c r="R4138" s="2" t="s">
        <v>26</v>
      </c>
      <c r="S4138" s="9">
        <f t="shared" si="324"/>
        <v>7.0000000000000007E-2</v>
      </c>
    </row>
    <row r="4139" spans="1:19" x14ac:dyDescent="0.3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e">
        <f>VLOOKUP('Customer Info'!B4131,'Customer Info'!B4131:B4630,1,0)</f>
        <v>#N/A</v>
      </c>
      <c r="H4139" s="6" t="e">
        <f>VLOOKUP('Customer Info'!C4131,'Customer Info'!C4131:C4630,1)</f>
        <v>#N/A</v>
      </c>
      <c r="I4139" s="6" t="e">
        <f>VLOOKUP('Customer Info'!E4131,'Customer Info'!E4131:E4630,1,0)</f>
        <v>#N/A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264</v>
      </c>
      <c r="R4139" s="2" t="s">
        <v>28</v>
      </c>
      <c r="S4139" s="9">
        <f t="shared" si="324"/>
        <v>0.02</v>
      </c>
    </row>
    <row r="4140" spans="1:19" x14ac:dyDescent="0.3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e">
        <f>VLOOKUP('Customer Info'!B4132,'Customer Info'!B4132:B4631,1,0)</f>
        <v>#N/A</v>
      </c>
      <c r="H4140" s="6" t="e">
        <f>VLOOKUP('Customer Info'!C4132,'Customer Info'!C4132:C4631,1)</f>
        <v>#N/A</v>
      </c>
      <c r="I4140" s="6" t="e">
        <f>VLOOKUP('Customer Info'!E4132,'Customer Info'!E4132:E4631,1,0)</f>
        <v>#N/A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17</v>
      </c>
      <c r="R4140" s="2" t="s">
        <v>28</v>
      </c>
      <c r="S4140" s="9">
        <f t="shared" si="324"/>
        <v>0.02</v>
      </c>
    </row>
    <row r="4141" spans="1:19" x14ac:dyDescent="0.3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e">
        <f>VLOOKUP('Customer Info'!B4133,'Customer Info'!B4133:B4632,1,0)</f>
        <v>#N/A</v>
      </c>
      <c r="H4141" s="6" t="e">
        <f>VLOOKUP('Customer Info'!C4133,'Customer Info'!C4133:C4632,1)</f>
        <v>#N/A</v>
      </c>
      <c r="I4141" s="6" t="e">
        <f>VLOOKUP('Customer Info'!E4133,'Customer Info'!E4133:E4632,1,0)</f>
        <v>#N/A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123</v>
      </c>
      <c r="R4141" s="2" t="s">
        <v>50</v>
      </c>
      <c r="S4141" s="9">
        <f t="shared" si="324"/>
        <v>0.02</v>
      </c>
    </row>
    <row r="4142" spans="1:19" x14ac:dyDescent="0.3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e">
        <f>VLOOKUP('Customer Info'!B4134,'Customer Info'!B4134:B4633,1,0)</f>
        <v>#N/A</v>
      </c>
      <c r="H4142" s="6" t="e">
        <f>VLOOKUP('Customer Info'!C4134,'Customer Info'!C4134:C4633,1)</f>
        <v>#N/A</v>
      </c>
      <c r="I4142" s="6" t="e">
        <f>VLOOKUP('Customer Info'!E4134,'Customer Info'!E4134:E4633,1,0)</f>
        <v>#N/A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2466</v>
      </c>
      <c r="R4142" s="2" t="s">
        <v>28</v>
      </c>
      <c r="S4142" s="9">
        <f t="shared" si="324"/>
        <v>7.0000000000000007E-2</v>
      </c>
    </row>
    <row r="4143" spans="1:19" x14ac:dyDescent="0.3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e">
        <f>VLOOKUP('Customer Info'!B4135,'Customer Info'!B4135:B4634,1,0)</f>
        <v>#N/A</v>
      </c>
      <c r="H4143" s="6" t="e">
        <f>VLOOKUP('Customer Info'!C4135,'Customer Info'!C4135:C4634,1)</f>
        <v>#N/A</v>
      </c>
      <c r="I4143" s="6" t="e">
        <f>VLOOKUP('Customer Info'!E4135,'Customer Info'!E4135:E4634,1,0)</f>
        <v>#N/A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196</v>
      </c>
      <c r="R4143" s="2" t="s">
        <v>28</v>
      </c>
      <c r="S4143" s="9">
        <f t="shared" si="324"/>
        <v>0.02</v>
      </c>
    </row>
    <row r="4144" spans="1:19" x14ac:dyDescent="0.3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e">
        <f>VLOOKUP('Customer Info'!B4136,'Customer Info'!B4136:B4635,1,0)</f>
        <v>#N/A</v>
      </c>
      <c r="H4144" s="6" t="e">
        <f>VLOOKUP('Customer Info'!C4136,'Customer Info'!C4136:C4635,1)</f>
        <v>#N/A</v>
      </c>
      <c r="I4144" s="6" t="e">
        <f>VLOOKUP('Customer Info'!E4136,'Customer Info'!E4136:E4635,1,0)</f>
        <v>#N/A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352</v>
      </c>
      <c r="R4144" s="2" t="s">
        <v>50</v>
      </c>
      <c r="S4144" s="9">
        <f t="shared" si="324"/>
        <v>0.02</v>
      </c>
    </row>
    <row r="4145" spans="1:19" x14ac:dyDescent="0.3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e">
        <f>VLOOKUP('Customer Info'!B4137,'Customer Info'!B4137:B4636,1,0)</f>
        <v>#N/A</v>
      </c>
      <c r="H4145" s="6" t="e">
        <f>VLOOKUP('Customer Info'!C4137,'Customer Info'!C4137:C4636,1)</f>
        <v>#N/A</v>
      </c>
      <c r="I4145" s="6" t="e">
        <f>VLOOKUP('Customer Info'!E4137,'Customer Info'!E4137:E4636,1,0)</f>
        <v>#N/A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1280</v>
      </c>
      <c r="R4145" s="2" t="s">
        <v>50</v>
      </c>
      <c r="S4145" s="9">
        <f t="shared" si="324"/>
        <v>0.05</v>
      </c>
    </row>
    <row r="4146" spans="1:19" x14ac:dyDescent="0.3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e">
        <f>VLOOKUP('Customer Info'!B4138,'Customer Info'!B4138:B4637,1,0)</f>
        <v>#N/A</v>
      </c>
      <c r="H4146" s="6" t="e">
        <f>VLOOKUP('Customer Info'!C4138,'Customer Info'!C4138:C4637,1)</f>
        <v>#N/A</v>
      </c>
      <c r="I4146" s="6" t="e">
        <f>VLOOKUP('Customer Info'!E4138,'Customer Info'!E4138:E4637,1,0)</f>
        <v>#N/A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276</v>
      </c>
      <c r="R4146" s="2" t="s">
        <v>50</v>
      </c>
      <c r="S4146" s="9">
        <f t="shared" si="324"/>
        <v>0.02</v>
      </c>
    </row>
    <row r="4147" spans="1:19" x14ac:dyDescent="0.3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e">
        <f>VLOOKUP('Customer Info'!B4139,'Customer Info'!B4139:B4638,1,0)</f>
        <v>#N/A</v>
      </c>
      <c r="H4147" s="6" t="e">
        <f>VLOOKUP('Customer Info'!C4139,'Customer Info'!C4139:C4638,1)</f>
        <v>#N/A</v>
      </c>
      <c r="I4147" s="6" t="e">
        <f>VLOOKUP('Customer Info'!E4139,'Customer Info'!E4139:E4638,1,0)</f>
        <v>#N/A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438</v>
      </c>
      <c r="R4147" s="2" t="s">
        <v>28</v>
      </c>
      <c r="S4147" s="9">
        <f t="shared" si="324"/>
        <v>0.05</v>
      </c>
    </row>
    <row r="4148" spans="1:19" x14ac:dyDescent="0.3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e">
        <f>VLOOKUP('Customer Info'!B4140,'Customer Info'!B4140:B4639,1,0)</f>
        <v>#N/A</v>
      </c>
      <c r="H4148" s="6" t="e">
        <f>VLOOKUP('Customer Info'!C4140,'Customer Info'!C4140:C4639,1)</f>
        <v>#N/A</v>
      </c>
      <c r="I4148" s="6" t="e">
        <f>VLOOKUP('Customer Info'!E4140,'Customer Info'!E4140:E4639,1,0)</f>
        <v>#N/A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1278</v>
      </c>
      <c r="R4148" s="2" t="s">
        <v>28</v>
      </c>
      <c r="S4148" s="9">
        <f t="shared" si="324"/>
        <v>0.05</v>
      </c>
    </row>
    <row r="4149" spans="1:19" x14ac:dyDescent="0.3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e">
        <f>VLOOKUP('Customer Info'!B4141,'Customer Info'!B4141:B4640,1,0)</f>
        <v>#N/A</v>
      </c>
      <c r="H4149" s="6" t="e">
        <f>VLOOKUP('Customer Info'!C4141,'Customer Info'!C4141:C4640,1)</f>
        <v>#N/A</v>
      </c>
      <c r="I4149" s="6" t="e">
        <f>VLOOKUP('Customer Info'!E4141,'Customer Info'!E4141:E4640,1,0)</f>
        <v>#N/A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111</v>
      </c>
      <c r="R4149" s="2" t="s">
        <v>28</v>
      </c>
      <c r="S4149" s="9">
        <f t="shared" si="324"/>
        <v>0.02</v>
      </c>
    </row>
    <row r="4150" spans="1:19" x14ac:dyDescent="0.3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e">
        <f>VLOOKUP('Customer Info'!B4142,'Customer Info'!B4142:B4641,1,0)</f>
        <v>#N/A</v>
      </c>
      <c r="H4150" s="6" t="e">
        <f>VLOOKUP('Customer Info'!C4142,'Customer Info'!C4142:C4641,1)</f>
        <v>#N/A</v>
      </c>
      <c r="I4150" s="6" t="e">
        <f>VLOOKUP('Customer Info'!E4142,'Customer Info'!E4142:E4641,1,0)</f>
        <v>#N/A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1344</v>
      </c>
      <c r="R4150" s="2" t="s">
        <v>28</v>
      </c>
      <c r="S4150" s="9">
        <f t="shared" si="324"/>
        <v>0.05</v>
      </c>
    </row>
    <row r="4151" spans="1:19" x14ac:dyDescent="0.3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e">
        <f>VLOOKUP('Customer Info'!B4143,'Customer Info'!B4143:B4642,1,0)</f>
        <v>#N/A</v>
      </c>
      <c r="H4151" s="6" t="e">
        <f>VLOOKUP('Customer Info'!C4143,'Customer Info'!C4143:C4642,1)</f>
        <v>#N/A</v>
      </c>
      <c r="I4151" s="6" t="e">
        <f>VLOOKUP('Customer Info'!E4143,'Customer Info'!E4143:E4642,1,0)</f>
        <v>#N/A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8</v>
      </c>
      <c r="R4151" s="2" t="s">
        <v>50</v>
      </c>
      <c r="S4151" s="9">
        <f t="shared" si="324"/>
        <v>0.02</v>
      </c>
    </row>
    <row r="4152" spans="1:19" x14ac:dyDescent="0.3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e">
        <f>VLOOKUP('Customer Info'!B4144,'Customer Info'!B4144:B4643,1,0)</f>
        <v>#N/A</v>
      </c>
      <c r="H4152" s="6" t="e">
        <f>VLOOKUP('Customer Info'!C4144,'Customer Info'!C4144:C4643,1)</f>
        <v>#N/A</v>
      </c>
      <c r="I4152" s="6" t="e">
        <f>VLOOKUP('Customer Info'!E4144,'Customer Info'!E4144:E4643,1,0)</f>
        <v>#N/A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2868</v>
      </c>
      <c r="R4152" s="2" t="s">
        <v>28</v>
      </c>
      <c r="S4152" s="9">
        <f t="shared" si="324"/>
        <v>7.0000000000000007E-2</v>
      </c>
    </row>
    <row r="4153" spans="1:19" x14ac:dyDescent="0.3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e">
        <f>VLOOKUP('Customer Info'!B4145,'Customer Info'!B4145:B4644,1,0)</f>
        <v>#N/A</v>
      </c>
      <c r="H4153" s="6" t="e">
        <f>VLOOKUP('Customer Info'!C4145,'Customer Info'!C4145:C4644,1)</f>
        <v>#N/A</v>
      </c>
      <c r="I4153" s="6" t="e">
        <f>VLOOKUP('Customer Info'!E4145,'Customer Info'!E4145:E4644,1,0)</f>
        <v>#N/A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207</v>
      </c>
      <c r="R4153" s="2" t="s">
        <v>28</v>
      </c>
      <c r="S4153" s="9">
        <f t="shared" si="324"/>
        <v>0.02</v>
      </c>
    </row>
    <row r="4154" spans="1:19" x14ac:dyDescent="0.3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e">
        <f>VLOOKUP('Customer Info'!B4146,'Customer Info'!B4146:B4645,1,0)</f>
        <v>#N/A</v>
      </c>
      <c r="H4154" s="6" t="e">
        <f>VLOOKUP('Customer Info'!C4146,'Customer Info'!C4146:C4645,1)</f>
        <v>#N/A</v>
      </c>
      <c r="I4154" s="6" t="e">
        <f>VLOOKUP('Customer Info'!E4146,'Customer Info'!E4146:E4645,1,0)</f>
        <v>#N/A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106</v>
      </c>
      <c r="R4154" s="2" t="s">
        <v>50</v>
      </c>
      <c r="S4154" s="9">
        <f t="shared" si="324"/>
        <v>0.02</v>
      </c>
    </row>
    <row r="4155" spans="1:19" x14ac:dyDescent="0.3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e">
        <f>VLOOKUP('Customer Info'!B4147,'Customer Info'!B4147:B4646,1,0)</f>
        <v>#N/A</v>
      </c>
      <c r="H4155" s="6" t="e">
        <f>VLOOKUP('Customer Info'!C4147,'Customer Info'!C4147:C4646,1)</f>
        <v>#N/A</v>
      </c>
      <c r="I4155" s="6" t="e">
        <f>VLOOKUP('Customer Info'!E4147,'Customer Info'!E4147:E4646,1,0)</f>
        <v>#N/A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60</v>
      </c>
      <c r="R4155" s="2" t="s">
        <v>26</v>
      </c>
      <c r="S4155" s="9">
        <f t="shared" si="324"/>
        <v>0.02</v>
      </c>
    </row>
    <row r="4156" spans="1:19" x14ac:dyDescent="0.3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e">
        <f>VLOOKUP('Customer Info'!B4148,'Customer Info'!B4148:B4647,1,0)</f>
        <v>#N/A</v>
      </c>
      <c r="H4156" s="6" t="e">
        <f>VLOOKUP('Customer Info'!C4148,'Customer Info'!C4148:C4647,1)</f>
        <v>#N/A</v>
      </c>
      <c r="I4156" s="6" t="e">
        <f>VLOOKUP('Customer Info'!E4148,'Customer Info'!E4148:E4647,1,0)</f>
        <v>#N/A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88</v>
      </c>
      <c r="R4156" s="2" t="s">
        <v>28</v>
      </c>
      <c r="S4156" s="9">
        <f t="shared" si="324"/>
        <v>0.02</v>
      </c>
    </row>
    <row r="4157" spans="1:19" x14ac:dyDescent="0.3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e">
        <f>VLOOKUP('Customer Info'!B4149,'Customer Info'!B4149:B4648,1,0)</f>
        <v>#N/A</v>
      </c>
      <c r="H4157" s="6" t="e">
        <f>VLOOKUP('Customer Info'!C4149,'Customer Info'!C4149:C4648,1)</f>
        <v>#N/A</v>
      </c>
      <c r="I4157" s="6" t="e">
        <f>VLOOKUP('Customer Info'!E4149,'Customer Info'!E4149:E4648,1,0)</f>
        <v>#N/A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8344</v>
      </c>
      <c r="R4157" s="2" t="s">
        <v>28</v>
      </c>
      <c r="S4157" s="9">
        <f t="shared" si="324"/>
        <v>0.12</v>
      </c>
    </row>
    <row r="4158" spans="1:19" x14ac:dyDescent="0.3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e">
        <f>VLOOKUP('Customer Info'!B4150,'Customer Info'!B4150:B4649,1,0)</f>
        <v>#N/A</v>
      </c>
      <c r="H4158" s="6" t="e">
        <f>VLOOKUP('Customer Info'!C4150,'Customer Info'!C4150:C4649,1)</f>
        <v>#N/A</v>
      </c>
      <c r="I4158" s="6" t="e">
        <f>VLOOKUP('Customer Info'!E4150,'Customer Info'!E4150:E4649,1,0)</f>
        <v>#N/A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3906</v>
      </c>
      <c r="R4158" s="2" t="s">
        <v>28</v>
      </c>
      <c r="S4158" s="9">
        <f t="shared" si="324"/>
        <v>0.09</v>
      </c>
    </row>
    <row r="4159" spans="1:19" x14ac:dyDescent="0.3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e">
        <f>VLOOKUP('Customer Info'!B4151,'Customer Info'!B4151:B4650,1,0)</f>
        <v>#N/A</v>
      </c>
      <c r="H4159" s="6" t="e">
        <f>VLOOKUP('Customer Info'!C4151,'Customer Info'!C4151:C4650,1)</f>
        <v>#N/A</v>
      </c>
      <c r="I4159" s="6" t="e">
        <f>VLOOKUP('Customer Info'!E4151,'Customer Info'!E4151:E4650,1,0)</f>
        <v>#N/A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90</v>
      </c>
      <c r="R4159" s="2" t="s">
        <v>28</v>
      </c>
      <c r="S4159" s="9">
        <f t="shared" si="324"/>
        <v>0.02</v>
      </c>
    </row>
    <row r="4160" spans="1:19" x14ac:dyDescent="0.3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e">
        <f>VLOOKUP('Customer Info'!B4152,'Customer Info'!B4152:B4651,1,0)</f>
        <v>#N/A</v>
      </c>
      <c r="H4160" s="6" t="e">
        <f>VLOOKUP('Customer Info'!C4152,'Customer Info'!C4152:C4651,1)</f>
        <v>#N/A</v>
      </c>
      <c r="I4160" s="6" t="e">
        <f>VLOOKUP('Customer Info'!E4152,'Customer Info'!E4152:E4651,1,0)</f>
        <v>#N/A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1782</v>
      </c>
      <c r="R4160" s="2" t="s">
        <v>50</v>
      </c>
      <c r="S4160" s="9">
        <f t="shared" si="324"/>
        <v>7.0000000000000007E-2</v>
      </c>
    </row>
    <row r="4161" spans="1:19" x14ac:dyDescent="0.3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e">
        <f>VLOOKUP('Customer Info'!B4153,'Customer Info'!B4153:B4652,1,0)</f>
        <v>#N/A</v>
      </c>
      <c r="H4161" s="6" t="e">
        <f>VLOOKUP('Customer Info'!C4153,'Customer Info'!C4153:C4652,1)</f>
        <v>#N/A</v>
      </c>
      <c r="I4161" s="6" t="e">
        <f>VLOOKUP('Customer Info'!E4153,'Customer Info'!E4153:E4652,1,0)</f>
        <v>#N/A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34</v>
      </c>
      <c r="R4161" s="2" t="s">
        <v>28</v>
      </c>
      <c r="S4161" s="9">
        <f t="shared" si="324"/>
        <v>0.02</v>
      </c>
    </row>
    <row r="4162" spans="1:19" x14ac:dyDescent="0.3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e">
        <f>VLOOKUP('Customer Info'!B4154,'Customer Info'!B4154:B4653,1,0)</f>
        <v>#N/A</v>
      </c>
      <c r="H4162" s="6" t="e">
        <f>VLOOKUP('Customer Info'!C4154,'Customer Info'!C4154:C4653,1)</f>
        <v>#N/A</v>
      </c>
      <c r="I4162" s="6" t="e">
        <f>VLOOKUP('Customer Info'!E4154,'Customer Info'!E4154:E4653,1,0)</f>
        <v>#N/A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285</v>
      </c>
      <c r="R4162" s="2" t="s">
        <v>50</v>
      </c>
      <c r="S4162" s="9">
        <f t="shared" si="324"/>
        <v>0.05</v>
      </c>
    </row>
    <row r="4163" spans="1:19" x14ac:dyDescent="0.3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e">
        <f>VLOOKUP('Customer Info'!B4155,'Customer Info'!B4155:B4654,1,0)</f>
        <v>#N/A</v>
      </c>
      <c r="H4163" s="6" t="e">
        <f>VLOOKUP('Customer Info'!C4155,'Customer Info'!C4155:C4654,1)</f>
        <v>#N/A</v>
      </c>
      <c r="I4163" s="6" t="e">
        <f>VLOOKUP('Customer Info'!E4155,'Customer Info'!E4155:E4654,1,0)</f>
        <v>#N/A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192</v>
      </c>
      <c r="R4163" s="2" t="s">
        <v>28</v>
      </c>
      <c r="S4163" s="9">
        <f t="shared" si="324"/>
        <v>0.02</v>
      </c>
    </row>
    <row r="4164" spans="1:19" x14ac:dyDescent="0.3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e">
        <f>VLOOKUP('Customer Info'!B4156,'Customer Info'!B4156:B4655,1,0)</f>
        <v>#N/A</v>
      </c>
      <c r="H4164" s="6" t="e">
        <f>VLOOKUP('Customer Info'!C4156,'Customer Info'!C4156:C4655,1)</f>
        <v>#N/A</v>
      </c>
      <c r="I4164" s="6" t="e">
        <f>VLOOKUP('Customer Info'!E4156,'Customer Info'!E4156:E4655,1,0)</f>
        <v>#N/A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546</v>
      </c>
      <c r="R4164" s="2" t="s">
        <v>28</v>
      </c>
      <c r="S4164" s="9">
        <f t="shared" si="324"/>
        <v>0.05</v>
      </c>
    </row>
    <row r="4165" spans="1:19" x14ac:dyDescent="0.3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e">
        <f>VLOOKUP('Customer Info'!B4157,'Customer Info'!B4157:B4656,1,0)</f>
        <v>#N/A</v>
      </c>
      <c r="H4165" s="6" t="e">
        <f>VLOOKUP('Customer Info'!C4157,'Customer Info'!C4157:C4656,1)</f>
        <v>#N/A</v>
      </c>
      <c r="I4165" s="6" t="e">
        <f>VLOOKUP('Customer Info'!E4157,'Customer Info'!E4157:E4656,1,0)</f>
        <v>#N/A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74</v>
      </c>
      <c r="R4165" s="2" t="s">
        <v>28</v>
      </c>
      <c r="S4165" s="9">
        <f t="shared" si="324"/>
        <v>0.02</v>
      </c>
    </row>
    <row r="4166" spans="1:19" x14ac:dyDescent="0.3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e">
        <f>VLOOKUP('Customer Info'!B4158,'Customer Info'!B4158:B4657,1,0)</f>
        <v>#N/A</v>
      </c>
      <c r="H4166" s="6" t="e">
        <f>VLOOKUP('Customer Info'!C4158,'Customer Info'!C4158:C4657,1)</f>
        <v>#N/A</v>
      </c>
      <c r="I4166" s="6" t="e">
        <f>VLOOKUP('Customer Info'!E4158,'Customer Info'!E4158:E4657,1,0)</f>
        <v>#N/A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738</v>
      </c>
      <c r="R4166" s="2" t="s">
        <v>50</v>
      </c>
      <c r="S4166" s="9">
        <f t="shared" si="324"/>
        <v>0.05</v>
      </c>
    </row>
    <row r="4167" spans="1:19" x14ac:dyDescent="0.3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e">
        <f>VLOOKUP('Customer Info'!B4159,'Customer Info'!B4159:B4658,1,0)</f>
        <v>#N/A</v>
      </c>
      <c r="H4167" s="6" t="e">
        <f>VLOOKUP('Customer Info'!C4159,'Customer Info'!C4159:C4658,1)</f>
        <v>#N/A</v>
      </c>
      <c r="I4167" s="6" t="e">
        <f>VLOOKUP('Customer Info'!E4159,'Customer Info'!E4159:E4658,1,0)</f>
        <v>#N/A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519</v>
      </c>
      <c r="R4167" s="2" t="s">
        <v>50</v>
      </c>
      <c r="S4167" s="9">
        <f t="shared" si="324"/>
        <v>0.05</v>
      </c>
    </row>
    <row r="4168" spans="1:19" x14ac:dyDescent="0.3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e">
        <f>VLOOKUP('Customer Info'!B4160,'Customer Info'!B4160:B4659,1,0)</f>
        <v>#N/A</v>
      </c>
      <c r="H4168" s="6" t="e">
        <f>VLOOKUP('Customer Info'!C4160,'Customer Info'!C4160:C4659,1)</f>
        <v>#N/A</v>
      </c>
      <c r="I4168" s="6" t="e">
        <f>VLOOKUP('Customer Info'!E4160,'Customer Info'!E4160:E4659,1,0)</f>
        <v>#N/A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370</v>
      </c>
      <c r="R4168" s="2" t="s">
        <v>28</v>
      </c>
      <c r="S4168" s="9">
        <f t="shared" si="324"/>
        <v>0.05</v>
      </c>
    </row>
    <row r="4169" spans="1:19" x14ac:dyDescent="0.3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e">
        <f>VLOOKUP('Customer Info'!B4161,'Customer Info'!B4161:B4660,1,0)</f>
        <v>#N/A</v>
      </c>
      <c r="H4169" s="6" t="e">
        <f>VLOOKUP('Customer Info'!C4161,'Customer Info'!C4161:C4660,1)</f>
        <v>#N/A</v>
      </c>
      <c r="I4169" s="6" t="e">
        <f>VLOOKUP('Customer Info'!E4161,'Customer Info'!E4161:E4660,1,0)</f>
        <v>#N/A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64</v>
      </c>
      <c r="R4169" s="2" t="s">
        <v>28</v>
      </c>
      <c r="S4169" s="9">
        <f t="shared" si="324"/>
        <v>0.02</v>
      </c>
    </row>
    <row r="4170" spans="1:19" x14ac:dyDescent="0.3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e">
        <f>VLOOKUP('Customer Info'!B4162,'Customer Info'!B4162:B4661,1,0)</f>
        <v>#N/A</v>
      </c>
      <c r="H4170" s="6" t="e">
        <f>VLOOKUP('Customer Info'!C4162,'Customer Info'!C4162:C4661,1)</f>
        <v>#N/A</v>
      </c>
      <c r="I4170" s="6" t="e">
        <f>VLOOKUP('Customer Info'!E4162,'Customer Info'!E4162:E4661,1,0)</f>
        <v>#N/A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50</v>
      </c>
      <c r="R4170" s="2" t="s">
        <v>28</v>
      </c>
      <c r="S4170" s="9">
        <f t="shared" si="324"/>
        <v>0.02</v>
      </c>
    </row>
    <row r="4171" spans="1:19" x14ac:dyDescent="0.3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e">
        <f>VLOOKUP('Customer Info'!B4163,'Customer Info'!B4163:B4662,1,0)</f>
        <v>#N/A</v>
      </c>
      <c r="H4171" s="6" t="e">
        <f>VLOOKUP('Customer Info'!C4163,'Customer Info'!C4163:C4662,1)</f>
        <v>#N/A</v>
      </c>
      <c r="I4171" s="6" t="e">
        <f>VLOOKUP('Customer Info'!E4163,'Customer Info'!E4163:E4662,1,0)</f>
        <v>#N/A</v>
      </c>
      <c r="J4171" s="2">
        <v>1564</v>
      </c>
      <c r="K4171" s="2">
        <v>1420</v>
      </c>
      <c r="L4171" s="2">
        <v>1</v>
      </c>
      <c r="M4171" s="7">
        <f t="shared" ref="M4171:M4234" si="325">(K4171*L4171)</f>
        <v>1420</v>
      </c>
      <c r="N4171" s="7">
        <f t="shared" ref="N4171:N4234" si="326">(J4171*L4171)</f>
        <v>1564</v>
      </c>
      <c r="O4171" s="2">
        <v>57</v>
      </c>
      <c r="P4171" s="8">
        <f t="shared" ref="P4171:P4234" si="327">(N4171+O4171)</f>
        <v>1621</v>
      </c>
      <c r="Q4171" s="8">
        <f t="shared" ref="Q4171:Q4234" si="328">(N4171-M4171)</f>
        <v>144</v>
      </c>
      <c r="R4171" s="2" t="s">
        <v>28</v>
      </c>
      <c r="S4171" s="9">
        <f t="shared" ref="S4171:S4234" si="329">_xlfn.IFS(P4171&gt;250000,0.15,P4171&gt;100000,0.12,P4171&gt;50000,0.09,P4171&gt;25000,0.07,P4171&gt;5000,0.05,
 TRUE,0.02)</f>
        <v>0.02</v>
      </c>
    </row>
    <row r="4172" spans="1:19" x14ac:dyDescent="0.3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e">
        <f>VLOOKUP('Customer Info'!B4164,'Customer Info'!B4164:B4663,1,0)</f>
        <v>#N/A</v>
      </c>
      <c r="H4172" s="6" t="e">
        <f>VLOOKUP('Customer Info'!C4164,'Customer Info'!C4164:C4663,1)</f>
        <v>#N/A</v>
      </c>
      <c r="I4172" s="6" t="e">
        <f>VLOOKUP('Customer Info'!E4164,'Customer Info'!E4164:E4663,1,0)</f>
        <v>#N/A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64</v>
      </c>
      <c r="R4172" s="2" t="s">
        <v>28</v>
      </c>
      <c r="S4172" s="9">
        <f t="shared" si="329"/>
        <v>0.02</v>
      </c>
    </row>
    <row r="4173" spans="1:19" x14ac:dyDescent="0.3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e">
        <f>VLOOKUP('Customer Info'!B4165,'Customer Info'!B4165:B4664,1,0)</f>
        <v>#N/A</v>
      </c>
      <c r="H4173" s="6" t="e">
        <f>VLOOKUP('Customer Info'!C4165,'Customer Info'!C4165:C4664,1)</f>
        <v>#N/A</v>
      </c>
      <c r="I4173" s="6" t="e">
        <f>VLOOKUP('Customer Info'!E4165,'Customer Info'!E4165:E4664,1,0)</f>
        <v>#N/A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220</v>
      </c>
      <c r="R4173" s="2" t="s">
        <v>50</v>
      </c>
      <c r="S4173" s="9">
        <f t="shared" si="329"/>
        <v>0.02</v>
      </c>
    </row>
    <row r="4174" spans="1:19" x14ac:dyDescent="0.3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e">
        <f>VLOOKUP('Customer Info'!B4166,'Customer Info'!B4166:B4665,1,0)</f>
        <v>#N/A</v>
      </c>
      <c r="H4174" s="6" t="e">
        <f>VLOOKUP('Customer Info'!C4166,'Customer Info'!C4166:C4665,1)</f>
        <v>#N/A</v>
      </c>
      <c r="I4174" s="6" t="e">
        <f>VLOOKUP('Customer Info'!E4166,'Customer Info'!E4166:E4665,1,0)</f>
        <v>#N/A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1104</v>
      </c>
      <c r="R4174" s="2" t="s">
        <v>50</v>
      </c>
      <c r="S4174" s="9">
        <f t="shared" si="329"/>
        <v>0.05</v>
      </c>
    </row>
    <row r="4175" spans="1:19" x14ac:dyDescent="0.3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e">
        <f>VLOOKUP('Customer Info'!B4167,'Customer Info'!B4167:B4666,1,0)</f>
        <v>#N/A</v>
      </c>
      <c r="H4175" s="6" t="e">
        <f>VLOOKUP('Customer Info'!C4167,'Customer Info'!C4167:C4666,1)</f>
        <v>#N/A</v>
      </c>
      <c r="I4175" s="6" t="e">
        <f>VLOOKUP('Customer Info'!E4167,'Customer Info'!E4167:E4666,1,0)</f>
        <v>#N/A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702</v>
      </c>
      <c r="R4175" s="2" t="s">
        <v>28</v>
      </c>
      <c r="S4175" s="9">
        <f t="shared" si="329"/>
        <v>0.05</v>
      </c>
    </row>
    <row r="4176" spans="1:19" x14ac:dyDescent="0.3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e">
        <f>VLOOKUP('Customer Info'!B4168,'Customer Info'!B4168:B4667,1,0)</f>
        <v>#N/A</v>
      </c>
      <c r="H4176" s="6" t="e">
        <f>VLOOKUP('Customer Info'!C4168,'Customer Info'!C4168:C4667,1)</f>
        <v>#N/A</v>
      </c>
      <c r="I4176" s="6" t="e">
        <f>VLOOKUP('Customer Info'!E4168,'Customer Info'!E4168:E4667,1,0)</f>
        <v>#N/A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610</v>
      </c>
      <c r="R4176" s="2" t="s">
        <v>28</v>
      </c>
      <c r="S4176" s="9">
        <f t="shared" si="329"/>
        <v>7.0000000000000007E-2</v>
      </c>
    </row>
    <row r="4177" spans="1:19" x14ac:dyDescent="0.3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e">
        <f>VLOOKUP('Customer Info'!B4169,'Customer Info'!B4169:B4668,1,0)</f>
        <v>#N/A</v>
      </c>
      <c r="H4177" s="6" t="e">
        <f>VLOOKUP('Customer Info'!C4169,'Customer Info'!C4169:C4668,1)</f>
        <v>#N/A</v>
      </c>
      <c r="I4177" s="6" t="e">
        <f>VLOOKUP('Customer Info'!E4169,'Customer Info'!E4169:E4668,1,0)</f>
        <v>#N/A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400</v>
      </c>
      <c r="R4177" s="2" t="s">
        <v>28</v>
      </c>
      <c r="S4177" s="9">
        <f t="shared" si="329"/>
        <v>0.02</v>
      </c>
    </row>
    <row r="4178" spans="1:19" x14ac:dyDescent="0.3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e">
        <f>VLOOKUP('Customer Info'!B4170,'Customer Info'!B4170:B4669,1,0)</f>
        <v>#N/A</v>
      </c>
      <c r="H4178" s="6" t="e">
        <f>VLOOKUP('Customer Info'!C4170,'Customer Info'!C4170:C4669,1)</f>
        <v>#N/A</v>
      </c>
      <c r="I4178" s="6" t="e">
        <f>VLOOKUP('Customer Info'!E4170,'Customer Info'!E4170:E4669,1,0)</f>
        <v>#N/A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4276</v>
      </c>
      <c r="R4178" s="2" t="s">
        <v>28</v>
      </c>
      <c r="S4178" s="9">
        <f t="shared" si="329"/>
        <v>0.09</v>
      </c>
    </row>
    <row r="4179" spans="1:19" x14ac:dyDescent="0.3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e">
        <f>VLOOKUP('Customer Info'!B4171,'Customer Info'!B4171:B4670,1,0)</f>
        <v>#N/A</v>
      </c>
      <c r="H4179" s="6" t="e">
        <f>VLOOKUP('Customer Info'!C4171,'Customer Info'!C4171:C4670,1)</f>
        <v>#N/A</v>
      </c>
      <c r="I4179" s="6" t="e">
        <f>VLOOKUP('Customer Info'!E4171,'Customer Info'!E4171:E4670,1,0)</f>
        <v>#N/A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18</v>
      </c>
      <c r="R4179" s="2" t="s">
        <v>28</v>
      </c>
      <c r="S4179" s="9">
        <f t="shared" si="329"/>
        <v>0.02</v>
      </c>
    </row>
    <row r="4180" spans="1:19" x14ac:dyDescent="0.3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e">
        <f>VLOOKUP('Customer Info'!B4172,'Customer Info'!B4172:B4671,1,0)</f>
        <v>#N/A</v>
      </c>
      <c r="H4180" s="6" t="e">
        <f>VLOOKUP('Customer Info'!C4172,'Customer Info'!C4172:C4671,1)</f>
        <v>#N/A</v>
      </c>
      <c r="I4180" s="6" t="e">
        <f>VLOOKUP('Customer Info'!E4172,'Customer Info'!E4172:E4671,1,0)</f>
        <v>#N/A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12614</v>
      </c>
      <c r="R4180" s="2" t="s">
        <v>56</v>
      </c>
      <c r="S4180" s="9">
        <f t="shared" si="329"/>
        <v>0.12</v>
      </c>
    </row>
    <row r="4181" spans="1:19" x14ac:dyDescent="0.3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e">
        <f>VLOOKUP('Customer Info'!B4173,'Customer Info'!B4173:B4672,1,0)</f>
        <v>#N/A</v>
      </c>
      <c r="H4181" s="6" t="e">
        <f>VLOOKUP('Customer Info'!C4173,'Customer Info'!C4173:C4672,1)</f>
        <v>#N/A</v>
      </c>
      <c r="I4181" s="6" t="e">
        <f>VLOOKUP('Customer Info'!E4173,'Customer Info'!E4173:E4672,1,0)</f>
        <v>#N/A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2140</v>
      </c>
      <c r="R4181" s="2" t="s">
        <v>28</v>
      </c>
      <c r="S4181" s="9">
        <f t="shared" si="329"/>
        <v>7.0000000000000007E-2</v>
      </c>
    </row>
    <row r="4182" spans="1:19" x14ac:dyDescent="0.3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e">
        <f>VLOOKUP('Customer Info'!B4174,'Customer Info'!B4174:B4673,1,0)</f>
        <v>#N/A</v>
      </c>
      <c r="H4182" s="6" t="e">
        <f>VLOOKUP('Customer Info'!C4174,'Customer Info'!C4174:C4673,1)</f>
        <v>#N/A</v>
      </c>
      <c r="I4182" s="6" t="e">
        <f>VLOOKUP('Customer Info'!E4174,'Customer Info'!E4174:E4673,1,0)</f>
        <v>#N/A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182</v>
      </c>
      <c r="R4182" s="2" t="s">
        <v>28</v>
      </c>
      <c r="S4182" s="9">
        <f t="shared" si="329"/>
        <v>0.02</v>
      </c>
    </row>
    <row r="4183" spans="1:19" x14ac:dyDescent="0.3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e">
        <f>VLOOKUP('Customer Info'!B4175,'Customer Info'!B4175:B4674,1,0)</f>
        <v>#N/A</v>
      </c>
      <c r="H4183" s="6" t="e">
        <f>VLOOKUP('Customer Info'!C4175,'Customer Info'!C4175:C4674,1)</f>
        <v>#N/A</v>
      </c>
      <c r="I4183" s="6" t="e">
        <f>VLOOKUP('Customer Info'!E4175,'Customer Info'!E4175:E4674,1,0)</f>
        <v>#N/A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90</v>
      </c>
      <c r="R4183" s="2" t="s">
        <v>28</v>
      </c>
      <c r="S4183" s="9">
        <f t="shared" si="329"/>
        <v>0.02</v>
      </c>
    </row>
    <row r="4184" spans="1:19" x14ac:dyDescent="0.3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e">
        <f>VLOOKUP('Customer Info'!B4176,'Customer Info'!B4176:B4675,1,0)</f>
        <v>#N/A</v>
      </c>
      <c r="H4184" s="6" t="e">
        <f>VLOOKUP('Customer Info'!C4176,'Customer Info'!C4176:C4675,1)</f>
        <v>#N/A</v>
      </c>
      <c r="I4184" s="6" t="e">
        <f>VLOOKUP('Customer Info'!E4176,'Customer Info'!E4176:E4675,1,0)</f>
        <v>#N/A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6</v>
      </c>
      <c r="R4184" s="2" t="s">
        <v>28</v>
      </c>
      <c r="S4184" s="9">
        <f t="shared" si="329"/>
        <v>0.02</v>
      </c>
    </row>
    <row r="4185" spans="1:19" x14ac:dyDescent="0.3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e">
        <f>VLOOKUP('Customer Info'!B4177,'Customer Info'!B4177:B4676,1,0)</f>
        <v>#N/A</v>
      </c>
      <c r="H4185" s="6" t="e">
        <f>VLOOKUP('Customer Info'!C4177,'Customer Info'!C4177:C4676,1)</f>
        <v>#N/A</v>
      </c>
      <c r="I4185" s="6" t="e">
        <f>VLOOKUP('Customer Info'!E4177,'Customer Info'!E4177:E4676,1,0)</f>
        <v>#N/A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138</v>
      </c>
      <c r="R4185" s="2" t="s">
        <v>50</v>
      </c>
      <c r="S4185" s="9">
        <f t="shared" si="329"/>
        <v>0.02</v>
      </c>
    </row>
    <row r="4186" spans="1:19" x14ac:dyDescent="0.3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e">
        <f>VLOOKUP('Customer Info'!B4178,'Customer Info'!B4178:B4677,1,0)</f>
        <v>#N/A</v>
      </c>
      <c r="H4186" s="6" t="e">
        <f>VLOOKUP('Customer Info'!C4178,'Customer Info'!C4178:C4677,1)</f>
        <v>#N/A</v>
      </c>
      <c r="I4186" s="6" t="e">
        <f>VLOOKUP('Customer Info'!E4178,'Customer Info'!E4178:E4677,1,0)</f>
        <v>#N/A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3600</v>
      </c>
      <c r="R4186" s="2" t="s">
        <v>50</v>
      </c>
      <c r="S4186" s="9">
        <f t="shared" si="329"/>
        <v>7.0000000000000007E-2</v>
      </c>
    </row>
    <row r="4187" spans="1:19" x14ac:dyDescent="0.3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e">
        <f>VLOOKUP('Customer Info'!B4179,'Customer Info'!B4179:B4678,1,0)</f>
        <v>#N/A</v>
      </c>
      <c r="H4187" s="6" t="e">
        <f>VLOOKUP('Customer Info'!C4179,'Customer Info'!C4179:C4678,1)</f>
        <v>#N/A</v>
      </c>
      <c r="I4187" s="6" t="e">
        <f>VLOOKUP('Customer Info'!E4179,'Customer Info'!E4179:E4678,1,0)</f>
        <v>#N/A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2007</v>
      </c>
      <c r="R4187" s="2" t="s">
        <v>28</v>
      </c>
      <c r="S4187" s="9">
        <f t="shared" si="329"/>
        <v>0.05</v>
      </c>
    </row>
    <row r="4188" spans="1:19" x14ac:dyDescent="0.3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e">
        <f>VLOOKUP('Customer Info'!B4180,'Customer Info'!B4180:B4679,1,0)</f>
        <v>#N/A</v>
      </c>
      <c r="H4188" s="6" t="e">
        <f>VLOOKUP('Customer Info'!C4180,'Customer Info'!C4180:C4679,1)</f>
        <v>#N/A</v>
      </c>
      <c r="I4188" s="6" t="e">
        <f>VLOOKUP('Customer Info'!E4180,'Customer Info'!E4180:E4679,1,0)</f>
        <v>#N/A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300</v>
      </c>
      <c r="R4188" s="2" t="s">
        <v>56</v>
      </c>
      <c r="S4188" s="9">
        <f t="shared" si="329"/>
        <v>0.05</v>
      </c>
    </row>
    <row r="4189" spans="1:19" x14ac:dyDescent="0.3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e">
        <f>VLOOKUP('Customer Info'!B4181,'Customer Info'!B4181:B4680,1,0)</f>
        <v>#N/A</v>
      </c>
      <c r="H4189" s="6" t="e">
        <f>VLOOKUP('Customer Info'!C4181,'Customer Info'!C4181:C4680,1)</f>
        <v>#N/A</v>
      </c>
      <c r="I4189" s="6" t="e">
        <f>VLOOKUP('Customer Info'!E4181,'Customer Info'!E4181:E4680,1,0)</f>
        <v>#N/A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218</v>
      </c>
      <c r="R4189" s="2" t="s">
        <v>28</v>
      </c>
      <c r="S4189" s="9">
        <f t="shared" si="329"/>
        <v>0.02</v>
      </c>
    </row>
    <row r="4190" spans="1:19" x14ac:dyDescent="0.3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e">
        <f>VLOOKUP('Customer Info'!B4182,'Customer Info'!B4182:B4681,1,0)</f>
        <v>#N/A</v>
      </c>
      <c r="H4190" s="6" t="e">
        <f>VLOOKUP('Customer Info'!C4182,'Customer Info'!C4182:C4681,1)</f>
        <v>#N/A</v>
      </c>
      <c r="I4190" s="6" t="e">
        <f>VLOOKUP('Customer Info'!E4182,'Customer Info'!E4182:E4681,1,0)</f>
        <v>#N/A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11</v>
      </c>
      <c r="R4190" s="2" t="s">
        <v>28</v>
      </c>
      <c r="S4190" s="9">
        <f t="shared" si="329"/>
        <v>0.02</v>
      </c>
    </row>
    <row r="4191" spans="1:19" x14ac:dyDescent="0.3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e">
        <f>VLOOKUP('Customer Info'!B4183,'Customer Info'!B4183:B4682,1,0)</f>
        <v>#N/A</v>
      </c>
      <c r="H4191" s="6" t="e">
        <f>VLOOKUP('Customer Info'!C4183,'Customer Info'!C4183:C4682,1)</f>
        <v>#N/A</v>
      </c>
      <c r="I4191" s="6" t="e">
        <f>VLOOKUP('Customer Info'!E4183,'Customer Info'!E4183:E4682,1,0)</f>
        <v>#N/A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79</v>
      </c>
      <c r="R4191" s="2" t="s">
        <v>28</v>
      </c>
      <c r="S4191" s="9">
        <f t="shared" si="329"/>
        <v>0.02</v>
      </c>
    </row>
    <row r="4192" spans="1:19" x14ac:dyDescent="0.3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e">
        <f>VLOOKUP('Customer Info'!B4184,'Customer Info'!B4184:B4683,1,0)</f>
        <v>#N/A</v>
      </c>
      <c r="H4192" s="6" t="e">
        <f>VLOOKUP('Customer Info'!C4184,'Customer Info'!C4184:C4683,1)</f>
        <v>#N/A</v>
      </c>
      <c r="I4192" s="6" t="e">
        <f>VLOOKUP('Customer Info'!E4184,'Customer Info'!E4184:E4683,1,0)</f>
        <v>#N/A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666</v>
      </c>
      <c r="R4192" s="2" t="s">
        <v>28</v>
      </c>
      <c r="S4192" s="9">
        <f t="shared" si="329"/>
        <v>0.05</v>
      </c>
    </row>
    <row r="4193" spans="1:19" x14ac:dyDescent="0.3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e">
        <f>VLOOKUP('Customer Info'!B4185,'Customer Info'!B4185:B4684,1,0)</f>
        <v>#N/A</v>
      </c>
      <c r="H4193" s="6" t="e">
        <f>VLOOKUP('Customer Info'!C4185,'Customer Info'!C4185:C4684,1)</f>
        <v>#N/A</v>
      </c>
      <c r="I4193" s="6" t="e">
        <f>VLOOKUP('Customer Info'!E4185,'Customer Info'!E4185:E4684,1,0)</f>
        <v>#N/A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48</v>
      </c>
      <c r="R4193" s="2" t="s">
        <v>28</v>
      </c>
      <c r="S4193" s="9">
        <f t="shared" si="329"/>
        <v>0.02</v>
      </c>
    </row>
    <row r="4194" spans="1:19" x14ac:dyDescent="0.3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e">
        <f>VLOOKUP('Customer Info'!B4186,'Customer Info'!B4186:B4685,1,0)</f>
        <v>#N/A</v>
      </c>
      <c r="H4194" s="6" t="e">
        <f>VLOOKUP('Customer Info'!C4186,'Customer Info'!C4186:C4685,1)</f>
        <v>#N/A</v>
      </c>
      <c r="I4194" s="6" t="e">
        <f>VLOOKUP('Customer Info'!E4186,'Customer Info'!E4186:E4685,1,0)</f>
        <v>#N/A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53</v>
      </c>
      <c r="R4194" s="2" t="s">
        <v>50</v>
      </c>
      <c r="S4194" s="9">
        <f t="shared" si="329"/>
        <v>0.02</v>
      </c>
    </row>
    <row r="4195" spans="1:19" x14ac:dyDescent="0.3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e">
        <f>VLOOKUP('Customer Info'!B4187,'Customer Info'!B4187:B4686,1,0)</f>
        <v>#N/A</v>
      </c>
      <c r="H4195" s="6" t="e">
        <f>VLOOKUP('Customer Info'!C4187,'Customer Info'!C4187:C4686,1)</f>
        <v>#N/A</v>
      </c>
      <c r="I4195" s="6" t="e">
        <f>VLOOKUP('Customer Info'!E4187,'Customer Info'!E4187:E4686,1,0)</f>
        <v>#N/A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86</v>
      </c>
      <c r="R4195" s="2" t="s">
        <v>50</v>
      </c>
      <c r="S4195" s="9">
        <f t="shared" si="329"/>
        <v>0.02</v>
      </c>
    </row>
    <row r="4196" spans="1:19" x14ac:dyDescent="0.3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e">
        <f>VLOOKUP('Customer Info'!B4188,'Customer Info'!B4188:B4687,1,0)</f>
        <v>#N/A</v>
      </c>
      <c r="H4196" s="6" t="e">
        <f>VLOOKUP('Customer Info'!C4188,'Customer Info'!C4188:C4687,1)</f>
        <v>#N/A</v>
      </c>
      <c r="I4196" s="6" t="e">
        <f>VLOOKUP('Customer Info'!E4188,'Customer Info'!E4188:E4687,1,0)</f>
        <v>#N/A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116</v>
      </c>
      <c r="R4196" s="2" t="s">
        <v>28</v>
      </c>
      <c r="S4196" s="9">
        <f t="shared" si="329"/>
        <v>0.02</v>
      </c>
    </row>
    <row r="4197" spans="1:19" x14ac:dyDescent="0.3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e">
        <f>VLOOKUP('Customer Info'!B4189,'Customer Info'!B4189:B4688,1,0)</f>
        <v>#N/A</v>
      </c>
      <c r="H4197" s="6" t="e">
        <f>VLOOKUP('Customer Info'!C4189,'Customer Info'!C4189:C4688,1)</f>
        <v>#N/A</v>
      </c>
      <c r="I4197" s="6" t="e">
        <f>VLOOKUP('Customer Info'!E4189,'Customer Info'!E4189:E4688,1,0)</f>
        <v>#N/A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59</v>
      </c>
      <c r="R4197" s="2" t="s">
        <v>28</v>
      </c>
      <c r="S4197" s="9">
        <f t="shared" si="329"/>
        <v>0.02</v>
      </c>
    </row>
    <row r="4198" spans="1:19" x14ac:dyDescent="0.3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e">
        <f>VLOOKUP('Customer Info'!B4190,'Customer Info'!B4190:B4689,1,0)</f>
        <v>#N/A</v>
      </c>
      <c r="H4198" s="6" t="e">
        <f>VLOOKUP('Customer Info'!C4190,'Customer Info'!C4190:C4689,1)</f>
        <v>#N/A</v>
      </c>
      <c r="I4198" s="6" t="e">
        <f>VLOOKUP('Customer Info'!E4190,'Customer Info'!E4190:E4689,1,0)</f>
        <v>#N/A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5514</v>
      </c>
      <c r="R4198" s="2" t="s">
        <v>56</v>
      </c>
      <c r="S4198" s="9">
        <f t="shared" si="329"/>
        <v>0.09</v>
      </c>
    </row>
    <row r="4199" spans="1:19" x14ac:dyDescent="0.3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e">
        <f>VLOOKUP('Customer Info'!B4191,'Customer Info'!B4191:B4690,1,0)</f>
        <v>#N/A</v>
      </c>
      <c r="H4199" s="6" t="e">
        <f>VLOOKUP('Customer Info'!C4191,'Customer Info'!C4191:C4690,1)</f>
        <v>#N/A</v>
      </c>
      <c r="I4199" s="6" t="e">
        <f>VLOOKUP('Customer Info'!E4191,'Customer Info'!E4191:E4690,1,0)</f>
        <v>#N/A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9</v>
      </c>
      <c r="R4199" s="2" t="s">
        <v>50</v>
      </c>
      <c r="S4199" s="9">
        <f t="shared" si="329"/>
        <v>0.02</v>
      </c>
    </row>
    <row r="4200" spans="1:19" x14ac:dyDescent="0.3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e">
        <f>VLOOKUP('Customer Info'!B4192,'Customer Info'!B4192:B4691,1,0)</f>
        <v>#N/A</v>
      </c>
      <c r="H4200" s="6" t="e">
        <f>VLOOKUP('Customer Info'!C4192,'Customer Info'!C4192:C4691,1)</f>
        <v>#N/A</v>
      </c>
      <c r="I4200" s="6" t="e">
        <f>VLOOKUP('Customer Info'!E4192,'Customer Info'!E4192:E4691,1,0)</f>
        <v>#N/A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176</v>
      </c>
      <c r="R4200" s="2" t="s">
        <v>28</v>
      </c>
      <c r="S4200" s="9">
        <f t="shared" si="329"/>
        <v>0.02</v>
      </c>
    </row>
    <row r="4201" spans="1:19" x14ac:dyDescent="0.3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e">
        <f>VLOOKUP('Customer Info'!B4193,'Customer Info'!B4193:B4692,1,0)</f>
        <v>#N/A</v>
      </c>
      <c r="H4201" s="6" t="e">
        <f>VLOOKUP('Customer Info'!C4193,'Customer Info'!C4193:C4692,1)</f>
        <v>#N/A</v>
      </c>
      <c r="I4201" s="6" t="e">
        <f>VLOOKUP('Customer Info'!E4193,'Customer Info'!E4193:E4692,1,0)</f>
        <v>#N/A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400</v>
      </c>
      <c r="R4201" s="2" t="s">
        <v>28</v>
      </c>
      <c r="S4201" s="9">
        <f t="shared" si="329"/>
        <v>0.05</v>
      </c>
    </row>
    <row r="4202" spans="1:19" x14ac:dyDescent="0.3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e">
        <f>VLOOKUP('Customer Info'!B4194,'Customer Info'!B4194:B4693,1,0)</f>
        <v>#N/A</v>
      </c>
      <c r="H4202" s="6" t="e">
        <f>VLOOKUP('Customer Info'!C4194,'Customer Info'!C4194:C4693,1)</f>
        <v>#N/A</v>
      </c>
      <c r="I4202" s="6" t="e">
        <f>VLOOKUP('Customer Info'!E4194,'Customer Info'!E4194:E4693,1,0)</f>
        <v>#N/A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198</v>
      </c>
      <c r="R4202" s="2" t="s">
        <v>26</v>
      </c>
      <c r="S4202" s="9">
        <f t="shared" si="329"/>
        <v>0.05</v>
      </c>
    </row>
    <row r="4203" spans="1:19" x14ac:dyDescent="0.3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e">
        <f>VLOOKUP('Customer Info'!B4195,'Customer Info'!B4195:B4694,1,0)</f>
        <v>#N/A</v>
      </c>
      <c r="H4203" s="6" t="e">
        <f>VLOOKUP('Customer Info'!C4195,'Customer Info'!C4195:C4694,1)</f>
        <v>#N/A</v>
      </c>
      <c r="I4203" s="6" t="e">
        <f>VLOOKUP('Customer Info'!E4195,'Customer Info'!E4195:E4694,1,0)</f>
        <v>#N/A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-1</v>
      </c>
      <c r="R4203" s="2" t="s">
        <v>28</v>
      </c>
      <c r="S4203" s="9">
        <f t="shared" si="329"/>
        <v>0.05</v>
      </c>
    </row>
    <row r="4204" spans="1:19" x14ac:dyDescent="0.3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e">
        <f>VLOOKUP('Customer Info'!B4196,'Customer Info'!B4196:B4695,1,0)</f>
        <v>#N/A</v>
      </c>
      <c r="H4204" s="6" t="e">
        <f>VLOOKUP('Customer Info'!C4196,'Customer Info'!C4196:C4695,1)</f>
        <v>#N/A</v>
      </c>
      <c r="I4204" s="6" t="e">
        <f>VLOOKUP('Customer Info'!E4196,'Customer Info'!E4196:E4695,1,0)</f>
        <v>#N/A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2261</v>
      </c>
      <c r="R4204" s="2" t="s">
        <v>50</v>
      </c>
      <c r="S4204" s="9">
        <f t="shared" si="329"/>
        <v>0.05</v>
      </c>
    </row>
    <row r="4205" spans="1:19" x14ac:dyDescent="0.3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e">
        <f>VLOOKUP('Customer Info'!B4197,'Customer Info'!B4197:B4696,1,0)</f>
        <v>#N/A</v>
      </c>
      <c r="H4205" s="6" t="e">
        <f>VLOOKUP('Customer Info'!C4197,'Customer Info'!C4197:C4696,1)</f>
        <v>#N/A</v>
      </c>
      <c r="I4205" s="6" t="e">
        <f>VLOOKUP('Customer Info'!E4197,'Customer Info'!E4197:E4696,1,0)</f>
        <v>#N/A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233</v>
      </c>
      <c r="R4205" s="2" t="s">
        <v>28</v>
      </c>
      <c r="S4205" s="9">
        <f t="shared" si="329"/>
        <v>0.02</v>
      </c>
    </row>
    <row r="4206" spans="1:19" x14ac:dyDescent="0.3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e">
        <f>VLOOKUP('Customer Info'!B4198,'Customer Info'!B4198:B4697,1,0)</f>
        <v>#N/A</v>
      </c>
      <c r="H4206" s="6" t="e">
        <f>VLOOKUP('Customer Info'!C4198,'Customer Info'!C4198:C4697,1)</f>
        <v>#N/A</v>
      </c>
      <c r="I4206" s="6" t="e">
        <f>VLOOKUP('Customer Info'!E4198,'Customer Info'!E4198:E4697,1,0)</f>
        <v>#N/A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520</v>
      </c>
      <c r="R4206" s="2" t="s">
        <v>28</v>
      </c>
      <c r="S4206" s="9">
        <f t="shared" si="329"/>
        <v>0.05</v>
      </c>
    </row>
    <row r="4207" spans="1:19" x14ac:dyDescent="0.3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e">
        <f>VLOOKUP('Customer Info'!B4199,'Customer Info'!B4199:B4698,1,0)</f>
        <v>#N/A</v>
      </c>
      <c r="H4207" s="6" t="e">
        <f>VLOOKUP('Customer Info'!C4199,'Customer Info'!C4199:C4698,1)</f>
        <v>#N/A</v>
      </c>
      <c r="I4207" s="6" t="e">
        <f>VLOOKUP('Customer Info'!E4199,'Customer Info'!E4199:E4698,1,0)</f>
        <v>#N/A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291</v>
      </c>
      <c r="R4207" s="2" t="s">
        <v>28</v>
      </c>
      <c r="S4207" s="9">
        <f t="shared" si="329"/>
        <v>0.02</v>
      </c>
    </row>
    <row r="4208" spans="1:19" x14ac:dyDescent="0.3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e">
        <f>VLOOKUP('Customer Info'!B4200,'Customer Info'!B4200:B4699,1,0)</f>
        <v>#N/A</v>
      </c>
      <c r="H4208" s="6" t="e">
        <f>VLOOKUP('Customer Info'!C4200,'Customer Info'!C4200:C4699,1)</f>
        <v>#N/A</v>
      </c>
      <c r="I4208" s="6" t="e">
        <f>VLOOKUP('Customer Info'!E4200,'Customer Info'!E4200:E4699,1,0)</f>
        <v>#N/A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301</v>
      </c>
      <c r="R4208" s="2" t="s">
        <v>50</v>
      </c>
      <c r="S4208" s="9">
        <f t="shared" si="329"/>
        <v>0.02</v>
      </c>
    </row>
    <row r="4209" spans="1:19" x14ac:dyDescent="0.3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e">
        <f>VLOOKUP('Customer Info'!B4201,'Customer Info'!B4201:B4700,1,0)</f>
        <v>#N/A</v>
      </c>
      <c r="H4209" s="6" t="e">
        <f>VLOOKUP('Customer Info'!C4201,'Customer Info'!C4201:C4700,1)</f>
        <v>#N/A</v>
      </c>
      <c r="I4209" s="6" t="e">
        <f>VLOOKUP('Customer Info'!E4201,'Customer Info'!E4201:E4700,1,0)</f>
        <v>#N/A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291</v>
      </c>
      <c r="R4209" s="2" t="s">
        <v>50</v>
      </c>
      <c r="S4209" s="9">
        <f t="shared" si="329"/>
        <v>0.02</v>
      </c>
    </row>
    <row r="4210" spans="1:19" x14ac:dyDescent="0.3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e">
        <f>VLOOKUP('Customer Info'!B4202,'Customer Info'!B4202:B4701,1,0)</f>
        <v>#N/A</v>
      </c>
      <c r="H4210" s="6" t="e">
        <f>VLOOKUP('Customer Info'!C4202,'Customer Info'!C4202:C4701,1)</f>
        <v>#N/A</v>
      </c>
      <c r="I4210" s="6" t="e">
        <f>VLOOKUP('Customer Info'!E4202,'Customer Info'!E4202:E4701,1,0)</f>
        <v>#N/A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8</v>
      </c>
      <c r="R4210" s="2" t="s">
        <v>50</v>
      </c>
      <c r="S4210" s="9">
        <f t="shared" si="329"/>
        <v>0.02</v>
      </c>
    </row>
    <row r="4211" spans="1:19" x14ac:dyDescent="0.3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e">
        <f>VLOOKUP('Customer Info'!B4203,'Customer Info'!B4203:B4702,1,0)</f>
        <v>#N/A</v>
      </c>
      <c r="H4211" s="6" t="e">
        <f>VLOOKUP('Customer Info'!C4203,'Customer Info'!C4203:C4702,1)</f>
        <v>#N/A</v>
      </c>
      <c r="I4211" s="6" t="e">
        <f>VLOOKUP('Customer Info'!E4203,'Customer Info'!E4203:E4702,1,0)</f>
        <v>#N/A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1040</v>
      </c>
      <c r="R4211" s="2" t="s">
        <v>26</v>
      </c>
      <c r="S4211" s="9">
        <f t="shared" si="329"/>
        <v>0.05</v>
      </c>
    </row>
    <row r="4212" spans="1:19" x14ac:dyDescent="0.3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e">
        <f>VLOOKUP('Customer Info'!B4204,'Customer Info'!B4204:B4703,1,0)</f>
        <v>#N/A</v>
      </c>
      <c r="H4212" s="6" t="e">
        <f>VLOOKUP('Customer Info'!C4204,'Customer Info'!C4204:C4703,1)</f>
        <v>#N/A</v>
      </c>
      <c r="I4212" s="6" t="e">
        <f>VLOOKUP('Customer Info'!E4204,'Customer Info'!E4204:E4703,1,0)</f>
        <v>#N/A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1890</v>
      </c>
      <c r="R4212" s="2" t="s">
        <v>50</v>
      </c>
      <c r="S4212" s="9">
        <f t="shared" si="329"/>
        <v>0.05</v>
      </c>
    </row>
    <row r="4213" spans="1:19" x14ac:dyDescent="0.3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e">
        <f>VLOOKUP('Customer Info'!B4205,'Customer Info'!B4205:B4704,1,0)</f>
        <v>#N/A</v>
      </c>
      <c r="H4213" s="6" t="e">
        <f>VLOOKUP('Customer Info'!C4205,'Customer Info'!C4205:C4704,1)</f>
        <v>#N/A</v>
      </c>
      <c r="I4213" s="6" t="e">
        <f>VLOOKUP('Customer Info'!E4205,'Customer Info'!E4205:E4704,1,0)</f>
        <v>#N/A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104</v>
      </c>
      <c r="R4213" s="2" t="s">
        <v>50</v>
      </c>
      <c r="S4213" s="9">
        <f t="shared" si="329"/>
        <v>0.02</v>
      </c>
    </row>
    <row r="4214" spans="1:19" x14ac:dyDescent="0.3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e">
        <f>VLOOKUP('Customer Info'!B4206,'Customer Info'!B4206:B4705,1,0)</f>
        <v>#N/A</v>
      </c>
      <c r="H4214" s="6" t="e">
        <f>VLOOKUP('Customer Info'!C4206,'Customer Info'!C4206:C4705,1)</f>
        <v>#N/A</v>
      </c>
      <c r="I4214" s="6" t="e">
        <f>VLOOKUP('Customer Info'!E4206,'Customer Info'!E4206:E4705,1,0)</f>
        <v>#N/A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192</v>
      </c>
      <c r="R4214" s="2" t="s">
        <v>28</v>
      </c>
      <c r="S4214" s="9">
        <f t="shared" si="329"/>
        <v>0.02</v>
      </c>
    </row>
    <row r="4215" spans="1:19" x14ac:dyDescent="0.3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e">
        <f>VLOOKUP('Customer Info'!B4207,'Customer Info'!B4207:B4706,1,0)</f>
        <v>#N/A</v>
      </c>
      <c r="H4215" s="6" t="e">
        <f>VLOOKUP('Customer Info'!C4207,'Customer Info'!C4207:C4706,1)</f>
        <v>#N/A</v>
      </c>
      <c r="I4215" s="6" t="e">
        <f>VLOOKUP('Customer Info'!E4207,'Customer Info'!E4207:E4706,1,0)</f>
        <v>#N/A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88</v>
      </c>
      <c r="R4215" s="2" t="s">
        <v>50</v>
      </c>
      <c r="S4215" s="9">
        <f t="shared" si="329"/>
        <v>0.02</v>
      </c>
    </row>
    <row r="4216" spans="1:19" x14ac:dyDescent="0.3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e">
        <f>VLOOKUP('Customer Info'!B4208,'Customer Info'!B4208:B4707,1,0)</f>
        <v>#N/A</v>
      </c>
      <c r="H4216" s="6" t="e">
        <f>VLOOKUP('Customer Info'!C4208,'Customer Info'!C4208:C4707,1)</f>
        <v>#N/A</v>
      </c>
      <c r="I4216" s="6" t="e">
        <f>VLOOKUP('Customer Info'!E4208,'Customer Info'!E4208:E4707,1,0)</f>
        <v>#N/A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474</v>
      </c>
      <c r="R4216" s="2" t="s">
        <v>50</v>
      </c>
      <c r="S4216" s="9">
        <f t="shared" si="329"/>
        <v>0.05</v>
      </c>
    </row>
    <row r="4217" spans="1:19" x14ac:dyDescent="0.3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e">
        <f>VLOOKUP('Customer Info'!B4209,'Customer Info'!B4209:B4708,1,0)</f>
        <v>#N/A</v>
      </c>
      <c r="H4217" s="6" t="e">
        <f>VLOOKUP('Customer Info'!C4209,'Customer Info'!C4209:C4708,1)</f>
        <v>#N/A</v>
      </c>
      <c r="I4217" s="6" t="e">
        <f>VLOOKUP('Customer Info'!E4209,'Customer Info'!E4209:E4708,1,0)</f>
        <v>#N/A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94</v>
      </c>
      <c r="R4217" s="2" t="s">
        <v>28</v>
      </c>
      <c r="S4217" s="9">
        <f t="shared" si="329"/>
        <v>0.02</v>
      </c>
    </row>
    <row r="4218" spans="1:19" x14ac:dyDescent="0.3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e">
        <f>VLOOKUP('Customer Info'!B4210,'Customer Info'!B4210:B4709,1,0)</f>
        <v>#N/A</v>
      </c>
      <c r="H4218" s="6" t="e">
        <f>VLOOKUP('Customer Info'!C4210,'Customer Info'!C4210:C4709,1)</f>
        <v>#N/A</v>
      </c>
      <c r="I4218" s="6" t="e">
        <f>VLOOKUP('Customer Info'!E4210,'Customer Info'!E4210:E4709,1,0)</f>
        <v>#N/A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543</v>
      </c>
      <c r="R4218" s="2" t="s">
        <v>28</v>
      </c>
      <c r="S4218" s="9">
        <f t="shared" si="329"/>
        <v>0.05</v>
      </c>
    </row>
    <row r="4219" spans="1:19" x14ac:dyDescent="0.3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e">
        <f>VLOOKUP('Customer Info'!B4211,'Customer Info'!B4211:B4710,1,0)</f>
        <v>#N/A</v>
      </c>
      <c r="H4219" s="6" t="e">
        <f>VLOOKUP('Customer Info'!C4211,'Customer Info'!C4211:C4710,1)</f>
        <v>#N/A</v>
      </c>
      <c r="I4219" s="6" t="e">
        <f>VLOOKUP('Customer Info'!E4211,'Customer Info'!E4211:E4710,1,0)</f>
        <v>#N/A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948</v>
      </c>
      <c r="R4219" s="2" t="s">
        <v>50</v>
      </c>
      <c r="S4219" s="9">
        <f t="shared" si="329"/>
        <v>0.05</v>
      </c>
    </row>
    <row r="4220" spans="1:19" x14ac:dyDescent="0.3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e">
        <f>VLOOKUP('Customer Info'!B4212,'Customer Info'!B4212:B4711,1,0)</f>
        <v>#N/A</v>
      </c>
      <c r="H4220" s="6" t="e">
        <f>VLOOKUP('Customer Info'!C4212,'Customer Info'!C4212:C4711,1)</f>
        <v>#N/A</v>
      </c>
      <c r="I4220" s="6" t="e">
        <f>VLOOKUP('Customer Info'!E4212,'Customer Info'!E4212:E4711,1,0)</f>
        <v>#N/A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282</v>
      </c>
      <c r="R4220" s="2" t="s">
        <v>50</v>
      </c>
      <c r="S4220" s="9">
        <f t="shared" si="329"/>
        <v>0.02</v>
      </c>
    </row>
    <row r="4221" spans="1:19" x14ac:dyDescent="0.3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e">
        <f>VLOOKUP('Customer Info'!B4213,'Customer Info'!B4213:B4712,1,0)</f>
        <v>#N/A</v>
      </c>
      <c r="H4221" s="6" t="e">
        <f>VLOOKUP('Customer Info'!C4213,'Customer Info'!C4213:C4712,1)</f>
        <v>#N/A</v>
      </c>
      <c r="I4221" s="6" t="e">
        <f>VLOOKUP('Customer Info'!E4213,'Customer Info'!E4213:E4712,1,0)</f>
        <v>#N/A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12828</v>
      </c>
      <c r="R4221" s="2" t="s">
        <v>50</v>
      </c>
      <c r="S4221" s="9">
        <f t="shared" si="329"/>
        <v>0.12</v>
      </c>
    </row>
    <row r="4222" spans="1:19" x14ac:dyDescent="0.3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e">
        <f>VLOOKUP('Customer Info'!B4214,'Customer Info'!B4214:B4713,1,0)</f>
        <v>#N/A</v>
      </c>
      <c r="H4222" s="6" t="e">
        <f>VLOOKUP('Customer Info'!C4214,'Customer Info'!C4214:C4713,1)</f>
        <v>#N/A</v>
      </c>
      <c r="I4222" s="6" t="e">
        <f>VLOOKUP('Customer Info'!E4214,'Customer Info'!E4214:E4713,1,0)</f>
        <v>#N/A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6</v>
      </c>
      <c r="R4222" s="2" t="s">
        <v>50</v>
      </c>
      <c r="S4222" s="9">
        <f t="shared" si="329"/>
        <v>0.02</v>
      </c>
    </row>
    <row r="4223" spans="1:19" x14ac:dyDescent="0.3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e">
        <f>VLOOKUP('Customer Info'!B4215,'Customer Info'!B4215:B4714,1,0)</f>
        <v>#N/A</v>
      </c>
      <c r="H4223" s="6" t="e">
        <f>VLOOKUP('Customer Info'!C4215,'Customer Info'!C4215:C4714,1)</f>
        <v>#N/A</v>
      </c>
      <c r="I4223" s="6" t="e">
        <f>VLOOKUP('Customer Info'!E4215,'Customer Info'!E4215:E4714,1,0)</f>
        <v>#N/A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318</v>
      </c>
      <c r="R4223" s="2" t="s">
        <v>28</v>
      </c>
      <c r="S4223" s="9">
        <f t="shared" si="329"/>
        <v>0.05</v>
      </c>
    </row>
    <row r="4224" spans="1:19" x14ac:dyDescent="0.3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e">
        <f>VLOOKUP('Customer Info'!B4216,'Customer Info'!B4216:B4715,1,0)</f>
        <v>#N/A</v>
      </c>
      <c r="H4224" s="6" t="e">
        <f>VLOOKUP('Customer Info'!C4216,'Customer Info'!C4216:C4715,1)</f>
        <v>#N/A</v>
      </c>
      <c r="I4224" s="6" t="e">
        <f>VLOOKUP('Customer Info'!E4216,'Customer Info'!E4216:E4715,1,0)</f>
        <v>#N/A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20</v>
      </c>
      <c r="R4224" s="2" t="s">
        <v>28</v>
      </c>
      <c r="S4224" s="9">
        <f t="shared" si="329"/>
        <v>0.02</v>
      </c>
    </row>
    <row r="4225" spans="1:19" x14ac:dyDescent="0.3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e">
        <f>VLOOKUP('Customer Info'!B4217,'Customer Info'!B4217:B4716,1,0)</f>
        <v>#N/A</v>
      </c>
      <c r="H4225" s="6" t="e">
        <f>VLOOKUP('Customer Info'!C4217,'Customer Info'!C4217:C4716,1)</f>
        <v>#N/A</v>
      </c>
      <c r="I4225" s="6" t="e">
        <f>VLOOKUP('Customer Info'!E4217,'Customer Info'!E4217:E4716,1,0)</f>
        <v>#N/A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264</v>
      </c>
      <c r="R4225" s="2" t="s">
        <v>50</v>
      </c>
      <c r="S4225" s="9">
        <f t="shared" si="329"/>
        <v>0.02</v>
      </c>
    </row>
    <row r="4226" spans="1:19" x14ac:dyDescent="0.3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e">
        <f>VLOOKUP('Customer Info'!B4218,'Customer Info'!B4218:B4717,1,0)</f>
        <v>#N/A</v>
      </c>
      <c r="H4226" s="6" t="e">
        <f>VLOOKUP('Customer Info'!C4218,'Customer Info'!C4218:C4717,1)</f>
        <v>#N/A</v>
      </c>
      <c r="I4226" s="6" t="e">
        <f>VLOOKUP('Customer Info'!E4218,'Customer Info'!E4218:E4717,1,0)</f>
        <v>#N/A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15</v>
      </c>
      <c r="R4226" s="2" t="s">
        <v>28</v>
      </c>
      <c r="S4226" s="9">
        <f t="shared" si="329"/>
        <v>0.02</v>
      </c>
    </row>
    <row r="4227" spans="1:19" x14ac:dyDescent="0.3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e">
        <f>VLOOKUP('Customer Info'!B4219,'Customer Info'!B4219:B4718,1,0)</f>
        <v>#N/A</v>
      </c>
      <c r="H4227" s="6" t="e">
        <f>VLOOKUP('Customer Info'!C4219,'Customer Info'!C4219:C4718,1)</f>
        <v>#N/A</v>
      </c>
      <c r="I4227" s="6" t="e">
        <f>VLOOKUP('Customer Info'!E4219,'Customer Info'!E4219:E4718,1,0)</f>
        <v>#N/A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474</v>
      </c>
      <c r="R4227" s="2" t="s">
        <v>28</v>
      </c>
      <c r="S4227" s="9">
        <f t="shared" si="329"/>
        <v>0.05</v>
      </c>
    </row>
    <row r="4228" spans="1:19" x14ac:dyDescent="0.3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e">
        <f>VLOOKUP('Customer Info'!B4220,'Customer Info'!B4220:B4719,1,0)</f>
        <v>#N/A</v>
      </c>
      <c r="H4228" s="6" t="e">
        <f>VLOOKUP('Customer Info'!C4220,'Customer Info'!C4220:C4719,1)</f>
        <v>#N/A</v>
      </c>
      <c r="I4228" s="6" t="e">
        <f>VLOOKUP('Customer Info'!E4220,'Customer Info'!E4220:E4719,1,0)</f>
        <v>#N/A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696</v>
      </c>
      <c r="R4228" s="2" t="s">
        <v>50</v>
      </c>
      <c r="S4228" s="9">
        <f t="shared" si="329"/>
        <v>0.05</v>
      </c>
    </row>
    <row r="4229" spans="1:19" x14ac:dyDescent="0.3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e">
        <f>VLOOKUP('Customer Info'!B4221,'Customer Info'!B4221:B4720,1,0)</f>
        <v>#N/A</v>
      </c>
      <c r="H4229" s="6" t="e">
        <f>VLOOKUP('Customer Info'!C4221,'Customer Info'!C4221:C4720,1)</f>
        <v>#N/A</v>
      </c>
      <c r="I4229" s="6" t="e">
        <f>VLOOKUP('Customer Info'!E4221,'Customer Info'!E4221:E4720,1,0)</f>
        <v>#N/A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233</v>
      </c>
      <c r="R4229" s="2" t="s">
        <v>50</v>
      </c>
      <c r="S4229" s="9">
        <f t="shared" si="329"/>
        <v>0.02</v>
      </c>
    </row>
    <row r="4230" spans="1:19" x14ac:dyDescent="0.3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e">
        <f>VLOOKUP('Customer Info'!B4222,'Customer Info'!B4222:B4721,1,0)</f>
        <v>#N/A</v>
      </c>
      <c r="H4230" s="6" t="e">
        <f>VLOOKUP('Customer Info'!C4222,'Customer Info'!C4222:C4721,1)</f>
        <v>#N/A</v>
      </c>
      <c r="I4230" s="6" t="e">
        <f>VLOOKUP('Customer Info'!E4222,'Customer Info'!E4222:E4721,1,0)</f>
        <v>#N/A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129</v>
      </c>
      <c r="R4230" s="2" t="s">
        <v>50</v>
      </c>
      <c r="S4230" s="9">
        <f t="shared" si="329"/>
        <v>0.02</v>
      </c>
    </row>
    <row r="4231" spans="1:19" x14ac:dyDescent="0.3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e">
        <f>VLOOKUP('Customer Info'!B4223,'Customer Info'!B4223:B4722,1,0)</f>
        <v>#N/A</v>
      </c>
      <c r="H4231" s="6" t="e">
        <f>VLOOKUP('Customer Info'!C4223,'Customer Info'!C4223:C4722,1)</f>
        <v>#N/A</v>
      </c>
      <c r="I4231" s="6" t="e">
        <f>VLOOKUP('Customer Info'!E4223,'Customer Info'!E4223:E4722,1,0)</f>
        <v>#N/A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668</v>
      </c>
      <c r="R4231" s="2" t="s">
        <v>28</v>
      </c>
      <c r="S4231" s="9">
        <f t="shared" si="329"/>
        <v>0.05</v>
      </c>
    </row>
    <row r="4232" spans="1:19" x14ac:dyDescent="0.3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e">
        <f>VLOOKUP('Customer Info'!B4224,'Customer Info'!B4224:B4723,1,0)</f>
        <v>#N/A</v>
      </c>
      <c r="H4232" s="6" t="e">
        <f>VLOOKUP('Customer Info'!C4224,'Customer Info'!C4224:C4723,1)</f>
        <v>#N/A</v>
      </c>
      <c r="I4232" s="6" t="e">
        <f>VLOOKUP('Customer Info'!E4224,'Customer Info'!E4224:E4723,1,0)</f>
        <v>#N/A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6</v>
      </c>
      <c r="R4232" s="2" t="s">
        <v>28</v>
      </c>
      <c r="S4232" s="9">
        <f t="shared" si="329"/>
        <v>0.02</v>
      </c>
    </row>
    <row r="4233" spans="1:19" x14ac:dyDescent="0.3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e">
        <f>VLOOKUP('Customer Info'!B4225,'Customer Info'!B4225:B4724,1,0)</f>
        <v>#N/A</v>
      </c>
      <c r="H4233" s="6" t="e">
        <f>VLOOKUP('Customer Info'!C4225,'Customer Info'!C4225:C4724,1)</f>
        <v>#N/A</v>
      </c>
      <c r="I4233" s="6" t="e">
        <f>VLOOKUP('Customer Info'!E4225,'Customer Info'!E4225:E4724,1,0)</f>
        <v>#N/A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266</v>
      </c>
      <c r="R4233" s="2" t="s">
        <v>26</v>
      </c>
      <c r="S4233" s="9">
        <f t="shared" si="329"/>
        <v>0.02</v>
      </c>
    </row>
    <row r="4234" spans="1:19" x14ac:dyDescent="0.3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e">
        <f>VLOOKUP('Customer Info'!B4226,'Customer Info'!B4226:B4725,1,0)</f>
        <v>#N/A</v>
      </c>
      <c r="H4234" s="6" t="e">
        <f>VLOOKUP('Customer Info'!C4226,'Customer Info'!C4226:C4725,1)</f>
        <v>#N/A</v>
      </c>
      <c r="I4234" s="6" t="e">
        <f>VLOOKUP('Customer Info'!E4226,'Customer Info'!E4226:E4725,1,0)</f>
        <v>#N/A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485</v>
      </c>
      <c r="R4234" s="2" t="s">
        <v>50</v>
      </c>
      <c r="S4234" s="9">
        <f t="shared" si="329"/>
        <v>0.05</v>
      </c>
    </row>
    <row r="4235" spans="1:19" x14ac:dyDescent="0.3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e">
        <f>VLOOKUP('Customer Info'!B4227,'Customer Info'!B4227:B4726,1,0)</f>
        <v>#N/A</v>
      </c>
      <c r="H4235" s="6" t="e">
        <f>VLOOKUP('Customer Info'!C4227,'Customer Info'!C4227:C4726,1)</f>
        <v>#N/A</v>
      </c>
      <c r="I4235" s="6" t="e">
        <f>VLOOKUP('Customer Info'!E4227,'Customer Info'!E4227:E4726,1,0)</f>
        <v>#N/A</v>
      </c>
      <c r="J4235" s="2">
        <v>531</v>
      </c>
      <c r="K4235" s="2">
        <v>487</v>
      </c>
      <c r="L4235" s="2">
        <v>6</v>
      </c>
      <c r="M4235" s="7">
        <f t="shared" ref="M4235:M4298" si="330">(K4235*L4235)</f>
        <v>2922</v>
      </c>
      <c r="N4235" s="7">
        <f t="shared" ref="N4235:N4298" si="331">(J4235*L4235)</f>
        <v>3186</v>
      </c>
      <c r="O4235" s="2">
        <v>30</v>
      </c>
      <c r="P4235" s="8">
        <f t="shared" ref="P4235:P4298" si="332">(N4235+O4235)</f>
        <v>3216</v>
      </c>
      <c r="Q4235" s="8">
        <f t="shared" ref="Q4235:Q4298" si="333">(N4235-M4235)</f>
        <v>264</v>
      </c>
      <c r="R4235" s="2" t="s">
        <v>28</v>
      </c>
      <c r="S4235" s="9">
        <f t="shared" ref="S4235:S4298" si="334">_xlfn.IFS(P4235&gt;250000,0.15,P4235&gt;100000,0.12,P4235&gt;50000,0.09,P4235&gt;25000,0.07,P4235&gt;5000,0.05,
 TRUE,0.02)</f>
        <v>0.02</v>
      </c>
    </row>
    <row r="4236" spans="1:19" x14ac:dyDescent="0.3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e">
        <f>VLOOKUP('Customer Info'!B4228,'Customer Info'!B4228:B4727,1,0)</f>
        <v>#N/A</v>
      </c>
      <c r="H4236" s="6" t="e">
        <f>VLOOKUP('Customer Info'!C4228,'Customer Info'!C4228:C4727,1)</f>
        <v>#N/A</v>
      </c>
      <c r="I4236" s="6" t="e">
        <f>VLOOKUP('Customer Info'!E4228,'Customer Info'!E4228:E4727,1,0)</f>
        <v>#N/A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73</v>
      </c>
      <c r="R4236" s="2" t="s">
        <v>28</v>
      </c>
      <c r="S4236" s="9">
        <f t="shared" si="334"/>
        <v>0.02</v>
      </c>
    </row>
    <row r="4237" spans="1:19" x14ac:dyDescent="0.3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e">
        <f>VLOOKUP('Customer Info'!B4229,'Customer Info'!B4229:B4728,1,0)</f>
        <v>#N/A</v>
      </c>
      <c r="H4237" s="6" t="e">
        <f>VLOOKUP('Customer Info'!C4229,'Customer Info'!C4229:C4728,1)</f>
        <v>#N/A</v>
      </c>
      <c r="I4237" s="6" t="e">
        <f>VLOOKUP('Customer Info'!E4229,'Customer Info'!E4229:E4728,1,0)</f>
        <v>#N/A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30</v>
      </c>
      <c r="R4237" s="2" t="s">
        <v>28</v>
      </c>
      <c r="S4237" s="9">
        <f t="shared" si="334"/>
        <v>0.02</v>
      </c>
    </row>
    <row r="4238" spans="1:19" x14ac:dyDescent="0.3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e">
        <f>VLOOKUP('Customer Info'!B4230,'Customer Info'!B4230:B4729,1,0)</f>
        <v>#N/A</v>
      </c>
      <c r="H4238" s="6" t="e">
        <f>VLOOKUP('Customer Info'!C4230,'Customer Info'!C4230:C4729,1)</f>
        <v>#N/A</v>
      </c>
      <c r="I4238" s="6" t="e">
        <f>VLOOKUP('Customer Info'!E4230,'Customer Info'!E4230:E4729,1,0)</f>
        <v>#N/A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52</v>
      </c>
      <c r="R4238" s="2" t="s">
        <v>28</v>
      </c>
      <c r="S4238" s="9">
        <f t="shared" si="334"/>
        <v>0.02</v>
      </c>
    </row>
    <row r="4239" spans="1:19" x14ac:dyDescent="0.3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e">
        <f>VLOOKUP('Customer Info'!B4231,'Customer Info'!B4231:B4730,1,0)</f>
        <v>#N/A</v>
      </c>
      <c r="H4239" s="6" t="e">
        <f>VLOOKUP('Customer Info'!C4231,'Customer Info'!C4231:C4730,1)</f>
        <v>#N/A</v>
      </c>
      <c r="I4239" s="6" t="e">
        <f>VLOOKUP('Customer Info'!E4231,'Customer Info'!E4231:E4730,1,0)</f>
        <v>#N/A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160</v>
      </c>
      <c r="R4239" s="2" t="s">
        <v>28</v>
      </c>
      <c r="S4239" s="9">
        <f t="shared" si="334"/>
        <v>0.02</v>
      </c>
    </row>
    <row r="4240" spans="1:19" x14ac:dyDescent="0.3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e">
        <f>VLOOKUP('Customer Info'!B4232,'Customer Info'!B4232:B4731,1,0)</f>
        <v>#N/A</v>
      </c>
      <c r="H4240" s="6" t="e">
        <f>VLOOKUP('Customer Info'!C4232,'Customer Info'!C4232:C4731,1)</f>
        <v>#N/A</v>
      </c>
      <c r="I4240" s="6" t="e">
        <f>VLOOKUP('Customer Info'!E4232,'Customer Info'!E4232:E4731,1,0)</f>
        <v>#N/A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59</v>
      </c>
      <c r="R4240" s="2" t="s">
        <v>28</v>
      </c>
      <c r="S4240" s="9">
        <f t="shared" si="334"/>
        <v>0.02</v>
      </c>
    </row>
    <row r="4241" spans="1:19" x14ac:dyDescent="0.3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e">
        <f>VLOOKUP('Customer Info'!B4233,'Customer Info'!B4233:B4732,1,0)</f>
        <v>#N/A</v>
      </c>
      <c r="H4241" s="6" t="e">
        <f>VLOOKUP('Customer Info'!C4233,'Customer Info'!C4233:C4732,1)</f>
        <v>#N/A</v>
      </c>
      <c r="I4241" s="6" t="e">
        <f>VLOOKUP('Customer Info'!E4233,'Customer Info'!E4233:E4732,1,0)</f>
        <v>#N/A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18</v>
      </c>
      <c r="R4241" s="2" t="s">
        <v>28</v>
      </c>
      <c r="S4241" s="9">
        <f t="shared" si="334"/>
        <v>0.02</v>
      </c>
    </row>
    <row r="4242" spans="1:19" x14ac:dyDescent="0.3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e">
        <f>VLOOKUP('Customer Info'!B4234,'Customer Info'!B4234:B4733,1,0)</f>
        <v>#N/A</v>
      </c>
      <c r="H4242" s="6" t="e">
        <f>VLOOKUP('Customer Info'!C4234,'Customer Info'!C4234:C4733,1)</f>
        <v>#N/A</v>
      </c>
      <c r="I4242" s="6" t="e">
        <f>VLOOKUP('Customer Info'!E4234,'Customer Info'!E4234:E4733,1,0)</f>
        <v>#N/A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585</v>
      </c>
      <c r="R4242" s="2" t="s">
        <v>28</v>
      </c>
      <c r="S4242" s="9">
        <f t="shared" si="334"/>
        <v>0.05</v>
      </c>
    </row>
    <row r="4243" spans="1:19" x14ac:dyDescent="0.3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e">
        <f>VLOOKUP('Customer Info'!B4235,'Customer Info'!B4235:B4734,1,0)</f>
        <v>#N/A</v>
      </c>
      <c r="H4243" s="6" t="e">
        <f>VLOOKUP('Customer Info'!C4235,'Customer Info'!C4235:C4734,1)</f>
        <v>#N/A</v>
      </c>
      <c r="I4243" s="6" t="e">
        <f>VLOOKUP('Customer Info'!E4235,'Customer Info'!E4235:E4734,1,0)</f>
        <v>#N/A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165</v>
      </c>
      <c r="R4243" s="2" t="s">
        <v>56</v>
      </c>
      <c r="S4243" s="9">
        <f t="shared" si="334"/>
        <v>0.02</v>
      </c>
    </row>
    <row r="4244" spans="1:19" x14ac:dyDescent="0.3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e">
        <f>VLOOKUP('Customer Info'!B4236,'Customer Info'!B4236:B4735,1,0)</f>
        <v>#N/A</v>
      </c>
      <c r="H4244" s="6" t="e">
        <f>VLOOKUP('Customer Info'!C4236,'Customer Info'!C4236:C4735,1)</f>
        <v>#N/A</v>
      </c>
      <c r="I4244" s="6" t="e">
        <f>VLOOKUP('Customer Info'!E4236,'Customer Info'!E4236:E4735,1,0)</f>
        <v>#N/A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1183</v>
      </c>
      <c r="R4244" s="2" t="s">
        <v>50</v>
      </c>
      <c r="S4244" s="9">
        <f t="shared" si="334"/>
        <v>7.0000000000000007E-2</v>
      </c>
    </row>
    <row r="4245" spans="1:19" x14ac:dyDescent="0.3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e">
        <f>VLOOKUP('Customer Info'!B4237,'Customer Info'!B4237:B4736,1,0)</f>
        <v>#N/A</v>
      </c>
      <c r="H4245" s="6" t="e">
        <f>VLOOKUP('Customer Info'!C4237,'Customer Info'!C4237:C4736,1)</f>
        <v>#N/A</v>
      </c>
      <c r="I4245" s="6" t="e">
        <f>VLOOKUP('Customer Info'!E4237,'Customer Info'!E4237:E4736,1,0)</f>
        <v>#N/A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365</v>
      </c>
      <c r="R4245" s="2" t="s">
        <v>26</v>
      </c>
      <c r="S4245" s="9">
        <f t="shared" si="334"/>
        <v>0.05</v>
      </c>
    </row>
    <row r="4246" spans="1:19" x14ac:dyDescent="0.3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e">
        <f>VLOOKUP('Customer Info'!B4238,'Customer Info'!B4238:B4737,1,0)</f>
        <v>#N/A</v>
      </c>
      <c r="H4246" s="6" t="e">
        <f>VLOOKUP('Customer Info'!C4238,'Customer Info'!C4238:C4737,1)</f>
        <v>#N/A</v>
      </c>
      <c r="I4246" s="6" t="e">
        <f>VLOOKUP('Customer Info'!E4238,'Customer Info'!E4238:E4737,1,0)</f>
        <v>#N/A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270</v>
      </c>
      <c r="R4246" s="2" t="s">
        <v>50</v>
      </c>
      <c r="S4246" s="9">
        <f t="shared" si="334"/>
        <v>0.02</v>
      </c>
    </row>
    <row r="4247" spans="1:19" x14ac:dyDescent="0.3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e">
        <f>VLOOKUP('Customer Info'!B4239,'Customer Info'!B4239:B4738,1,0)</f>
        <v>#N/A</v>
      </c>
      <c r="H4247" s="6" t="e">
        <f>VLOOKUP('Customer Info'!C4239,'Customer Info'!C4239:C4738,1)</f>
        <v>#N/A</v>
      </c>
      <c r="I4247" s="6" t="e">
        <f>VLOOKUP('Customer Info'!E4239,'Customer Info'!E4239:E4738,1,0)</f>
        <v>#N/A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143</v>
      </c>
      <c r="R4247" s="2" t="s">
        <v>28</v>
      </c>
      <c r="S4247" s="9">
        <f t="shared" si="334"/>
        <v>0.02</v>
      </c>
    </row>
    <row r="4248" spans="1:19" x14ac:dyDescent="0.3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e">
        <f>VLOOKUP('Customer Info'!B4240,'Customer Info'!B4240:B4739,1,0)</f>
        <v>#N/A</v>
      </c>
      <c r="H4248" s="6" t="e">
        <f>VLOOKUP('Customer Info'!C4240,'Customer Info'!C4240:C4739,1)</f>
        <v>#N/A</v>
      </c>
      <c r="I4248" s="6" t="e">
        <f>VLOOKUP('Customer Info'!E4240,'Customer Info'!E4240:E4739,1,0)</f>
        <v>#N/A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1023</v>
      </c>
      <c r="R4248" s="2" t="s">
        <v>28</v>
      </c>
      <c r="S4248" s="9">
        <f t="shared" si="334"/>
        <v>0.05</v>
      </c>
    </row>
    <row r="4249" spans="1:19" x14ac:dyDescent="0.3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e">
        <f>VLOOKUP('Customer Info'!B4241,'Customer Info'!B4241:B4740,1,0)</f>
        <v>#N/A</v>
      </c>
      <c r="H4249" s="6" t="e">
        <f>VLOOKUP('Customer Info'!C4241,'Customer Info'!C4241:C4740,1)</f>
        <v>#N/A</v>
      </c>
      <c r="I4249" s="6" t="e">
        <f>VLOOKUP('Customer Info'!E4241,'Customer Info'!E4241:E4740,1,0)</f>
        <v>#N/A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141</v>
      </c>
      <c r="R4249" s="2" t="s">
        <v>28</v>
      </c>
      <c r="S4249" s="9">
        <f t="shared" si="334"/>
        <v>0.02</v>
      </c>
    </row>
    <row r="4250" spans="1:19" x14ac:dyDescent="0.3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e">
        <f>VLOOKUP('Customer Info'!B4242,'Customer Info'!B4242:B4741,1,0)</f>
        <v>#N/A</v>
      </c>
      <c r="H4250" s="6" t="e">
        <f>VLOOKUP('Customer Info'!C4242,'Customer Info'!C4242:C4741,1)</f>
        <v>#N/A</v>
      </c>
      <c r="I4250" s="6" t="e">
        <f>VLOOKUP('Customer Info'!E4242,'Customer Info'!E4242:E4741,1,0)</f>
        <v>#N/A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3600</v>
      </c>
      <c r="R4250" s="2" t="s">
        <v>28</v>
      </c>
      <c r="S4250" s="9">
        <f t="shared" si="334"/>
        <v>7.0000000000000007E-2</v>
      </c>
    </row>
    <row r="4251" spans="1:19" x14ac:dyDescent="0.3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e">
        <f>VLOOKUP('Customer Info'!B4243,'Customer Info'!B4243:B4742,1,0)</f>
        <v>#N/A</v>
      </c>
      <c r="H4251" s="6" t="e">
        <f>VLOOKUP('Customer Info'!C4243,'Customer Info'!C4243:C4742,1)</f>
        <v>#N/A</v>
      </c>
      <c r="I4251" s="6" t="e">
        <f>VLOOKUP('Customer Info'!E4243,'Customer Info'!E4243:E4742,1,0)</f>
        <v>#N/A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12</v>
      </c>
      <c r="R4251" s="2" t="s">
        <v>28</v>
      </c>
      <c r="S4251" s="9">
        <f t="shared" si="334"/>
        <v>0.02</v>
      </c>
    </row>
    <row r="4252" spans="1:19" x14ac:dyDescent="0.3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e">
        <f>VLOOKUP('Customer Info'!B4244,'Customer Info'!B4244:B4743,1,0)</f>
        <v>#N/A</v>
      </c>
      <c r="H4252" s="6" t="e">
        <f>VLOOKUP('Customer Info'!C4244,'Customer Info'!C4244:C4743,1)</f>
        <v>#N/A</v>
      </c>
      <c r="I4252" s="6" t="e">
        <f>VLOOKUP('Customer Info'!E4244,'Customer Info'!E4244:E4743,1,0)</f>
        <v>#N/A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234</v>
      </c>
      <c r="R4252" s="2" t="s">
        <v>28</v>
      </c>
      <c r="S4252" s="9">
        <f t="shared" si="334"/>
        <v>0.02</v>
      </c>
    </row>
    <row r="4253" spans="1:19" x14ac:dyDescent="0.3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e">
        <f>VLOOKUP('Customer Info'!B4245,'Customer Info'!B4245:B4744,1,0)</f>
        <v>#N/A</v>
      </c>
      <c r="H4253" s="6" t="e">
        <f>VLOOKUP('Customer Info'!C4245,'Customer Info'!C4245:C4744,1)</f>
        <v>#N/A</v>
      </c>
      <c r="I4253" s="6" t="e">
        <f>VLOOKUP('Customer Info'!E4245,'Customer Info'!E4245:E4744,1,0)</f>
        <v>#N/A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8</v>
      </c>
      <c r="R4253" s="2" t="s">
        <v>28</v>
      </c>
      <c r="S4253" s="9">
        <f t="shared" si="334"/>
        <v>0.02</v>
      </c>
    </row>
    <row r="4254" spans="1:19" x14ac:dyDescent="0.3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e">
        <f>VLOOKUP('Customer Info'!B4246,'Customer Info'!B4246:B4745,1,0)</f>
        <v>#N/A</v>
      </c>
      <c r="H4254" s="6" t="e">
        <f>VLOOKUP('Customer Info'!C4246,'Customer Info'!C4246:C4745,1)</f>
        <v>#N/A</v>
      </c>
      <c r="I4254" s="6" t="e">
        <f>VLOOKUP('Customer Info'!E4246,'Customer Info'!E4246:E4745,1,0)</f>
        <v>#N/A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1284</v>
      </c>
      <c r="R4254" s="2" t="s">
        <v>28</v>
      </c>
      <c r="S4254" s="9">
        <f t="shared" si="334"/>
        <v>0.05</v>
      </c>
    </row>
    <row r="4255" spans="1:19" x14ac:dyDescent="0.3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e">
        <f>VLOOKUP('Customer Info'!B4247,'Customer Info'!B4247:B4746,1,0)</f>
        <v>#N/A</v>
      </c>
      <c r="H4255" s="6" t="e">
        <f>VLOOKUP('Customer Info'!C4247,'Customer Info'!C4247:C4746,1)</f>
        <v>#N/A</v>
      </c>
      <c r="I4255" s="6" t="e">
        <f>VLOOKUP('Customer Info'!E4247,'Customer Info'!E4247:E4746,1,0)</f>
        <v>#N/A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7158</v>
      </c>
      <c r="R4255" s="2" t="s">
        <v>50</v>
      </c>
      <c r="S4255" s="9">
        <f t="shared" si="334"/>
        <v>0.09</v>
      </c>
    </row>
    <row r="4256" spans="1:19" x14ac:dyDescent="0.3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e">
        <f>VLOOKUP('Customer Info'!B4248,'Customer Info'!B4248:B4747,1,0)</f>
        <v>#N/A</v>
      </c>
      <c r="H4256" s="6" t="e">
        <f>VLOOKUP('Customer Info'!C4248,'Customer Info'!C4248:C4747,1)</f>
        <v>#N/A</v>
      </c>
      <c r="I4256" s="6" t="e">
        <f>VLOOKUP('Customer Info'!E4248,'Customer Info'!E4248:E4747,1,0)</f>
        <v>#N/A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915</v>
      </c>
      <c r="R4256" s="2" t="s">
        <v>50</v>
      </c>
      <c r="S4256" s="9">
        <f t="shared" si="334"/>
        <v>0.05</v>
      </c>
    </row>
    <row r="4257" spans="1:19" x14ac:dyDescent="0.3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e">
        <f>VLOOKUP('Customer Info'!B4249,'Customer Info'!B4249:B4748,1,0)</f>
        <v>#N/A</v>
      </c>
      <c r="H4257" s="6" t="e">
        <f>VLOOKUP('Customer Info'!C4249,'Customer Info'!C4249:C4748,1)</f>
        <v>#N/A</v>
      </c>
      <c r="I4257" s="6" t="e">
        <f>VLOOKUP('Customer Info'!E4249,'Customer Info'!E4249:E4748,1,0)</f>
        <v>#N/A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106</v>
      </c>
      <c r="R4257" s="2" t="s">
        <v>28</v>
      </c>
      <c r="S4257" s="9">
        <f t="shared" si="334"/>
        <v>0.02</v>
      </c>
    </row>
    <row r="4258" spans="1:19" x14ac:dyDescent="0.3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e">
        <f>VLOOKUP('Customer Info'!B4250,'Customer Info'!B4250:B4749,1,0)</f>
        <v>#N/A</v>
      </c>
      <c r="H4258" s="6" t="e">
        <f>VLOOKUP('Customer Info'!C4250,'Customer Info'!C4250:C4749,1)</f>
        <v>#N/A</v>
      </c>
      <c r="I4258" s="6" t="e">
        <f>VLOOKUP('Customer Info'!E4250,'Customer Info'!E4250:E4749,1,0)</f>
        <v>#N/A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15820</v>
      </c>
      <c r="R4258" s="2" t="s">
        <v>50</v>
      </c>
      <c r="S4258" s="9">
        <f t="shared" si="334"/>
        <v>0.12</v>
      </c>
    </row>
    <row r="4259" spans="1:19" x14ac:dyDescent="0.3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e">
        <f>VLOOKUP('Customer Info'!B4251,'Customer Info'!B4251:B4750,1,0)</f>
        <v>#N/A</v>
      </c>
      <c r="H4259" s="6" t="e">
        <f>VLOOKUP('Customer Info'!C4251,'Customer Info'!C4251:C4750,1)</f>
        <v>#N/A</v>
      </c>
      <c r="I4259" s="6" t="e">
        <f>VLOOKUP('Customer Info'!E4251,'Customer Info'!E4251:E4750,1,0)</f>
        <v>#N/A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480</v>
      </c>
      <c r="R4259" s="2" t="s">
        <v>56</v>
      </c>
      <c r="S4259" s="9">
        <f t="shared" si="334"/>
        <v>0.05</v>
      </c>
    </row>
    <row r="4260" spans="1:19" x14ac:dyDescent="0.3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e">
        <f>VLOOKUP('Customer Info'!B4252,'Customer Info'!B4252:B4751,1,0)</f>
        <v>#N/A</v>
      </c>
      <c r="H4260" s="6" t="e">
        <f>VLOOKUP('Customer Info'!C4252,'Customer Info'!C4252:C4751,1)</f>
        <v>#N/A</v>
      </c>
      <c r="I4260" s="6" t="e">
        <f>VLOOKUP('Customer Info'!E4252,'Customer Info'!E4252:E4751,1,0)</f>
        <v>#N/A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120</v>
      </c>
      <c r="R4260" s="2" t="s">
        <v>28</v>
      </c>
      <c r="S4260" s="9">
        <f t="shared" si="334"/>
        <v>0.02</v>
      </c>
    </row>
    <row r="4261" spans="1:19" x14ac:dyDescent="0.3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e">
        <f>VLOOKUP('Customer Info'!B4253,'Customer Info'!B4253:B4752,1,0)</f>
        <v>#N/A</v>
      </c>
      <c r="H4261" s="6" t="e">
        <f>VLOOKUP('Customer Info'!C4253,'Customer Info'!C4253:C4752,1)</f>
        <v>#N/A</v>
      </c>
      <c r="I4261" s="6" t="e">
        <f>VLOOKUP('Customer Info'!E4253,'Customer Info'!E4253:E4752,1,0)</f>
        <v>#N/A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330</v>
      </c>
      <c r="R4261" s="2" t="s">
        <v>28</v>
      </c>
      <c r="S4261" s="9">
        <f t="shared" si="334"/>
        <v>0.05</v>
      </c>
    </row>
    <row r="4262" spans="1:19" x14ac:dyDescent="0.3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e">
        <f>VLOOKUP('Customer Info'!B4254,'Customer Info'!B4254:B4753,1,0)</f>
        <v>#N/A</v>
      </c>
      <c r="H4262" s="6" t="e">
        <f>VLOOKUP('Customer Info'!C4254,'Customer Info'!C4254:C4753,1)</f>
        <v>#N/A</v>
      </c>
      <c r="I4262" s="6" t="e">
        <f>VLOOKUP('Customer Info'!E4254,'Customer Info'!E4254:E4753,1,0)</f>
        <v>#N/A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660</v>
      </c>
      <c r="R4262" s="2" t="s">
        <v>50</v>
      </c>
      <c r="S4262" s="9">
        <f t="shared" si="334"/>
        <v>0.05</v>
      </c>
    </row>
    <row r="4263" spans="1:19" x14ac:dyDescent="0.3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e">
        <f>VLOOKUP('Customer Info'!B4255,'Customer Info'!B4255:B4754,1,0)</f>
        <v>#N/A</v>
      </c>
      <c r="H4263" s="6" t="e">
        <f>VLOOKUP('Customer Info'!C4255,'Customer Info'!C4255:C4754,1)</f>
        <v>#N/A</v>
      </c>
      <c r="I4263" s="6" t="e">
        <f>VLOOKUP('Customer Info'!E4255,'Customer Info'!E4255:E4754,1,0)</f>
        <v>#N/A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12</v>
      </c>
      <c r="R4263" s="2" t="s">
        <v>28</v>
      </c>
      <c r="S4263" s="9">
        <f t="shared" si="334"/>
        <v>0.02</v>
      </c>
    </row>
    <row r="4264" spans="1:19" x14ac:dyDescent="0.3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e">
        <f>VLOOKUP('Customer Info'!B4256,'Customer Info'!B4256:B4755,1,0)</f>
        <v>#N/A</v>
      </c>
      <c r="H4264" s="6" t="e">
        <f>VLOOKUP('Customer Info'!C4256,'Customer Info'!C4256:C4755,1)</f>
        <v>#N/A</v>
      </c>
      <c r="I4264" s="6" t="e">
        <f>VLOOKUP('Customer Info'!E4256,'Customer Info'!E4256:E4755,1,0)</f>
        <v>#N/A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684</v>
      </c>
      <c r="R4264" s="2" t="s">
        <v>28</v>
      </c>
      <c r="S4264" s="9">
        <f t="shared" si="334"/>
        <v>0.05</v>
      </c>
    </row>
    <row r="4265" spans="1:19" x14ac:dyDescent="0.3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e">
        <f>VLOOKUP('Customer Info'!B4257,'Customer Info'!B4257:B4756,1,0)</f>
        <v>#N/A</v>
      </c>
      <c r="H4265" s="6" t="e">
        <f>VLOOKUP('Customer Info'!C4257,'Customer Info'!C4257:C4756,1)</f>
        <v>#N/A</v>
      </c>
      <c r="I4265" s="6" t="e">
        <f>VLOOKUP('Customer Info'!E4257,'Customer Info'!E4257:E4756,1,0)</f>
        <v>#N/A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230</v>
      </c>
      <c r="R4265" s="2" t="s">
        <v>28</v>
      </c>
      <c r="S4265" s="9">
        <f t="shared" si="334"/>
        <v>0.05</v>
      </c>
    </row>
    <row r="4266" spans="1:19" x14ac:dyDescent="0.3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e">
        <f>VLOOKUP('Customer Info'!B4258,'Customer Info'!B4258:B4757,1,0)</f>
        <v>#N/A</v>
      </c>
      <c r="H4266" s="6" t="e">
        <f>VLOOKUP('Customer Info'!C4258,'Customer Info'!C4258:C4757,1)</f>
        <v>#N/A</v>
      </c>
      <c r="I4266" s="6" t="e">
        <f>VLOOKUP('Customer Info'!E4258,'Customer Info'!E4258:E4757,1,0)</f>
        <v>#N/A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60</v>
      </c>
      <c r="R4266" s="2" t="s">
        <v>28</v>
      </c>
      <c r="S4266" s="9">
        <f t="shared" si="334"/>
        <v>0.02</v>
      </c>
    </row>
    <row r="4267" spans="1:19" x14ac:dyDescent="0.3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e">
        <f>VLOOKUP('Customer Info'!B4259,'Customer Info'!B4259:B4758,1,0)</f>
        <v>#N/A</v>
      </c>
      <c r="H4267" s="6" t="e">
        <f>VLOOKUP('Customer Info'!C4259,'Customer Info'!C4259:C4758,1)</f>
        <v>#N/A</v>
      </c>
      <c r="I4267" s="6" t="e">
        <f>VLOOKUP('Customer Info'!E4259,'Customer Info'!E4259:E4758,1,0)</f>
        <v>#N/A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660</v>
      </c>
      <c r="R4267" s="2" t="s">
        <v>28</v>
      </c>
      <c r="S4267" s="9">
        <f t="shared" si="334"/>
        <v>0.05</v>
      </c>
    </row>
    <row r="4268" spans="1:19" x14ac:dyDescent="0.3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e">
        <f>VLOOKUP('Customer Info'!B4260,'Customer Info'!B4260:B4759,1,0)</f>
        <v>#N/A</v>
      </c>
      <c r="H4268" s="6" t="e">
        <f>VLOOKUP('Customer Info'!C4260,'Customer Info'!C4260:C4759,1)</f>
        <v>#N/A</v>
      </c>
      <c r="I4268" s="6" t="e">
        <f>VLOOKUP('Customer Info'!E4260,'Customer Info'!E4260:E4759,1,0)</f>
        <v>#N/A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612</v>
      </c>
      <c r="R4268" s="2" t="s">
        <v>50</v>
      </c>
      <c r="S4268" s="9">
        <f t="shared" si="334"/>
        <v>0.05</v>
      </c>
    </row>
    <row r="4269" spans="1:19" x14ac:dyDescent="0.3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e">
        <f>VLOOKUP('Customer Info'!B4261,'Customer Info'!B4261:B4760,1,0)</f>
        <v>#N/A</v>
      </c>
      <c r="H4269" s="6" t="e">
        <f>VLOOKUP('Customer Info'!C4261,'Customer Info'!C4261:C4760,1)</f>
        <v>#N/A</v>
      </c>
      <c r="I4269" s="6" t="e">
        <f>VLOOKUP('Customer Info'!E4261,'Customer Info'!E4261:E4760,1,0)</f>
        <v>#N/A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568</v>
      </c>
      <c r="R4269" s="2" t="s">
        <v>28</v>
      </c>
      <c r="S4269" s="9">
        <f t="shared" si="334"/>
        <v>0.05</v>
      </c>
    </row>
    <row r="4270" spans="1:19" x14ac:dyDescent="0.3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e">
        <f>VLOOKUP('Customer Info'!B4262,'Customer Info'!B4262:B4761,1,0)</f>
        <v>#N/A</v>
      </c>
      <c r="H4270" s="6" t="e">
        <f>VLOOKUP('Customer Info'!C4262,'Customer Info'!C4262:C4761,1)</f>
        <v>#N/A</v>
      </c>
      <c r="I4270" s="6" t="e">
        <f>VLOOKUP('Customer Info'!E4262,'Customer Info'!E4262:E4761,1,0)</f>
        <v>#N/A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35</v>
      </c>
      <c r="R4270" s="2" t="s">
        <v>28</v>
      </c>
      <c r="S4270" s="9">
        <f t="shared" si="334"/>
        <v>0.02</v>
      </c>
    </row>
    <row r="4271" spans="1:19" x14ac:dyDescent="0.3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e">
        <f>VLOOKUP('Customer Info'!B4263,'Customer Info'!B4263:B4762,1,0)</f>
        <v>#N/A</v>
      </c>
      <c r="H4271" s="6" t="e">
        <f>VLOOKUP('Customer Info'!C4263,'Customer Info'!C4263:C4762,1)</f>
        <v>#N/A</v>
      </c>
      <c r="I4271" s="6" t="e">
        <f>VLOOKUP('Customer Info'!E4263,'Customer Info'!E4263:E4762,1,0)</f>
        <v>#N/A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4138</v>
      </c>
      <c r="R4271" s="2" t="s">
        <v>28</v>
      </c>
      <c r="S4271" s="9">
        <f t="shared" si="334"/>
        <v>0.09</v>
      </c>
    </row>
    <row r="4272" spans="1:19" x14ac:dyDescent="0.3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e">
        <f>VLOOKUP('Customer Info'!B4264,'Customer Info'!B4264:B4763,1,0)</f>
        <v>#N/A</v>
      </c>
      <c r="H4272" s="6" t="e">
        <f>VLOOKUP('Customer Info'!C4264,'Customer Info'!C4264:C4763,1)</f>
        <v>#N/A</v>
      </c>
      <c r="I4272" s="6" t="e">
        <f>VLOOKUP('Customer Info'!E4264,'Customer Info'!E4264:E4763,1,0)</f>
        <v>#N/A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535</v>
      </c>
      <c r="R4272" s="2" t="s">
        <v>56</v>
      </c>
      <c r="S4272" s="9">
        <f t="shared" si="334"/>
        <v>0.05</v>
      </c>
    </row>
    <row r="4273" spans="1:19" x14ac:dyDescent="0.3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e">
        <f>VLOOKUP('Customer Info'!B4265,'Customer Info'!B4265:B4764,1,0)</f>
        <v>#N/A</v>
      </c>
      <c r="H4273" s="6" t="e">
        <f>VLOOKUP('Customer Info'!C4265,'Customer Info'!C4265:C4764,1)</f>
        <v>#N/A</v>
      </c>
      <c r="I4273" s="6" t="e">
        <f>VLOOKUP('Customer Info'!E4265,'Customer Info'!E4265:E4764,1,0)</f>
        <v>#N/A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196</v>
      </c>
      <c r="R4273" s="2" t="s">
        <v>28</v>
      </c>
      <c r="S4273" s="9">
        <f t="shared" si="334"/>
        <v>0.02</v>
      </c>
    </row>
    <row r="4274" spans="1:19" x14ac:dyDescent="0.3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e">
        <f>VLOOKUP('Customer Info'!B4266,'Customer Info'!B4266:B4765,1,0)</f>
        <v>#N/A</v>
      </c>
      <c r="H4274" s="6" t="e">
        <f>VLOOKUP('Customer Info'!C4266,'Customer Info'!C4266:C4765,1)</f>
        <v>#N/A</v>
      </c>
      <c r="I4274" s="6" t="e">
        <f>VLOOKUP('Customer Info'!E4266,'Customer Info'!E4266:E4765,1,0)</f>
        <v>#N/A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594</v>
      </c>
      <c r="R4274" s="2" t="s">
        <v>28</v>
      </c>
      <c r="S4274" s="9">
        <f t="shared" si="334"/>
        <v>0.05</v>
      </c>
    </row>
    <row r="4275" spans="1:19" x14ac:dyDescent="0.3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e">
        <f>VLOOKUP('Customer Info'!B4267,'Customer Info'!B4267:B4766,1,0)</f>
        <v>#N/A</v>
      </c>
      <c r="H4275" s="6" t="e">
        <f>VLOOKUP('Customer Info'!C4267,'Customer Info'!C4267:C4766,1)</f>
        <v>#N/A</v>
      </c>
      <c r="I4275" s="6" t="e">
        <f>VLOOKUP('Customer Info'!E4267,'Customer Info'!E4267:E4766,1,0)</f>
        <v>#N/A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18</v>
      </c>
      <c r="R4275" s="2" t="s">
        <v>50</v>
      </c>
      <c r="S4275" s="9">
        <f t="shared" si="334"/>
        <v>0.02</v>
      </c>
    </row>
    <row r="4276" spans="1:19" x14ac:dyDescent="0.3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e">
        <f>VLOOKUP('Customer Info'!B4268,'Customer Info'!B4268:B4767,1,0)</f>
        <v>#N/A</v>
      </c>
      <c r="H4276" s="6" t="e">
        <f>VLOOKUP('Customer Info'!C4268,'Customer Info'!C4268:C4767,1)</f>
        <v>#N/A</v>
      </c>
      <c r="I4276" s="6" t="e">
        <f>VLOOKUP('Customer Info'!E4268,'Customer Info'!E4268:E4767,1,0)</f>
        <v>#N/A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79</v>
      </c>
      <c r="R4276" s="2" t="s">
        <v>28</v>
      </c>
      <c r="S4276" s="9">
        <f t="shared" si="334"/>
        <v>0.02</v>
      </c>
    </row>
    <row r="4277" spans="1:19" x14ac:dyDescent="0.3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e">
        <f>VLOOKUP('Customer Info'!B4269,'Customer Info'!B4269:B4768,1,0)</f>
        <v>#N/A</v>
      </c>
      <c r="H4277" s="6" t="e">
        <f>VLOOKUP('Customer Info'!C4269,'Customer Info'!C4269:C4768,1)</f>
        <v>#N/A</v>
      </c>
      <c r="I4277" s="6" t="e">
        <f>VLOOKUP('Customer Info'!E4269,'Customer Info'!E4269:E4768,1,0)</f>
        <v>#N/A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126</v>
      </c>
      <c r="R4277" s="2" t="s">
        <v>50</v>
      </c>
      <c r="S4277" s="9">
        <f t="shared" si="334"/>
        <v>0.02</v>
      </c>
    </row>
    <row r="4278" spans="1:19" x14ac:dyDescent="0.3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e">
        <f>VLOOKUP('Customer Info'!B4270,'Customer Info'!B4270:B4769,1,0)</f>
        <v>#N/A</v>
      </c>
      <c r="H4278" s="6" t="e">
        <f>VLOOKUP('Customer Info'!C4270,'Customer Info'!C4270:C4769,1)</f>
        <v>#N/A</v>
      </c>
      <c r="I4278" s="6" t="e">
        <f>VLOOKUP('Customer Info'!E4270,'Customer Info'!E4270:E4769,1,0)</f>
        <v>#N/A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160</v>
      </c>
      <c r="R4278" s="2" t="s">
        <v>28</v>
      </c>
      <c r="S4278" s="9">
        <f t="shared" si="334"/>
        <v>0.02</v>
      </c>
    </row>
    <row r="4279" spans="1:19" x14ac:dyDescent="0.3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e">
        <f>VLOOKUP('Customer Info'!B4271,'Customer Info'!B4271:B4770,1,0)</f>
        <v>#N/A</v>
      </c>
      <c r="H4279" s="6" t="e">
        <f>VLOOKUP('Customer Info'!C4271,'Customer Info'!C4271:C4770,1)</f>
        <v>#N/A</v>
      </c>
      <c r="I4279" s="6" t="e">
        <f>VLOOKUP('Customer Info'!E4271,'Customer Info'!E4271:E4770,1,0)</f>
        <v>#N/A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7158</v>
      </c>
      <c r="R4279" s="2" t="s">
        <v>28</v>
      </c>
      <c r="S4279" s="9">
        <f t="shared" si="334"/>
        <v>0.09</v>
      </c>
    </row>
    <row r="4280" spans="1:19" x14ac:dyDescent="0.3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e">
        <f>VLOOKUP('Customer Info'!B4272,'Customer Info'!B4272:B4771,1,0)</f>
        <v>#N/A</v>
      </c>
      <c r="H4280" s="6" t="e">
        <f>VLOOKUP('Customer Info'!C4272,'Customer Info'!C4272:C4771,1)</f>
        <v>#N/A</v>
      </c>
      <c r="I4280" s="6" t="e">
        <f>VLOOKUP('Customer Info'!E4272,'Customer Info'!E4272:E4771,1,0)</f>
        <v>#N/A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696</v>
      </c>
      <c r="R4280" s="2" t="s">
        <v>28</v>
      </c>
      <c r="S4280" s="9">
        <f t="shared" si="334"/>
        <v>0.05</v>
      </c>
    </row>
    <row r="4281" spans="1:19" x14ac:dyDescent="0.3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e">
        <f>VLOOKUP('Customer Info'!B4273,'Customer Info'!B4273:B4772,1,0)</f>
        <v>#N/A</v>
      </c>
      <c r="H4281" s="6" t="e">
        <f>VLOOKUP('Customer Info'!C4273,'Customer Info'!C4273:C4772,1)</f>
        <v>#N/A</v>
      </c>
      <c r="I4281" s="6" t="e">
        <f>VLOOKUP('Customer Info'!E4273,'Customer Info'!E4273:E4772,1,0)</f>
        <v>#N/A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90</v>
      </c>
      <c r="R4281" s="2" t="s">
        <v>28</v>
      </c>
      <c r="S4281" s="9">
        <f t="shared" si="334"/>
        <v>0.02</v>
      </c>
    </row>
    <row r="4282" spans="1:19" x14ac:dyDescent="0.3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e">
        <f>VLOOKUP('Customer Info'!B4274,'Customer Info'!B4274:B4773,1,0)</f>
        <v>#N/A</v>
      </c>
      <c r="H4282" s="6" t="e">
        <f>VLOOKUP('Customer Info'!C4274,'Customer Info'!C4274:C4773,1)</f>
        <v>#N/A</v>
      </c>
      <c r="I4282" s="6" t="e">
        <f>VLOOKUP('Customer Info'!E4274,'Customer Info'!E4274:E4773,1,0)</f>
        <v>#N/A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2124</v>
      </c>
      <c r="R4282" s="2" t="s">
        <v>56</v>
      </c>
      <c r="S4282" s="9">
        <f t="shared" si="334"/>
        <v>7.0000000000000007E-2</v>
      </c>
    </row>
    <row r="4283" spans="1:19" x14ac:dyDescent="0.3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e">
        <f>VLOOKUP('Customer Info'!B4275,'Customer Info'!B4275:B4774,1,0)</f>
        <v>#N/A</v>
      </c>
      <c r="H4283" s="6" t="e">
        <f>VLOOKUP('Customer Info'!C4275,'Customer Info'!C4275:C4774,1)</f>
        <v>#N/A</v>
      </c>
      <c r="I4283" s="6" t="e">
        <f>VLOOKUP('Customer Info'!E4275,'Customer Info'!E4275:E4774,1,0)</f>
        <v>#N/A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1194</v>
      </c>
      <c r="R4283" s="2" t="s">
        <v>28</v>
      </c>
      <c r="S4283" s="9">
        <f t="shared" si="334"/>
        <v>0.05</v>
      </c>
    </row>
    <row r="4284" spans="1:19" x14ac:dyDescent="0.3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e">
        <f>VLOOKUP('Customer Info'!B4276,'Customer Info'!B4276:B4775,1,0)</f>
        <v>#N/A</v>
      </c>
      <c r="H4284" s="6" t="e">
        <f>VLOOKUP('Customer Info'!C4276,'Customer Info'!C4276:C4775,1)</f>
        <v>#N/A</v>
      </c>
      <c r="I4284" s="6" t="e">
        <f>VLOOKUP('Customer Info'!E4276,'Customer Info'!E4276:E4775,1,0)</f>
        <v>#N/A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139</v>
      </c>
      <c r="R4284" s="2" t="s">
        <v>28</v>
      </c>
      <c r="S4284" s="9">
        <f t="shared" si="334"/>
        <v>0.02</v>
      </c>
    </row>
    <row r="4285" spans="1:19" x14ac:dyDescent="0.3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e">
        <f>VLOOKUP('Customer Info'!B4277,'Customer Info'!B4277:B4776,1,0)</f>
        <v>#N/A</v>
      </c>
      <c r="H4285" s="6" t="e">
        <f>VLOOKUP('Customer Info'!C4277,'Customer Info'!C4277:C4776,1)</f>
        <v>#N/A</v>
      </c>
      <c r="I4285" s="6" t="e">
        <f>VLOOKUP('Customer Info'!E4277,'Customer Info'!E4277:E4776,1,0)</f>
        <v>#N/A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336</v>
      </c>
      <c r="R4285" s="2" t="s">
        <v>50</v>
      </c>
      <c r="S4285" s="9">
        <f t="shared" si="334"/>
        <v>0.02</v>
      </c>
    </row>
    <row r="4286" spans="1:19" x14ac:dyDescent="0.3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e">
        <f>VLOOKUP('Customer Info'!B4278,'Customer Info'!B4278:B4777,1,0)</f>
        <v>#N/A</v>
      </c>
      <c r="H4286" s="6" t="e">
        <f>VLOOKUP('Customer Info'!C4278,'Customer Info'!C4278:C4777,1)</f>
        <v>#N/A</v>
      </c>
      <c r="I4286" s="6" t="e">
        <f>VLOOKUP('Customer Info'!E4278,'Customer Info'!E4278:E4777,1,0)</f>
        <v>#N/A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16</v>
      </c>
      <c r="R4286" s="2" t="s">
        <v>28</v>
      </c>
      <c r="S4286" s="9">
        <f t="shared" si="334"/>
        <v>0.02</v>
      </c>
    </row>
    <row r="4287" spans="1:19" x14ac:dyDescent="0.3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e">
        <f>VLOOKUP('Customer Info'!B4279,'Customer Info'!B4279:B4778,1,0)</f>
        <v>#N/A</v>
      </c>
      <c r="H4287" s="6" t="e">
        <f>VLOOKUP('Customer Info'!C4279,'Customer Info'!C4279:C4778,1)</f>
        <v>#N/A</v>
      </c>
      <c r="I4287" s="6" t="e">
        <f>VLOOKUP('Customer Info'!E4279,'Customer Info'!E4279:E4778,1,0)</f>
        <v>#N/A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27</v>
      </c>
      <c r="R4287" s="2" t="s">
        <v>28</v>
      </c>
      <c r="S4287" s="9">
        <f t="shared" si="334"/>
        <v>0.02</v>
      </c>
    </row>
    <row r="4288" spans="1:19" x14ac:dyDescent="0.3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e">
        <f>VLOOKUP('Customer Info'!B4280,'Customer Info'!B4280:B4779,1,0)</f>
        <v>#N/A</v>
      </c>
      <c r="H4288" s="6" t="e">
        <f>VLOOKUP('Customer Info'!C4280,'Customer Info'!C4280:C4779,1)</f>
        <v>#N/A</v>
      </c>
      <c r="I4288" s="6" t="e">
        <f>VLOOKUP('Customer Info'!E4280,'Customer Info'!E4280:E4779,1,0)</f>
        <v>#N/A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621</v>
      </c>
      <c r="R4288" s="2" t="s">
        <v>50</v>
      </c>
      <c r="S4288" s="9">
        <f t="shared" si="334"/>
        <v>0.05</v>
      </c>
    </row>
    <row r="4289" spans="1:19" x14ac:dyDescent="0.3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e">
        <f>VLOOKUP('Customer Info'!B4281,'Customer Info'!B4281:B4780,1,0)</f>
        <v>#N/A</v>
      </c>
      <c r="H4289" s="6" t="e">
        <f>VLOOKUP('Customer Info'!C4281,'Customer Info'!C4281:C4780,1)</f>
        <v>#N/A</v>
      </c>
      <c r="I4289" s="6" t="e">
        <f>VLOOKUP('Customer Info'!E4281,'Customer Info'!E4281:E4780,1,0)</f>
        <v>#N/A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43</v>
      </c>
      <c r="R4289" s="2" t="s">
        <v>28</v>
      </c>
      <c r="S4289" s="9">
        <f t="shared" si="334"/>
        <v>0.02</v>
      </c>
    </row>
    <row r="4290" spans="1:19" x14ac:dyDescent="0.3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e">
        <f>VLOOKUP('Customer Info'!B4282,'Customer Info'!B4282:B4781,1,0)</f>
        <v>#N/A</v>
      </c>
      <c r="H4290" s="6" t="e">
        <f>VLOOKUP('Customer Info'!C4282,'Customer Info'!C4282:C4781,1)</f>
        <v>#N/A</v>
      </c>
      <c r="I4290" s="6" t="e">
        <f>VLOOKUP('Customer Info'!E4282,'Customer Info'!E4282:E4781,1,0)</f>
        <v>#N/A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252</v>
      </c>
      <c r="R4290" s="2" t="s">
        <v>50</v>
      </c>
      <c r="S4290" s="9">
        <f t="shared" si="334"/>
        <v>0.05</v>
      </c>
    </row>
    <row r="4291" spans="1:19" x14ac:dyDescent="0.3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e">
        <f>VLOOKUP('Customer Info'!B4283,'Customer Info'!B4283:B4782,1,0)</f>
        <v>#N/A</v>
      </c>
      <c r="H4291" s="6" t="e">
        <f>VLOOKUP('Customer Info'!C4283,'Customer Info'!C4283:C4782,1)</f>
        <v>#N/A</v>
      </c>
      <c r="I4291" s="6" t="e">
        <f>VLOOKUP('Customer Info'!E4283,'Customer Info'!E4283:E4782,1,0)</f>
        <v>#N/A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34</v>
      </c>
      <c r="R4291" s="2" t="s">
        <v>28</v>
      </c>
      <c r="S4291" s="9">
        <f t="shared" si="334"/>
        <v>0.02</v>
      </c>
    </row>
    <row r="4292" spans="1:19" x14ac:dyDescent="0.3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e">
        <f>VLOOKUP('Customer Info'!B4284,'Customer Info'!B4284:B4783,1,0)</f>
        <v>#N/A</v>
      </c>
      <c r="H4292" s="6" t="e">
        <f>VLOOKUP('Customer Info'!C4284,'Customer Info'!C4284:C4783,1)</f>
        <v>#N/A</v>
      </c>
      <c r="I4292" s="6" t="e">
        <f>VLOOKUP('Customer Info'!E4284,'Customer Info'!E4284:E4783,1,0)</f>
        <v>#N/A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16</v>
      </c>
      <c r="R4292" s="2" t="s">
        <v>50</v>
      </c>
      <c r="S4292" s="9">
        <f t="shared" si="334"/>
        <v>0.02</v>
      </c>
    </row>
    <row r="4293" spans="1:19" x14ac:dyDescent="0.3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e">
        <f>VLOOKUP('Customer Info'!B4285,'Customer Info'!B4285:B4784,1,0)</f>
        <v>#N/A</v>
      </c>
      <c r="H4293" s="6" t="e">
        <f>VLOOKUP('Customer Info'!C4285,'Customer Info'!C4285:C4784,1)</f>
        <v>#N/A</v>
      </c>
      <c r="I4293" s="6" t="e">
        <f>VLOOKUP('Customer Info'!E4285,'Customer Info'!E4285:E4784,1,0)</f>
        <v>#N/A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847</v>
      </c>
      <c r="R4293" s="2" t="s">
        <v>28</v>
      </c>
      <c r="S4293" s="9">
        <f t="shared" si="334"/>
        <v>0.05</v>
      </c>
    </row>
    <row r="4294" spans="1:19" x14ac:dyDescent="0.3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e">
        <f>VLOOKUP('Customer Info'!B4286,'Customer Info'!B4286:B4785,1,0)</f>
        <v>#N/A</v>
      </c>
      <c r="H4294" s="6" t="e">
        <f>VLOOKUP('Customer Info'!C4286,'Customer Info'!C4286:C4785,1)</f>
        <v>#N/A</v>
      </c>
      <c r="I4294" s="6" t="e">
        <f>VLOOKUP('Customer Info'!E4286,'Customer Info'!E4286:E4785,1,0)</f>
        <v>#N/A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1984</v>
      </c>
      <c r="R4294" s="2" t="s">
        <v>28</v>
      </c>
      <c r="S4294" s="9">
        <f t="shared" si="334"/>
        <v>0.05</v>
      </c>
    </row>
    <row r="4295" spans="1:19" x14ac:dyDescent="0.3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e">
        <f>VLOOKUP('Customer Info'!B4287,'Customer Info'!B4287:B4786,1,0)</f>
        <v>#N/A</v>
      </c>
      <c r="H4295" s="6" t="e">
        <f>VLOOKUP('Customer Info'!C4287,'Customer Info'!C4287:C4786,1)</f>
        <v>#N/A</v>
      </c>
      <c r="I4295" s="6" t="e">
        <f>VLOOKUP('Customer Info'!E4287,'Customer Info'!E4287:E4786,1,0)</f>
        <v>#N/A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4765</v>
      </c>
      <c r="R4295" s="2" t="s">
        <v>28</v>
      </c>
      <c r="S4295" s="9">
        <f t="shared" si="334"/>
        <v>7.0000000000000007E-2</v>
      </c>
    </row>
    <row r="4296" spans="1:19" x14ac:dyDescent="0.3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e">
        <f>VLOOKUP('Customer Info'!B4288,'Customer Info'!B4288:B4787,1,0)</f>
        <v>#N/A</v>
      </c>
      <c r="H4296" s="6" t="e">
        <f>VLOOKUP('Customer Info'!C4288,'Customer Info'!C4288:C4787,1)</f>
        <v>#N/A</v>
      </c>
      <c r="I4296" s="6" t="e">
        <f>VLOOKUP('Customer Info'!E4288,'Customer Info'!E4288:E4787,1,0)</f>
        <v>#N/A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660</v>
      </c>
      <c r="R4296" s="2" t="s">
        <v>28</v>
      </c>
      <c r="S4296" s="9">
        <f t="shared" si="334"/>
        <v>0.05</v>
      </c>
    </row>
    <row r="4297" spans="1:19" x14ac:dyDescent="0.3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e">
        <f>VLOOKUP('Customer Info'!B4289,'Customer Info'!B4289:B4788,1,0)</f>
        <v>#N/A</v>
      </c>
      <c r="H4297" s="6" t="e">
        <f>VLOOKUP('Customer Info'!C4289,'Customer Info'!C4289:C4788,1)</f>
        <v>#N/A</v>
      </c>
      <c r="I4297" s="6" t="e">
        <f>VLOOKUP('Customer Info'!E4289,'Customer Info'!E4289:E4788,1,0)</f>
        <v>#N/A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590</v>
      </c>
      <c r="R4297" s="2" t="s">
        <v>50</v>
      </c>
      <c r="S4297" s="9">
        <f t="shared" si="334"/>
        <v>0.05</v>
      </c>
    </row>
    <row r="4298" spans="1:19" x14ac:dyDescent="0.3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e">
        <f>VLOOKUP('Customer Info'!B4290,'Customer Info'!B4290:B4789,1,0)</f>
        <v>#N/A</v>
      </c>
      <c r="H4298" s="6" t="e">
        <f>VLOOKUP('Customer Info'!C4290,'Customer Info'!C4290:C4789,1)</f>
        <v>#N/A</v>
      </c>
      <c r="I4298" s="6" t="e">
        <f>VLOOKUP('Customer Info'!E4290,'Customer Info'!E4290:E4789,1,0)</f>
        <v>#N/A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26</v>
      </c>
      <c r="R4298" s="2" t="s">
        <v>26</v>
      </c>
      <c r="S4298" s="9">
        <f t="shared" si="334"/>
        <v>0.02</v>
      </c>
    </row>
    <row r="4299" spans="1:19" x14ac:dyDescent="0.3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e">
        <f>VLOOKUP('Customer Info'!B4291,'Customer Info'!B4291:B4790,1,0)</f>
        <v>#N/A</v>
      </c>
      <c r="H4299" s="6" t="e">
        <f>VLOOKUP('Customer Info'!C4291,'Customer Info'!C4291:C4790,1)</f>
        <v>#N/A</v>
      </c>
      <c r="I4299" s="6" t="e">
        <f>VLOOKUP('Customer Info'!E4291,'Customer Info'!E4291:E4790,1,0)</f>
        <v>#N/A</v>
      </c>
      <c r="J4299" s="2">
        <v>61</v>
      </c>
      <c r="K4299" s="2">
        <v>57</v>
      </c>
      <c r="L4299" s="2">
        <v>3</v>
      </c>
      <c r="M4299" s="7">
        <f t="shared" ref="M4299:M4362" si="335">(K4299*L4299)</f>
        <v>171</v>
      </c>
      <c r="N4299" s="7">
        <f t="shared" ref="N4299:N4362" si="336">(J4299*L4299)</f>
        <v>183</v>
      </c>
      <c r="O4299" s="2">
        <v>10</v>
      </c>
      <c r="P4299" s="8">
        <f t="shared" ref="P4299:P4362" si="337">(N4299+O4299)</f>
        <v>193</v>
      </c>
      <c r="Q4299" s="8">
        <f t="shared" ref="Q4299:Q4362" si="338">(N4299-M4299)</f>
        <v>12</v>
      </c>
      <c r="R4299" s="2" t="s">
        <v>26</v>
      </c>
      <c r="S4299" s="9">
        <f t="shared" ref="S4299:S4362" si="339">_xlfn.IFS(P4299&gt;250000,0.15,P4299&gt;100000,0.12,P4299&gt;50000,0.09,P4299&gt;25000,0.07,P4299&gt;5000,0.05,
 TRUE,0.02)</f>
        <v>0.02</v>
      </c>
    </row>
    <row r="4300" spans="1:19" x14ac:dyDescent="0.3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e">
        <f>VLOOKUP('Customer Info'!B4292,'Customer Info'!B4292:B4791,1,0)</f>
        <v>#N/A</v>
      </c>
      <c r="H4300" s="6" t="e">
        <f>VLOOKUP('Customer Info'!C4292,'Customer Info'!C4292:C4791,1)</f>
        <v>#N/A</v>
      </c>
      <c r="I4300" s="6" t="e">
        <f>VLOOKUP('Customer Info'!E4292,'Customer Info'!E4292:E4791,1,0)</f>
        <v>#N/A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52</v>
      </c>
      <c r="R4300" s="2" t="s">
        <v>50</v>
      </c>
      <c r="S4300" s="9">
        <f t="shared" si="339"/>
        <v>0.02</v>
      </c>
    </row>
    <row r="4301" spans="1:19" x14ac:dyDescent="0.3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e">
        <f>VLOOKUP('Customer Info'!B4293,'Customer Info'!B4293:B4792,1,0)</f>
        <v>#N/A</v>
      </c>
      <c r="H4301" s="6" t="e">
        <f>VLOOKUP('Customer Info'!C4293,'Customer Info'!C4293:C4792,1)</f>
        <v>#N/A</v>
      </c>
      <c r="I4301" s="6" t="e">
        <f>VLOOKUP('Customer Info'!E4293,'Customer Info'!E4293:E4792,1,0)</f>
        <v>#N/A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1062</v>
      </c>
      <c r="R4301" s="2" t="s">
        <v>50</v>
      </c>
      <c r="S4301" s="9">
        <f t="shared" si="339"/>
        <v>0.05</v>
      </c>
    </row>
    <row r="4302" spans="1:19" x14ac:dyDescent="0.3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e">
        <f>VLOOKUP('Customer Info'!B4294,'Customer Info'!B4294:B4793,1,0)</f>
        <v>#N/A</v>
      </c>
      <c r="H4302" s="6" t="e">
        <f>VLOOKUP('Customer Info'!C4294,'Customer Info'!C4294:C4793,1)</f>
        <v>#N/A</v>
      </c>
      <c r="I4302" s="6" t="e">
        <f>VLOOKUP('Customer Info'!E4294,'Customer Info'!E4294:E4793,1,0)</f>
        <v>#N/A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386</v>
      </c>
      <c r="R4302" s="2" t="s">
        <v>28</v>
      </c>
      <c r="S4302" s="9">
        <f t="shared" si="339"/>
        <v>0.05</v>
      </c>
    </row>
    <row r="4303" spans="1:19" x14ac:dyDescent="0.3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e">
        <f>VLOOKUP('Customer Info'!B4295,'Customer Info'!B4295:B4794,1,0)</f>
        <v>#N/A</v>
      </c>
      <c r="H4303" s="6" t="e">
        <f>VLOOKUP('Customer Info'!C4295,'Customer Info'!C4295:C4794,1)</f>
        <v>#N/A</v>
      </c>
      <c r="I4303" s="6" t="e">
        <f>VLOOKUP('Customer Info'!E4295,'Customer Info'!E4295:E4794,1,0)</f>
        <v>#N/A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32</v>
      </c>
      <c r="R4303" s="2" t="s">
        <v>28</v>
      </c>
      <c r="S4303" s="9">
        <f t="shared" si="339"/>
        <v>0.02</v>
      </c>
    </row>
    <row r="4304" spans="1:19" x14ac:dyDescent="0.3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e">
        <f>VLOOKUP('Customer Info'!B4296,'Customer Info'!B4296:B4795,1,0)</f>
        <v>#N/A</v>
      </c>
      <c r="H4304" s="6" t="e">
        <f>VLOOKUP('Customer Info'!C4296,'Customer Info'!C4296:C4795,1)</f>
        <v>#N/A</v>
      </c>
      <c r="I4304" s="6" t="e">
        <f>VLOOKUP('Customer Info'!E4296,'Customer Info'!E4296:E4795,1,0)</f>
        <v>#N/A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237</v>
      </c>
      <c r="R4304" s="2" t="s">
        <v>50</v>
      </c>
      <c r="S4304" s="9">
        <f t="shared" si="339"/>
        <v>0.02</v>
      </c>
    </row>
    <row r="4305" spans="1:19" x14ac:dyDescent="0.3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e">
        <f>VLOOKUP('Customer Info'!B4297,'Customer Info'!B4297:B4796,1,0)</f>
        <v>#N/A</v>
      </c>
      <c r="H4305" s="6" t="e">
        <f>VLOOKUP('Customer Info'!C4297,'Customer Info'!C4297:C4796,1)</f>
        <v>#N/A</v>
      </c>
      <c r="I4305" s="6" t="e">
        <f>VLOOKUP('Customer Info'!E4297,'Customer Info'!E4297:E4796,1,0)</f>
        <v>#N/A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504</v>
      </c>
      <c r="R4305" s="2" t="s">
        <v>26</v>
      </c>
      <c r="S4305" s="9">
        <f t="shared" si="339"/>
        <v>0.05</v>
      </c>
    </row>
    <row r="4306" spans="1:19" x14ac:dyDescent="0.3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e">
        <f>VLOOKUP('Customer Info'!B4298,'Customer Info'!B4298:B4797,1,0)</f>
        <v>#N/A</v>
      </c>
      <c r="H4306" s="6" t="e">
        <f>VLOOKUP('Customer Info'!C4298,'Customer Info'!C4298:C4797,1)</f>
        <v>#N/A</v>
      </c>
      <c r="I4306" s="6" t="e">
        <f>VLOOKUP('Customer Info'!E4298,'Customer Info'!E4298:E4797,1,0)</f>
        <v>#N/A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48</v>
      </c>
      <c r="R4306" s="2" t="s">
        <v>28</v>
      </c>
      <c r="S4306" s="9">
        <f t="shared" si="339"/>
        <v>0.02</v>
      </c>
    </row>
    <row r="4307" spans="1:19" x14ac:dyDescent="0.3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e">
        <f>VLOOKUP('Customer Info'!B4299,'Customer Info'!B4299:B4798,1,0)</f>
        <v>#N/A</v>
      </c>
      <c r="H4307" s="6" t="e">
        <f>VLOOKUP('Customer Info'!C4299,'Customer Info'!C4299:C4798,1)</f>
        <v>#N/A</v>
      </c>
      <c r="I4307" s="6" t="e">
        <f>VLOOKUP('Customer Info'!E4299,'Customer Info'!E4299:E4798,1,0)</f>
        <v>#N/A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45</v>
      </c>
      <c r="R4307" s="2" t="s">
        <v>28</v>
      </c>
      <c r="S4307" s="9">
        <f t="shared" si="339"/>
        <v>0.02</v>
      </c>
    </row>
    <row r="4308" spans="1:19" x14ac:dyDescent="0.3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e">
        <f>VLOOKUP('Customer Info'!B4300,'Customer Info'!B4300:B4799,1,0)</f>
        <v>#N/A</v>
      </c>
      <c r="H4308" s="6" t="e">
        <f>VLOOKUP('Customer Info'!C4300,'Customer Info'!C4300:C4799,1)</f>
        <v>#N/A</v>
      </c>
      <c r="I4308" s="6" t="e">
        <f>VLOOKUP('Customer Info'!E4300,'Customer Info'!E4300:E4799,1,0)</f>
        <v>#N/A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670</v>
      </c>
      <c r="R4308" s="2" t="s">
        <v>28</v>
      </c>
      <c r="S4308" s="9">
        <f t="shared" si="339"/>
        <v>0.05</v>
      </c>
    </row>
    <row r="4309" spans="1:19" x14ac:dyDescent="0.3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e">
        <f>VLOOKUP('Customer Info'!B4301,'Customer Info'!B4301:B4800,1,0)</f>
        <v>#N/A</v>
      </c>
      <c r="H4309" s="6" t="e">
        <f>VLOOKUP('Customer Info'!C4301,'Customer Info'!C4301:C4800,1)</f>
        <v>#N/A</v>
      </c>
      <c r="I4309" s="6" t="e">
        <f>VLOOKUP('Customer Info'!E4301,'Customer Info'!E4301:E4800,1,0)</f>
        <v>#N/A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6</v>
      </c>
      <c r="R4309" s="2" t="s">
        <v>50</v>
      </c>
      <c r="S4309" s="9">
        <f t="shared" si="339"/>
        <v>0.02</v>
      </c>
    </row>
    <row r="4310" spans="1:19" x14ac:dyDescent="0.3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e">
        <f>VLOOKUP('Customer Info'!B4302,'Customer Info'!B4302:B4801,1,0)</f>
        <v>#N/A</v>
      </c>
      <c r="H4310" s="6" t="e">
        <f>VLOOKUP('Customer Info'!C4302,'Customer Info'!C4302:C4801,1)</f>
        <v>#N/A</v>
      </c>
      <c r="I4310" s="6" t="e">
        <f>VLOOKUP('Customer Info'!E4302,'Customer Info'!E4302:E4801,1,0)</f>
        <v>#N/A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90</v>
      </c>
      <c r="R4310" s="2" t="s">
        <v>28</v>
      </c>
      <c r="S4310" s="9">
        <f t="shared" si="339"/>
        <v>0.02</v>
      </c>
    </row>
    <row r="4311" spans="1:19" x14ac:dyDescent="0.3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e">
        <f>VLOOKUP('Customer Info'!B4303,'Customer Info'!B4303:B4802,1,0)</f>
        <v>#N/A</v>
      </c>
      <c r="H4311" s="6" t="e">
        <f>VLOOKUP('Customer Info'!C4303,'Customer Info'!C4303:C4802,1)</f>
        <v>#N/A</v>
      </c>
      <c r="I4311" s="6" t="e">
        <f>VLOOKUP('Customer Info'!E4303,'Customer Info'!E4303:E4802,1,0)</f>
        <v>#N/A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1668</v>
      </c>
      <c r="R4311" s="2" t="s">
        <v>28</v>
      </c>
      <c r="S4311" s="9">
        <f t="shared" si="339"/>
        <v>0.05</v>
      </c>
    </row>
    <row r="4312" spans="1:19" x14ac:dyDescent="0.3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e">
        <f>VLOOKUP('Customer Info'!B4304,'Customer Info'!B4304:B4803,1,0)</f>
        <v>#N/A</v>
      </c>
      <c r="H4312" s="6" t="e">
        <f>VLOOKUP('Customer Info'!C4304,'Customer Info'!C4304:C4803,1)</f>
        <v>#N/A</v>
      </c>
      <c r="I4312" s="6" t="e">
        <f>VLOOKUP('Customer Info'!E4304,'Customer Info'!E4304:E4803,1,0)</f>
        <v>#N/A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616</v>
      </c>
      <c r="R4312" s="2" t="s">
        <v>28</v>
      </c>
      <c r="S4312" s="9">
        <f t="shared" si="339"/>
        <v>0.05</v>
      </c>
    </row>
    <row r="4313" spans="1:19" x14ac:dyDescent="0.3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e">
        <f>VLOOKUP('Customer Info'!B4305,'Customer Info'!B4305:B4804,1,0)</f>
        <v>#N/A</v>
      </c>
      <c r="H4313" s="6" t="e">
        <f>VLOOKUP('Customer Info'!C4305,'Customer Info'!C4305:C4804,1)</f>
        <v>#N/A</v>
      </c>
      <c r="I4313" s="6" t="e">
        <f>VLOOKUP('Customer Info'!E4305,'Customer Info'!E4305:E4804,1,0)</f>
        <v>#N/A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216</v>
      </c>
      <c r="R4313" s="2" t="s">
        <v>50</v>
      </c>
      <c r="S4313" s="9">
        <f t="shared" si="339"/>
        <v>0.05</v>
      </c>
    </row>
    <row r="4314" spans="1:19" x14ac:dyDescent="0.3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e">
        <f>VLOOKUP('Customer Info'!B4306,'Customer Info'!B4306:B4805,1,0)</f>
        <v>#N/A</v>
      </c>
      <c r="H4314" s="6" t="e">
        <f>VLOOKUP('Customer Info'!C4306,'Customer Info'!C4306:C4805,1)</f>
        <v>#N/A</v>
      </c>
      <c r="I4314" s="6" t="e">
        <f>VLOOKUP('Customer Info'!E4306,'Customer Info'!E4306:E4805,1,0)</f>
        <v>#N/A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128</v>
      </c>
      <c r="R4314" s="2" t="s">
        <v>28</v>
      </c>
      <c r="S4314" s="9">
        <f t="shared" si="339"/>
        <v>0.02</v>
      </c>
    </row>
    <row r="4315" spans="1:19" x14ac:dyDescent="0.3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e">
        <f>VLOOKUP('Customer Info'!B4307,'Customer Info'!B4307:B4806,1,0)</f>
        <v>#N/A</v>
      </c>
      <c r="H4315" s="6" t="e">
        <f>VLOOKUP('Customer Info'!C4307,'Customer Info'!C4307:C4806,1)</f>
        <v>#N/A</v>
      </c>
      <c r="I4315" s="6" t="e">
        <f>VLOOKUP('Customer Info'!E4307,'Customer Info'!E4307:E4806,1,0)</f>
        <v>#N/A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45</v>
      </c>
      <c r="R4315" s="2" t="s">
        <v>28</v>
      </c>
      <c r="S4315" s="9">
        <f t="shared" si="339"/>
        <v>0.02</v>
      </c>
    </row>
    <row r="4316" spans="1:19" x14ac:dyDescent="0.3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e">
        <f>VLOOKUP('Customer Info'!B4308,'Customer Info'!B4308:B4807,1,0)</f>
        <v>#N/A</v>
      </c>
      <c r="H4316" s="6" t="e">
        <f>VLOOKUP('Customer Info'!C4308,'Customer Info'!C4308:C4807,1)</f>
        <v>#N/A</v>
      </c>
      <c r="I4316" s="6" t="e">
        <f>VLOOKUP('Customer Info'!E4308,'Customer Info'!E4308:E4807,1,0)</f>
        <v>#N/A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450</v>
      </c>
      <c r="R4316" s="2" t="s">
        <v>28</v>
      </c>
      <c r="S4316" s="9">
        <f t="shared" si="339"/>
        <v>0.05</v>
      </c>
    </row>
    <row r="4317" spans="1:19" x14ac:dyDescent="0.3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e">
        <f>VLOOKUP('Customer Info'!B4309,'Customer Info'!B4309:B4808,1,0)</f>
        <v>#N/A</v>
      </c>
      <c r="H4317" s="6" t="e">
        <f>VLOOKUP('Customer Info'!C4309,'Customer Info'!C4309:C4808,1)</f>
        <v>#N/A</v>
      </c>
      <c r="I4317" s="6" t="e">
        <f>VLOOKUP('Customer Info'!E4309,'Customer Info'!E4309:E4808,1,0)</f>
        <v>#N/A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86</v>
      </c>
      <c r="R4317" s="2" t="s">
        <v>50</v>
      </c>
      <c r="S4317" s="9">
        <f t="shared" si="339"/>
        <v>0.02</v>
      </c>
    </row>
    <row r="4318" spans="1:19" x14ac:dyDescent="0.3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e">
        <f>VLOOKUP('Customer Info'!B4310,'Customer Info'!B4310:B4809,1,0)</f>
        <v>#N/A</v>
      </c>
      <c r="H4318" s="6" t="e">
        <f>VLOOKUP('Customer Info'!C4310,'Customer Info'!C4310:C4809,1)</f>
        <v>#N/A</v>
      </c>
      <c r="I4318" s="6" t="e">
        <f>VLOOKUP('Customer Info'!E4310,'Customer Info'!E4310:E4809,1,0)</f>
        <v>#N/A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594</v>
      </c>
      <c r="R4318" s="2" t="s">
        <v>28</v>
      </c>
      <c r="S4318" s="9">
        <f t="shared" si="339"/>
        <v>0.05</v>
      </c>
    </row>
    <row r="4319" spans="1:19" x14ac:dyDescent="0.3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e">
        <f>VLOOKUP('Customer Info'!B4311,'Customer Info'!B4311:B4810,1,0)</f>
        <v>#N/A</v>
      </c>
      <c r="H4319" s="6" t="e">
        <f>VLOOKUP('Customer Info'!C4311,'Customer Info'!C4311:C4810,1)</f>
        <v>#N/A</v>
      </c>
      <c r="I4319" s="6" t="e">
        <f>VLOOKUP('Customer Info'!E4311,'Customer Info'!E4311:E4810,1,0)</f>
        <v>#N/A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78</v>
      </c>
      <c r="R4319" s="2" t="s">
        <v>28</v>
      </c>
      <c r="S4319" s="9">
        <f t="shared" si="339"/>
        <v>0.02</v>
      </c>
    </row>
    <row r="4320" spans="1:19" x14ac:dyDescent="0.3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e">
        <f>VLOOKUP('Customer Info'!B4312,'Customer Info'!B4312:B4811,1,0)</f>
        <v>#N/A</v>
      </c>
      <c r="H4320" s="6" t="e">
        <f>VLOOKUP('Customer Info'!C4312,'Customer Info'!C4312:C4811,1)</f>
        <v>#N/A</v>
      </c>
      <c r="I4320" s="6" t="e">
        <f>VLOOKUP('Customer Info'!E4312,'Customer Info'!E4312:E4811,1,0)</f>
        <v>#N/A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40</v>
      </c>
      <c r="R4320" s="2" t="s">
        <v>28</v>
      </c>
      <c r="S4320" s="9">
        <f t="shared" si="339"/>
        <v>0.02</v>
      </c>
    </row>
    <row r="4321" spans="1:19" x14ac:dyDescent="0.3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e">
        <f>VLOOKUP('Customer Info'!B4313,'Customer Info'!B4313:B4812,1,0)</f>
        <v>#N/A</v>
      </c>
      <c r="H4321" s="6" t="e">
        <f>VLOOKUP('Customer Info'!C4313,'Customer Info'!C4313:C4812,1)</f>
        <v>#N/A</v>
      </c>
      <c r="I4321" s="6" t="e">
        <f>VLOOKUP('Customer Info'!E4313,'Customer Info'!E4313:E4812,1,0)</f>
        <v>#N/A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18</v>
      </c>
      <c r="R4321" s="2" t="s">
        <v>28</v>
      </c>
      <c r="S4321" s="9">
        <f t="shared" si="339"/>
        <v>0.02</v>
      </c>
    </row>
    <row r="4322" spans="1:19" x14ac:dyDescent="0.3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e">
        <f>VLOOKUP('Customer Info'!B4314,'Customer Info'!B4314:B4813,1,0)</f>
        <v>#N/A</v>
      </c>
      <c r="H4322" s="6" t="e">
        <f>VLOOKUP('Customer Info'!C4314,'Customer Info'!C4314:C4813,1)</f>
        <v>#N/A</v>
      </c>
      <c r="I4322" s="6" t="e">
        <f>VLOOKUP('Customer Info'!E4314,'Customer Info'!E4314:E4813,1,0)</f>
        <v>#N/A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352</v>
      </c>
      <c r="R4322" s="2" t="s">
        <v>28</v>
      </c>
      <c r="S4322" s="9">
        <f t="shared" si="339"/>
        <v>0.05</v>
      </c>
    </row>
    <row r="4323" spans="1:19" x14ac:dyDescent="0.3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e">
        <f>VLOOKUP('Customer Info'!B4315,'Customer Info'!B4315:B4814,1,0)</f>
        <v>#N/A</v>
      </c>
      <c r="H4323" s="6" t="e">
        <f>VLOOKUP('Customer Info'!C4315,'Customer Info'!C4315:C4814,1)</f>
        <v>#N/A</v>
      </c>
      <c r="I4323" s="6" t="e">
        <f>VLOOKUP('Customer Info'!E4315,'Customer Info'!E4315:E4814,1,0)</f>
        <v>#N/A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510</v>
      </c>
      <c r="R4323" s="2" t="s">
        <v>28</v>
      </c>
      <c r="S4323" s="9">
        <f t="shared" si="339"/>
        <v>0.05</v>
      </c>
    </row>
    <row r="4324" spans="1:19" x14ac:dyDescent="0.3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e">
        <f>VLOOKUP('Customer Info'!B4316,'Customer Info'!B4316:B4815,1,0)</f>
        <v>#N/A</v>
      </c>
      <c r="H4324" s="6" t="e">
        <f>VLOOKUP('Customer Info'!C4316,'Customer Info'!C4316:C4815,1)</f>
        <v>#N/A</v>
      </c>
      <c r="I4324" s="6" t="e">
        <f>VLOOKUP('Customer Info'!E4316,'Customer Info'!E4316:E4815,1,0)</f>
        <v>#N/A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282</v>
      </c>
      <c r="R4324" s="2" t="s">
        <v>28</v>
      </c>
      <c r="S4324" s="9">
        <f t="shared" si="339"/>
        <v>0.02</v>
      </c>
    </row>
    <row r="4325" spans="1:19" x14ac:dyDescent="0.3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e">
        <f>VLOOKUP('Customer Info'!B4317,'Customer Info'!B4317:B4816,1,0)</f>
        <v>#N/A</v>
      </c>
      <c r="H4325" s="6" t="e">
        <f>VLOOKUP('Customer Info'!C4317,'Customer Info'!C4317:C4816,1)</f>
        <v>#N/A</v>
      </c>
      <c r="I4325" s="6" t="e">
        <f>VLOOKUP('Customer Info'!E4317,'Customer Info'!E4317:E4816,1,0)</f>
        <v>#N/A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728</v>
      </c>
      <c r="R4325" s="2" t="s">
        <v>28</v>
      </c>
      <c r="S4325" s="9">
        <f t="shared" si="339"/>
        <v>0.05</v>
      </c>
    </row>
    <row r="4326" spans="1:19" x14ac:dyDescent="0.3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e">
        <f>VLOOKUP('Customer Info'!B4318,'Customer Info'!B4318:B4817,1,0)</f>
        <v>#N/A</v>
      </c>
      <c r="H4326" s="6" t="e">
        <f>VLOOKUP('Customer Info'!C4318,'Customer Info'!C4318:C4817,1)</f>
        <v>#N/A</v>
      </c>
      <c r="I4326" s="6" t="e">
        <f>VLOOKUP('Customer Info'!E4318,'Customer Info'!E4318:E4817,1,0)</f>
        <v>#N/A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120</v>
      </c>
      <c r="R4326" s="2" t="s">
        <v>26</v>
      </c>
      <c r="S4326" s="9">
        <f t="shared" si="339"/>
        <v>0.02</v>
      </c>
    </row>
    <row r="4327" spans="1:19" x14ac:dyDescent="0.3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e">
        <f>VLOOKUP('Customer Info'!B4319,'Customer Info'!B4319:B4818,1,0)</f>
        <v>#N/A</v>
      </c>
      <c r="H4327" s="6" t="e">
        <f>VLOOKUP('Customer Info'!C4319,'Customer Info'!C4319:C4818,1)</f>
        <v>#N/A</v>
      </c>
      <c r="I4327" s="6" t="e">
        <f>VLOOKUP('Customer Info'!E4319,'Customer Info'!E4319:E4818,1,0)</f>
        <v>#N/A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810</v>
      </c>
      <c r="R4327" s="2" t="s">
        <v>50</v>
      </c>
      <c r="S4327" s="9">
        <f t="shared" si="339"/>
        <v>0.05</v>
      </c>
    </row>
    <row r="4328" spans="1:19" x14ac:dyDescent="0.3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e">
        <f>VLOOKUP('Customer Info'!B4320,'Customer Info'!B4320:B4819,1,0)</f>
        <v>#N/A</v>
      </c>
      <c r="H4328" s="6" t="e">
        <f>VLOOKUP('Customer Info'!C4320,'Customer Info'!C4320:C4819,1)</f>
        <v>#N/A</v>
      </c>
      <c r="I4328" s="6" t="e">
        <f>VLOOKUP('Customer Info'!E4320,'Customer Info'!E4320:E4819,1,0)</f>
        <v>#N/A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243</v>
      </c>
      <c r="R4328" s="2" t="s">
        <v>28</v>
      </c>
      <c r="S4328" s="9">
        <f t="shared" si="339"/>
        <v>0.05</v>
      </c>
    </row>
    <row r="4329" spans="1:19" x14ac:dyDescent="0.3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e">
        <f>VLOOKUP('Customer Info'!B4321,'Customer Info'!B4321:B4820,1,0)</f>
        <v>#N/A</v>
      </c>
      <c r="H4329" s="6" t="e">
        <f>VLOOKUP('Customer Info'!C4321,'Customer Info'!C4321:C4820,1)</f>
        <v>#N/A</v>
      </c>
      <c r="I4329" s="6" t="e">
        <f>VLOOKUP('Customer Info'!E4321,'Customer Info'!E4321:E4820,1,0)</f>
        <v>#N/A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128</v>
      </c>
      <c r="R4329" s="2" t="s">
        <v>28</v>
      </c>
      <c r="S4329" s="9">
        <f t="shared" si="339"/>
        <v>0.02</v>
      </c>
    </row>
    <row r="4330" spans="1:19" x14ac:dyDescent="0.3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e">
        <f>VLOOKUP('Customer Info'!B4322,'Customer Info'!B4322:B4821,1,0)</f>
        <v>#N/A</v>
      </c>
      <c r="H4330" s="6" t="e">
        <f>VLOOKUP('Customer Info'!C4322,'Customer Info'!C4322:C4821,1)</f>
        <v>#N/A</v>
      </c>
      <c r="I4330" s="6" t="e">
        <f>VLOOKUP('Customer Info'!E4322,'Customer Info'!E4322:E4821,1,0)</f>
        <v>#N/A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2</v>
      </c>
      <c r="R4330" s="2" t="s">
        <v>26</v>
      </c>
      <c r="S4330" s="9">
        <f t="shared" si="339"/>
        <v>0.02</v>
      </c>
    </row>
    <row r="4331" spans="1:19" x14ac:dyDescent="0.3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e">
        <f>VLOOKUP('Customer Info'!B4323,'Customer Info'!B4323:B4822,1,0)</f>
        <v>#N/A</v>
      </c>
      <c r="H4331" s="6" t="e">
        <f>VLOOKUP('Customer Info'!C4323,'Customer Info'!C4323:C4822,1)</f>
        <v>#N/A</v>
      </c>
      <c r="I4331" s="6" t="e">
        <f>VLOOKUP('Customer Info'!E4323,'Customer Info'!E4323:E4822,1,0)</f>
        <v>#N/A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36</v>
      </c>
      <c r="R4331" s="2" t="s">
        <v>56</v>
      </c>
      <c r="S4331" s="9">
        <f t="shared" si="339"/>
        <v>0.02</v>
      </c>
    </row>
    <row r="4332" spans="1:19" x14ac:dyDescent="0.3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e">
        <f>VLOOKUP('Customer Info'!B4324,'Customer Info'!B4324:B4823,1,0)</f>
        <v>#N/A</v>
      </c>
      <c r="H4332" s="6" t="e">
        <f>VLOOKUP('Customer Info'!C4324,'Customer Info'!C4324:C4823,1)</f>
        <v>#N/A</v>
      </c>
      <c r="I4332" s="6" t="e">
        <f>VLOOKUP('Customer Info'!E4324,'Customer Info'!E4324:E4823,1,0)</f>
        <v>#N/A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576</v>
      </c>
      <c r="R4332" s="2" t="s">
        <v>26</v>
      </c>
      <c r="S4332" s="9">
        <f t="shared" si="339"/>
        <v>0.05</v>
      </c>
    </row>
    <row r="4333" spans="1:19" x14ac:dyDescent="0.3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e">
        <f>VLOOKUP('Customer Info'!B4325,'Customer Info'!B4325:B4824,1,0)</f>
        <v>#N/A</v>
      </c>
      <c r="H4333" s="6" t="e">
        <f>VLOOKUP('Customer Info'!C4325,'Customer Info'!C4325:C4824,1)</f>
        <v>#N/A</v>
      </c>
      <c r="I4333" s="6" t="e">
        <f>VLOOKUP('Customer Info'!E4325,'Customer Info'!E4325:E4824,1,0)</f>
        <v>#N/A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88</v>
      </c>
      <c r="R4333" s="2" t="s">
        <v>28</v>
      </c>
      <c r="S4333" s="9">
        <f t="shared" si="339"/>
        <v>0.02</v>
      </c>
    </row>
    <row r="4334" spans="1:19" x14ac:dyDescent="0.3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e">
        <f>VLOOKUP('Customer Info'!B4326,'Customer Info'!B4326:B4825,1,0)</f>
        <v>#N/A</v>
      </c>
      <c r="H4334" s="6" t="e">
        <f>VLOOKUP('Customer Info'!C4326,'Customer Info'!C4326:C4825,1)</f>
        <v>#N/A</v>
      </c>
      <c r="I4334" s="6" t="e">
        <f>VLOOKUP('Customer Info'!E4326,'Customer Info'!E4326:E4825,1,0)</f>
        <v>#N/A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603</v>
      </c>
      <c r="R4334" s="2" t="s">
        <v>28</v>
      </c>
      <c r="S4334" s="9">
        <f t="shared" si="339"/>
        <v>0.05</v>
      </c>
    </row>
    <row r="4335" spans="1:19" x14ac:dyDescent="0.3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e">
        <f>VLOOKUP('Customer Info'!B4327,'Customer Info'!B4327:B4826,1,0)</f>
        <v>#N/A</v>
      </c>
      <c r="H4335" s="6" t="e">
        <f>VLOOKUP('Customer Info'!C4327,'Customer Info'!C4327:C4826,1)</f>
        <v>#N/A</v>
      </c>
      <c r="I4335" s="6" t="e">
        <f>VLOOKUP('Customer Info'!E4327,'Customer Info'!E4327:E4826,1,0)</f>
        <v>#N/A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1025</v>
      </c>
      <c r="R4335" s="2" t="s">
        <v>28</v>
      </c>
      <c r="S4335" s="9">
        <f t="shared" si="339"/>
        <v>0.05</v>
      </c>
    </row>
    <row r="4336" spans="1:19" x14ac:dyDescent="0.3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e">
        <f>VLOOKUP('Customer Info'!B4328,'Customer Info'!B4328:B4827,1,0)</f>
        <v>#N/A</v>
      </c>
      <c r="H4336" s="6" t="e">
        <f>VLOOKUP('Customer Info'!C4328,'Customer Info'!C4328:C4827,1)</f>
        <v>#N/A</v>
      </c>
      <c r="I4336" s="6" t="e">
        <f>VLOOKUP('Customer Info'!E4328,'Customer Info'!E4328:E4827,1,0)</f>
        <v>#N/A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156</v>
      </c>
      <c r="R4336" s="2" t="s">
        <v>28</v>
      </c>
      <c r="S4336" s="9">
        <f t="shared" si="339"/>
        <v>0.02</v>
      </c>
    </row>
    <row r="4337" spans="1:19" x14ac:dyDescent="0.3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e">
        <f>VLOOKUP('Customer Info'!B4329,'Customer Info'!B4329:B4828,1,0)</f>
        <v>#N/A</v>
      </c>
      <c r="H4337" s="6" t="e">
        <f>VLOOKUP('Customer Info'!C4329,'Customer Info'!C4329:C4828,1)</f>
        <v>#N/A</v>
      </c>
      <c r="I4337" s="6" t="e">
        <f>VLOOKUP('Customer Info'!E4329,'Customer Info'!E4329:E4828,1,0)</f>
        <v>#N/A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120</v>
      </c>
      <c r="R4337" s="2" t="s">
        <v>50</v>
      </c>
      <c r="S4337" s="9">
        <f t="shared" si="339"/>
        <v>0.02</v>
      </c>
    </row>
    <row r="4338" spans="1:19" x14ac:dyDescent="0.3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e">
        <f>VLOOKUP('Customer Info'!B4330,'Customer Info'!B4330:B4829,1,0)</f>
        <v>#N/A</v>
      </c>
      <c r="H4338" s="6" t="e">
        <f>VLOOKUP('Customer Info'!C4330,'Customer Info'!C4330:C4829,1)</f>
        <v>#N/A</v>
      </c>
      <c r="I4338" s="6" t="e">
        <f>VLOOKUP('Customer Info'!E4330,'Customer Info'!E4330:E4829,1,0)</f>
        <v>#N/A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756</v>
      </c>
      <c r="R4338" s="2" t="s">
        <v>28</v>
      </c>
      <c r="S4338" s="9">
        <f t="shared" si="339"/>
        <v>0.05</v>
      </c>
    </row>
    <row r="4339" spans="1:19" x14ac:dyDescent="0.3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e">
        <f>VLOOKUP('Customer Info'!B4331,'Customer Info'!B4331:B4830,1,0)</f>
        <v>#N/A</v>
      </c>
      <c r="H4339" s="6" t="e">
        <f>VLOOKUP('Customer Info'!C4331,'Customer Info'!C4331:C4830,1)</f>
        <v>#N/A</v>
      </c>
      <c r="I4339" s="6" t="e">
        <f>VLOOKUP('Customer Info'!E4331,'Customer Info'!E4331:E4830,1,0)</f>
        <v>#N/A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1167</v>
      </c>
      <c r="R4339" s="2" t="s">
        <v>28</v>
      </c>
      <c r="S4339" s="9">
        <f t="shared" si="339"/>
        <v>0.05</v>
      </c>
    </row>
    <row r="4340" spans="1:19" x14ac:dyDescent="0.3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e">
        <f>VLOOKUP('Customer Info'!B4332,'Customer Info'!B4332:B4831,1,0)</f>
        <v>#N/A</v>
      </c>
      <c r="H4340" s="6" t="e">
        <f>VLOOKUP('Customer Info'!C4332,'Customer Info'!C4332:C4831,1)</f>
        <v>#N/A</v>
      </c>
      <c r="I4340" s="6" t="e">
        <f>VLOOKUP('Customer Info'!E4332,'Customer Info'!E4332:E4831,1,0)</f>
        <v>#N/A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54</v>
      </c>
      <c r="R4340" s="2" t="s">
        <v>26</v>
      </c>
      <c r="S4340" s="9">
        <f t="shared" si="339"/>
        <v>0.02</v>
      </c>
    </row>
    <row r="4341" spans="1:19" x14ac:dyDescent="0.3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e">
        <f>VLOOKUP('Customer Info'!B4333,'Customer Info'!B4333:B4832,1,0)</f>
        <v>#N/A</v>
      </c>
      <c r="H4341" s="6" t="e">
        <f>VLOOKUP('Customer Info'!C4333,'Customer Info'!C4333:C4832,1)</f>
        <v>#N/A</v>
      </c>
      <c r="I4341" s="6" t="e">
        <f>VLOOKUP('Customer Info'!E4333,'Customer Info'!E4333:E4832,1,0)</f>
        <v>#N/A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28</v>
      </c>
      <c r="R4341" s="2" t="s">
        <v>28</v>
      </c>
      <c r="S4341" s="9">
        <f t="shared" si="339"/>
        <v>0.02</v>
      </c>
    </row>
    <row r="4342" spans="1:19" x14ac:dyDescent="0.3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e">
        <f>VLOOKUP('Customer Info'!B4334,'Customer Info'!B4334:B4833,1,0)</f>
        <v>#N/A</v>
      </c>
      <c r="H4342" s="6" t="e">
        <f>VLOOKUP('Customer Info'!C4334,'Customer Info'!C4334:C4833,1)</f>
        <v>#N/A</v>
      </c>
      <c r="I4342" s="6" t="e">
        <f>VLOOKUP('Customer Info'!E4334,'Customer Info'!E4334:E4833,1,0)</f>
        <v>#N/A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53</v>
      </c>
      <c r="R4342" s="2" t="s">
        <v>28</v>
      </c>
      <c r="S4342" s="9">
        <f t="shared" si="339"/>
        <v>0.02</v>
      </c>
    </row>
    <row r="4343" spans="1:19" x14ac:dyDescent="0.3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e">
        <f>VLOOKUP('Customer Info'!B4335,'Customer Info'!B4335:B4834,1,0)</f>
        <v>#N/A</v>
      </c>
      <c r="H4343" s="6" t="e">
        <f>VLOOKUP('Customer Info'!C4335,'Customer Info'!C4335:C4834,1)</f>
        <v>#N/A</v>
      </c>
      <c r="I4343" s="6" t="e">
        <f>VLOOKUP('Customer Info'!E4335,'Customer Info'!E4335:E4834,1,0)</f>
        <v>#N/A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40</v>
      </c>
      <c r="R4343" s="2" t="s">
        <v>28</v>
      </c>
      <c r="S4343" s="9">
        <f t="shared" si="339"/>
        <v>0.02</v>
      </c>
    </row>
    <row r="4344" spans="1:19" x14ac:dyDescent="0.3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e">
        <f>VLOOKUP('Customer Info'!B4336,'Customer Info'!B4336:B4835,1,0)</f>
        <v>#N/A</v>
      </c>
      <c r="H4344" s="6" t="e">
        <f>VLOOKUP('Customer Info'!C4336,'Customer Info'!C4336:C4835,1)</f>
        <v>#N/A</v>
      </c>
      <c r="I4344" s="6" t="e">
        <f>VLOOKUP('Customer Info'!E4336,'Customer Info'!E4336:E4835,1,0)</f>
        <v>#N/A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78</v>
      </c>
      <c r="R4344" s="2" t="s">
        <v>50</v>
      </c>
      <c r="S4344" s="9">
        <f t="shared" si="339"/>
        <v>0.02</v>
      </c>
    </row>
    <row r="4345" spans="1:19" x14ac:dyDescent="0.3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e">
        <f>VLOOKUP('Customer Info'!B4337,'Customer Info'!B4337:B4836,1,0)</f>
        <v>#N/A</v>
      </c>
      <c r="H4345" s="6" t="e">
        <f>VLOOKUP('Customer Info'!C4337,'Customer Info'!C4337:C4836,1)</f>
        <v>#N/A</v>
      </c>
      <c r="I4345" s="6" t="e">
        <f>VLOOKUP('Customer Info'!E4337,'Customer Info'!E4337:E4836,1,0)</f>
        <v>#N/A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964</v>
      </c>
      <c r="R4345" s="2" t="s">
        <v>28</v>
      </c>
      <c r="S4345" s="9">
        <f t="shared" si="339"/>
        <v>0.05</v>
      </c>
    </row>
    <row r="4346" spans="1:19" x14ac:dyDescent="0.3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e">
        <f>VLOOKUP('Customer Info'!B4338,'Customer Info'!B4338:B4837,1,0)</f>
        <v>#N/A</v>
      </c>
      <c r="H4346" s="6" t="e">
        <f>VLOOKUP('Customer Info'!C4338,'Customer Info'!C4338:C4837,1)</f>
        <v>#N/A</v>
      </c>
      <c r="I4346" s="6" t="e">
        <f>VLOOKUP('Customer Info'!E4338,'Customer Info'!E4338:E4837,1,0)</f>
        <v>#N/A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273</v>
      </c>
      <c r="R4346" s="2" t="s">
        <v>50</v>
      </c>
      <c r="S4346" s="9">
        <f t="shared" si="339"/>
        <v>0.05</v>
      </c>
    </row>
    <row r="4347" spans="1:19" x14ac:dyDescent="0.3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e">
        <f>VLOOKUP('Customer Info'!B4339,'Customer Info'!B4339:B4838,1,0)</f>
        <v>#N/A</v>
      </c>
      <c r="H4347" s="6" t="e">
        <f>VLOOKUP('Customer Info'!C4339,'Customer Info'!C4339:C4838,1)</f>
        <v>#N/A</v>
      </c>
      <c r="I4347" s="6" t="e">
        <f>VLOOKUP('Customer Info'!E4339,'Customer Info'!E4339:E4838,1,0)</f>
        <v>#N/A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4</v>
      </c>
      <c r="R4347" s="2" t="s">
        <v>50</v>
      </c>
      <c r="S4347" s="9">
        <f t="shared" si="339"/>
        <v>0.02</v>
      </c>
    </row>
    <row r="4348" spans="1:19" x14ac:dyDescent="0.3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e">
        <f>VLOOKUP('Customer Info'!B4340,'Customer Info'!B4340:B4839,1,0)</f>
        <v>#N/A</v>
      </c>
      <c r="H4348" s="6" t="e">
        <f>VLOOKUP('Customer Info'!C4340,'Customer Info'!C4340:C4839,1)</f>
        <v>#N/A</v>
      </c>
      <c r="I4348" s="6" t="e">
        <f>VLOOKUP('Customer Info'!E4340,'Customer Info'!E4340:E4839,1,0)</f>
        <v>#N/A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417</v>
      </c>
      <c r="R4348" s="2" t="s">
        <v>28</v>
      </c>
      <c r="S4348" s="9">
        <f t="shared" si="339"/>
        <v>0.05</v>
      </c>
    </row>
    <row r="4349" spans="1:19" x14ac:dyDescent="0.3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e">
        <f>VLOOKUP('Customer Info'!B4341,'Customer Info'!B4341:B4840,1,0)</f>
        <v>#N/A</v>
      </c>
      <c r="H4349" s="6" t="e">
        <f>VLOOKUP('Customer Info'!C4341,'Customer Info'!C4341:C4840,1)</f>
        <v>#N/A</v>
      </c>
      <c r="I4349" s="6" t="e">
        <f>VLOOKUP('Customer Info'!E4341,'Customer Info'!E4341:E4840,1,0)</f>
        <v>#N/A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369</v>
      </c>
      <c r="R4349" s="2" t="s">
        <v>28</v>
      </c>
      <c r="S4349" s="9">
        <f t="shared" si="339"/>
        <v>0.05</v>
      </c>
    </row>
    <row r="4350" spans="1:19" x14ac:dyDescent="0.3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e">
        <f>VLOOKUP('Customer Info'!B4342,'Customer Info'!B4342:B4841,1,0)</f>
        <v>#N/A</v>
      </c>
      <c r="H4350" s="6" t="e">
        <f>VLOOKUP('Customer Info'!C4342,'Customer Info'!C4342:C4841,1)</f>
        <v>#N/A</v>
      </c>
      <c r="I4350" s="6" t="e">
        <f>VLOOKUP('Customer Info'!E4342,'Customer Info'!E4342:E4841,1,0)</f>
        <v>#N/A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108</v>
      </c>
      <c r="R4350" s="2" t="s">
        <v>28</v>
      </c>
      <c r="S4350" s="9">
        <f t="shared" si="339"/>
        <v>0.02</v>
      </c>
    </row>
    <row r="4351" spans="1:19" x14ac:dyDescent="0.3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e">
        <f>VLOOKUP('Customer Info'!B4343,'Customer Info'!B4343:B4842,1,0)</f>
        <v>#N/A</v>
      </c>
      <c r="H4351" s="6" t="e">
        <f>VLOOKUP('Customer Info'!C4343,'Customer Info'!C4343:C4842,1)</f>
        <v>#N/A</v>
      </c>
      <c r="I4351" s="6" t="e">
        <f>VLOOKUP('Customer Info'!E4343,'Customer Info'!E4343:E4842,1,0)</f>
        <v>#N/A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78</v>
      </c>
      <c r="R4351" s="2" t="s">
        <v>50</v>
      </c>
      <c r="S4351" s="9">
        <f t="shared" si="339"/>
        <v>0.02</v>
      </c>
    </row>
    <row r="4352" spans="1:19" x14ac:dyDescent="0.3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e">
        <f>VLOOKUP('Customer Info'!B4344,'Customer Info'!B4344:B4843,1,0)</f>
        <v>#N/A</v>
      </c>
      <c r="H4352" s="6" t="e">
        <f>VLOOKUP('Customer Info'!C4344,'Customer Info'!C4344:C4843,1)</f>
        <v>#N/A</v>
      </c>
      <c r="I4352" s="6" t="e">
        <f>VLOOKUP('Customer Info'!E4344,'Customer Info'!E4344:E4843,1,0)</f>
        <v>#N/A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333</v>
      </c>
      <c r="R4352" s="2" t="s">
        <v>28</v>
      </c>
      <c r="S4352" s="9">
        <f t="shared" si="339"/>
        <v>0.05</v>
      </c>
    </row>
    <row r="4353" spans="1:19" x14ac:dyDescent="0.3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e">
        <f>VLOOKUP('Customer Info'!B4345,'Customer Info'!B4345:B4844,1,0)</f>
        <v>#N/A</v>
      </c>
      <c r="H4353" s="6" t="e">
        <f>VLOOKUP('Customer Info'!C4345,'Customer Info'!C4345:C4844,1)</f>
        <v>#N/A</v>
      </c>
      <c r="I4353" s="6" t="e">
        <f>VLOOKUP('Customer Info'!E4345,'Customer Info'!E4345:E4844,1,0)</f>
        <v>#N/A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231</v>
      </c>
      <c r="R4353" s="2" t="s">
        <v>28</v>
      </c>
      <c r="S4353" s="9">
        <f t="shared" si="339"/>
        <v>0.02</v>
      </c>
    </row>
    <row r="4354" spans="1:19" x14ac:dyDescent="0.3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e">
        <f>VLOOKUP('Customer Info'!B4346,'Customer Info'!B4346:B4845,1,0)</f>
        <v>#N/A</v>
      </c>
      <c r="H4354" s="6" t="e">
        <f>VLOOKUP('Customer Info'!C4346,'Customer Info'!C4346:C4845,1)</f>
        <v>#N/A</v>
      </c>
      <c r="I4354" s="6" t="e">
        <f>VLOOKUP('Customer Info'!E4346,'Customer Info'!E4346:E4845,1,0)</f>
        <v>#N/A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1850</v>
      </c>
      <c r="R4354" s="2" t="s">
        <v>28</v>
      </c>
      <c r="S4354" s="9">
        <f t="shared" si="339"/>
        <v>7.0000000000000007E-2</v>
      </c>
    </row>
    <row r="4355" spans="1:19" x14ac:dyDescent="0.3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e">
        <f>VLOOKUP('Customer Info'!B4347,'Customer Info'!B4347:B4846,1,0)</f>
        <v>#N/A</v>
      </c>
      <c r="H4355" s="6" t="e">
        <f>VLOOKUP('Customer Info'!C4347,'Customer Info'!C4347:C4846,1)</f>
        <v>#N/A</v>
      </c>
      <c r="I4355" s="6" t="e">
        <f>VLOOKUP('Customer Info'!E4347,'Customer Info'!E4347:E4846,1,0)</f>
        <v>#N/A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657</v>
      </c>
      <c r="R4355" s="2" t="s">
        <v>28</v>
      </c>
      <c r="S4355" s="9">
        <f t="shared" si="339"/>
        <v>0.05</v>
      </c>
    </row>
    <row r="4356" spans="1:19" x14ac:dyDescent="0.3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e">
        <f>VLOOKUP('Customer Info'!B4348,'Customer Info'!B4348:B4847,1,0)</f>
        <v>#N/A</v>
      </c>
      <c r="H4356" s="6" t="e">
        <f>VLOOKUP('Customer Info'!C4348,'Customer Info'!C4348:C4847,1)</f>
        <v>#N/A</v>
      </c>
      <c r="I4356" s="6" t="e">
        <f>VLOOKUP('Customer Info'!E4348,'Customer Info'!E4348:E4847,1,0)</f>
        <v>#N/A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696</v>
      </c>
      <c r="R4356" s="2" t="s">
        <v>26</v>
      </c>
      <c r="S4356" s="9">
        <f t="shared" si="339"/>
        <v>0.05</v>
      </c>
    </row>
    <row r="4357" spans="1:19" x14ac:dyDescent="0.3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e">
        <f>VLOOKUP('Customer Info'!B4349,'Customer Info'!B4349:B4848,1,0)</f>
        <v>#N/A</v>
      </c>
      <c r="H4357" s="6" t="e">
        <f>VLOOKUP('Customer Info'!C4349,'Customer Info'!C4349:C4848,1)</f>
        <v>#N/A</v>
      </c>
      <c r="I4357" s="6" t="e">
        <f>VLOOKUP('Customer Info'!E4349,'Customer Info'!E4349:E4848,1,0)</f>
        <v>#N/A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1920</v>
      </c>
      <c r="R4357" s="2" t="s">
        <v>50</v>
      </c>
      <c r="S4357" s="9">
        <f t="shared" si="339"/>
        <v>0.05</v>
      </c>
    </row>
    <row r="4358" spans="1:19" x14ac:dyDescent="0.3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e">
        <f>VLOOKUP('Customer Info'!B4350,'Customer Info'!B4350:B4849,1,0)</f>
        <v>#N/A</v>
      </c>
      <c r="H4358" s="6" t="e">
        <f>VLOOKUP('Customer Info'!C4350,'Customer Info'!C4350:C4849,1)</f>
        <v>#N/A</v>
      </c>
      <c r="I4358" s="6" t="e">
        <f>VLOOKUP('Customer Info'!E4350,'Customer Info'!E4350:E4849,1,0)</f>
        <v>#N/A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908</v>
      </c>
      <c r="R4358" s="2" t="s">
        <v>50</v>
      </c>
      <c r="S4358" s="9">
        <f t="shared" si="339"/>
        <v>0.05</v>
      </c>
    </row>
    <row r="4359" spans="1:19" x14ac:dyDescent="0.3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e">
        <f>VLOOKUP('Customer Info'!B4351,'Customer Info'!B4351:B4850,1,0)</f>
        <v>#N/A</v>
      </c>
      <c r="H4359" s="6" t="e">
        <f>VLOOKUP('Customer Info'!C4351,'Customer Info'!C4351:C4850,1)</f>
        <v>#N/A</v>
      </c>
      <c r="I4359" s="6" t="e">
        <f>VLOOKUP('Customer Info'!E4351,'Customer Info'!E4351:E4850,1,0)</f>
        <v>#N/A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78</v>
      </c>
      <c r="R4359" s="2" t="s">
        <v>50</v>
      </c>
      <c r="S4359" s="9">
        <f t="shared" si="339"/>
        <v>0.02</v>
      </c>
    </row>
    <row r="4360" spans="1:19" x14ac:dyDescent="0.3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e">
        <f>VLOOKUP('Customer Info'!B4352,'Customer Info'!B4352:B4851,1,0)</f>
        <v>#N/A</v>
      </c>
      <c r="H4360" s="6" t="e">
        <f>VLOOKUP('Customer Info'!C4352,'Customer Info'!C4352:C4851,1)</f>
        <v>#N/A</v>
      </c>
      <c r="I4360" s="6" t="e">
        <f>VLOOKUP('Customer Info'!E4352,'Customer Info'!E4352:E4851,1,0)</f>
        <v>#N/A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24</v>
      </c>
      <c r="R4360" s="2" t="s">
        <v>28</v>
      </c>
      <c r="S4360" s="9">
        <f t="shared" si="339"/>
        <v>0.02</v>
      </c>
    </row>
    <row r="4361" spans="1:19" x14ac:dyDescent="0.3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e">
        <f>VLOOKUP('Customer Info'!B4353,'Customer Info'!B4353:B4852,1,0)</f>
        <v>#N/A</v>
      </c>
      <c r="H4361" s="6" t="e">
        <f>VLOOKUP('Customer Info'!C4353,'Customer Info'!C4353:C4852,1)</f>
        <v>#N/A</v>
      </c>
      <c r="I4361" s="6" t="e">
        <f>VLOOKUP('Customer Info'!E4353,'Customer Info'!E4353:E4852,1,0)</f>
        <v>#N/A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1485</v>
      </c>
      <c r="R4361" s="2" t="s">
        <v>50</v>
      </c>
      <c r="S4361" s="9">
        <f t="shared" si="339"/>
        <v>0.05</v>
      </c>
    </row>
    <row r="4362" spans="1:19" x14ac:dyDescent="0.3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e">
        <f>VLOOKUP('Customer Info'!B4354,'Customer Info'!B4354:B4853,1,0)</f>
        <v>#N/A</v>
      </c>
      <c r="H4362" s="6" t="e">
        <f>VLOOKUP('Customer Info'!C4354,'Customer Info'!C4354:C4853,1)</f>
        <v>#N/A</v>
      </c>
      <c r="I4362" s="6" t="e">
        <f>VLOOKUP('Customer Info'!E4354,'Customer Info'!E4354:E4853,1,0)</f>
        <v>#N/A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264</v>
      </c>
      <c r="R4362" s="2" t="s">
        <v>28</v>
      </c>
      <c r="S4362" s="9">
        <f t="shared" si="339"/>
        <v>0.02</v>
      </c>
    </row>
    <row r="4363" spans="1:19" x14ac:dyDescent="0.3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e">
        <f>VLOOKUP('Customer Info'!B4355,'Customer Info'!B4355:B4854,1,0)</f>
        <v>#N/A</v>
      </c>
      <c r="H4363" s="6" t="e">
        <f>VLOOKUP('Customer Info'!C4355,'Customer Info'!C4355:C4854,1)</f>
        <v>#N/A</v>
      </c>
      <c r="I4363" s="6" t="e">
        <f>VLOOKUP('Customer Info'!E4355,'Customer Info'!E4355:E4854,1,0)</f>
        <v>#N/A</v>
      </c>
      <c r="J4363" s="2">
        <v>8967</v>
      </c>
      <c r="K4363" s="2">
        <v>8151</v>
      </c>
      <c r="L4363" s="2">
        <v>2</v>
      </c>
      <c r="M4363" s="7">
        <f t="shared" ref="M4363:M4426" si="340">(K4363*L4363)</f>
        <v>16302</v>
      </c>
      <c r="N4363" s="7">
        <f t="shared" ref="N4363:N4426" si="341">(J4363*L4363)</f>
        <v>17934</v>
      </c>
      <c r="O4363" s="2">
        <v>88</v>
      </c>
      <c r="P4363" s="8">
        <f t="shared" ref="P4363:P4426" si="342">(N4363+O4363)</f>
        <v>18022</v>
      </c>
      <c r="Q4363" s="8">
        <f t="shared" ref="Q4363:Q4426" si="343">(N4363-M4363)</f>
        <v>1632</v>
      </c>
      <c r="R4363" s="2" t="s">
        <v>50</v>
      </c>
      <c r="S4363" s="9">
        <f t="shared" ref="S4363:S4426" si="344">_xlfn.IFS(P4363&gt;250000,0.15,P4363&gt;100000,0.12,P4363&gt;50000,0.09,P4363&gt;25000,0.07,P4363&gt;5000,0.05,
 TRUE,0.02)</f>
        <v>0.05</v>
      </c>
    </row>
    <row r="4364" spans="1:19" x14ac:dyDescent="0.3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e">
        <f>VLOOKUP('Customer Info'!B4356,'Customer Info'!B4356:B4855,1,0)</f>
        <v>#N/A</v>
      </c>
      <c r="H4364" s="6" t="e">
        <f>VLOOKUP('Customer Info'!C4356,'Customer Info'!C4356:C4855,1)</f>
        <v>#N/A</v>
      </c>
      <c r="I4364" s="6" t="e">
        <f>VLOOKUP('Customer Info'!E4356,'Customer Info'!E4356:E4855,1,0)</f>
        <v>#N/A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82</v>
      </c>
      <c r="R4364" s="2" t="s">
        <v>28</v>
      </c>
      <c r="S4364" s="9">
        <f t="shared" si="344"/>
        <v>0.02</v>
      </c>
    </row>
    <row r="4365" spans="1:19" x14ac:dyDescent="0.3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e">
        <f>VLOOKUP('Customer Info'!B4357,'Customer Info'!B4357:B4856,1,0)</f>
        <v>#N/A</v>
      </c>
      <c r="H4365" s="6" t="e">
        <f>VLOOKUP('Customer Info'!C4357,'Customer Info'!C4357:C4856,1)</f>
        <v>#N/A</v>
      </c>
      <c r="I4365" s="6" t="e">
        <f>VLOOKUP('Customer Info'!E4357,'Customer Info'!E4357:E4856,1,0)</f>
        <v>#N/A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182</v>
      </c>
      <c r="R4365" s="2" t="s">
        <v>26</v>
      </c>
      <c r="S4365" s="9">
        <f t="shared" si="344"/>
        <v>0.05</v>
      </c>
    </row>
    <row r="4366" spans="1:19" x14ac:dyDescent="0.3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e">
        <f>VLOOKUP('Customer Info'!B4358,'Customer Info'!B4358:B4857,1,0)</f>
        <v>#N/A</v>
      </c>
      <c r="H4366" s="6" t="e">
        <f>VLOOKUP('Customer Info'!C4358,'Customer Info'!C4358:C4857,1)</f>
        <v>#N/A</v>
      </c>
      <c r="I4366" s="6" t="e">
        <f>VLOOKUP('Customer Info'!E4358,'Customer Info'!E4358:E4857,1,0)</f>
        <v>#N/A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40</v>
      </c>
      <c r="R4366" s="2" t="s">
        <v>50</v>
      </c>
      <c r="S4366" s="9">
        <f t="shared" si="344"/>
        <v>0.02</v>
      </c>
    </row>
    <row r="4367" spans="1:19" x14ac:dyDescent="0.3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e">
        <f>VLOOKUP('Customer Info'!B4359,'Customer Info'!B4359:B4858,1,0)</f>
        <v>#N/A</v>
      </c>
      <c r="H4367" s="6" t="e">
        <f>VLOOKUP('Customer Info'!C4359,'Customer Info'!C4359:C4858,1)</f>
        <v>#N/A</v>
      </c>
      <c r="I4367" s="6" t="e">
        <f>VLOOKUP('Customer Info'!E4359,'Customer Info'!E4359:E4858,1,0)</f>
        <v>#N/A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64</v>
      </c>
      <c r="R4367" s="2" t="s">
        <v>28</v>
      </c>
      <c r="S4367" s="9">
        <f t="shared" si="344"/>
        <v>0.02</v>
      </c>
    </row>
    <row r="4368" spans="1:19" x14ac:dyDescent="0.3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e">
        <f>VLOOKUP('Customer Info'!B4360,'Customer Info'!B4360:B4859,1,0)</f>
        <v>#N/A</v>
      </c>
      <c r="H4368" s="6" t="e">
        <f>VLOOKUP('Customer Info'!C4360,'Customer Info'!C4360:C4859,1)</f>
        <v>#N/A</v>
      </c>
      <c r="I4368" s="6" t="e">
        <f>VLOOKUP('Customer Info'!E4360,'Customer Info'!E4360:E4859,1,0)</f>
        <v>#N/A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35</v>
      </c>
      <c r="R4368" s="2" t="s">
        <v>28</v>
      </c>
      <c r="S4368" s="9">
        <f t="shared" si="344"/>
        <v>0.02</v>
      </c>
    </row>
    <row r="4369" spans="1:19" x14ac:dyDescent="0.3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e">
        <f>VLOOKUP('Customer Info'!B4361,'Customer Info'!B4361:B4860,1,0)</f>
        <v>#N/A</v>
      </c>
      <c r="H4369" s="6" t="e">
        <f>VLOOKUP('Customer Info'!C4361,'Customer Info'!C4361:C4860,1)</f>
        <v>#N/A</v>
      </c>
      <c r="I4369" s="6" t="e">
        <f>VLOOKUP('Customer Info'!E4361,'Customer Info'!E4361:E4860,1,0)</f>
        <v>#N/A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320</v>
      </c>
      <c r="R4369" s="2" t="s">
        <v>28</v>
      </c>
      <c r="S4369" s="9">
        <f t="shared" si="344"/>
        <v>0.02</v>
      </c>
    </row>
    <row r="4370" spans="1:19" x14ac:dyDescent="0.3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e">
        <f>VLOOKUP('Customer Info'!B4362,'Customer Info'!B4362:B4861,1,0)</f>
        <v>#N/A</v>
      </c>
      <c r="H4370" s="6" t="e">
        <f>VLOOKUP('Customer Info'!C4362,'Customer Info'!C4362:C4861,1)</f>
        <v>#N/A</v>
      </c>
      <c r="I4370" s="6" t="e">
        <f>VLOOKUP('Customer Info'!E4362,'Customer Info'!E4362:E4861,1,0)</f>
        <v>#N/A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636</v>
      </c>
      <c r="R4370" s="2" t="s">
        <v>50</v>
      </c>
      <c r="S4370" s="9">
        <f t="shared" si="344"/>
        <v>0.05</v>
      </c>
    </row>
    <row r="4371" spans="1:19" x14ac:dyDescent="0.3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e">
        <f>VLOOKUP('Customer Info'!B4363,'Customer Info'!B4363:B4862,1,0)</f>
        <v>#N/A</v>
      </c>
      <c r="H4371" s="6" t="e">
        <f>VLOOKUP('Customer Info'!C4363,'Customer Info'!C4363:C4862,1)</f>
        <v>#N/A</v>
      </c>
      <c r="I4371" s="6" t="e">
        <f>VLOOKUP('Customer Info'!E4363,'Customer Info'!E4363:E4862,1,0)</f>
        <v>#N/A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258</v>
      </c>
      <c r="R4371" s="2" t="s">
        <v>50</v>
      </c>
      <c r="S4371" s="9">
        <f t="shared" si="344"/>
        <v>0.05</v>
      </c>
    </row>
    <row r="4372" spans="1:19" x14ac:dyDescent="0.3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e">
        <f>VLOOKUP('Customer Info'!B4364,'Customer Info'!B4364:B4863,1,0)</f>
        <v>#N/A</v>
      </c>
      <c r="H4372" s="6" t="e">
        <f>VLOOKUP('Customer Info'!C4364,'Customer Info'!C4364:C4863,1)</f>
        <v>#N/A</v>
      </c>
      <c r="I4372" s="6" t="e">
        <f>VLOOKUP('Customer Info'!E4364,'Customer Info'!E4364:E4863,1,0)</f>
        <v>#N/A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1302</v>
      </c>
      <c r="R4372" s="2" t="s">
        <v>50</v>
      </c>
      <c r="S4372" s="9">
        <f t="shared" si="344"/>
        <v>0.05</v>
      </c>
    </row>
    <row r="4373" spans="1:19" x14ac:dyDescent="0.3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e">
        <f>VLOOKUP('Customer Info'!B4365,'Customer Info'!B4365:B4864,1,0)</f>
        <v>#N/A</v>
      </c>
      <c r="H4373" s="6" t="e">
        <f>VLOOKUP('Customer Info'!C4365,'Customer Info'!C4365:C4864,1)</f>
        <v>#N/A</v>
      </c>
      <c r="I4373" s="6" t="e">
        <f>VLOOKUP('Customer Info'!E4365,'Customer Info'!E4365:E4864,1,0)</f>
        <v>#N/A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1512</v>
      </c>
      <c r="R4373" s="2" t="s">
        <v>50</v>
      </c>
      <c r="S4373" s="9">
        <f t="shared" si="344"/>
        <v>0.05</v>
      </c>
    </row>
    <row r="4374" spans="1:19" x14ac:dyDescent="0.3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e">
        <f>VLOOKUP('Customer Info'!B4366,'Customer Info'!B4366:B4865,1,0)</f>
        <v>#N/A</v>
      </c>
      <c r="H4374" s="6" t="e">
        <f>VLOOKUP('Customer Info'!C4366,'Customer Info'!C4366:C4865,1)</f>
        <v>#N/A</v>
      </c>
      <c r="I4374" s="6" t="e">
        <f>VLOOKUP('Customer Info'!E4366,'Customer Info'!E4366:E4865,1,0)</f>
        <v>#N/A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172</v>
      </c>
      <c r="R4374" s="2" t="s">
        <v>28</v>
      </c>
      <c r="S4374" s="9">
        <f t="shared" si="344"/>
        <v>0.02</v>
      </c>
    </row>
    <row r="4375" spans="1:19" x14ac:dyDescent="0.3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e">
        <f>VLOOKUP('Customer Info'!B4367,'Customer Info'!B4367:B4866,1,0)</f>
        <v>#N/A</v>
      </c>
      <c r="H4375" s="6" t="e">
        <f>VLOOKUP('Customer Info'!C4367,'Customer Info'!C4367:C4866,1)</f>
        <v>#N/A</v>
      </c>
      <c r="I4375" s="6" t="e">
        <f>VLOOKUP('Customer Info'!E4367,'Customer Info'!E4367:E4866,1,0)</f>
        <v>#N/A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14</v>
      </c>
      <c r="R4375" s="2" t="s">
        <v>28</v>
      </c>
      <c r="S4375" s="9">
        <f t="shared" si="344"/>
        <v>0.02</v>
      </c>
    </row>
    <row r="4376" spans="1:19" x14ac:dyDescent="0.3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e">
        <f>VLOOKUP('Customer Info'!B4368,'Customer Info'!B4368:B4867,1,0)</f>
        <v>#N/A</v>
      </c>
      <c r="H4376" s="6" t="e">
        <f>VLOOKUP('Customer Info'!C4368,'Customer Info'!C4368:C4867,1)</f>
        <v>#N/A</v>
      </c>
      <c r="I4376" s="6" t="e">
        <f>VLOOKUP('Customer Info'!E4368,'Customer Info'!E4368:E4867,1,0)</f>
        <v>#N/A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2704</v>
      </c>
      <c r="R4376" s="2" t="s">
        <v>28</v>
      </c>
      <c r="S4376" s="9">
        <f t="shared" si="344"/>
        <v>7.0000000000000007E-2</v>
      </c>
    </row>
    <row r="4377" spans="1:19" x14ac:dyDescent="0.3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e">
        <f>VLOOKUP('Customer Info'!B4369,'Customer Info'!B4369:B4868,1,0)</f>
        <v>#N/A</v>
      </c>
      <c r="H4377" s="6" t="e">
        <f>VLOOKUP('Customer Info'!C4369,'Customer Info'!C4369:C4868,1)</f>
        <v>#N/A</v>
      </c>
      <c r="I4377" s="6" t="e">
        <f>VLOOKUP('Customer Info'!E4369,'Customer Info'!E4369:E4868,1,0)</f>
        <v>#N/A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30</v>
      </c>
      <c r="R4377" s="2" t="s">
        <v>26</v>
      </c>
      <c r="S4377" s="9">
        <f t="shared" si="344"/>
        <v>0.02</v>
      </c>
    </row>
    <row r="4378" spans="1:19" x14ac:dyDescent="0.3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e">
        <f>VLOOKUP('Customer Info'!B4370,'Customer Info'!B4370:B4869,1,0)</f>
        <v>#N/A</v>
      </c>
      <c r="H4378" s="6" t="e">
        <f>VLOOKUP('Customer Info'!C4370,'Customer Info'!C4370:C4869,1)</f>
        <v>#N/A</v>
      </c>
      <c r="I4378" s="6" t="e">
        <f>VLOOKUP('Customer Info'!E4370,'Customer Info'!E4370:E4869,1,0)</f>
        <v>#N/A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33</v>
      </c>
      <c r="R4378" s="2" t="s">
        <v>28</v>
      </c>
      <c r="S4378" s="9">
        <f t="shared" si="344"/>
        <v>0.02</v>
      </c>
    </row>
    <row r="4379" spans="1:19" x14ac:dyDescent="0.3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e">
        <f>VLOOKUP('Customer Info'!B4371,'Customer Info'!B4371:B4870,1,0)</f>
        <v>#N/A</v>
      </c>
      <c r="H4379" s="6" t="e">
        <f>VLOOKUP('Customer Info'!C4371,'Customer Info'!C4371:C4870,1)</f>
        <v>#N/A</v>
      </c>
      <c r="I4379" s="6" t="e">
        <f>VLOOKUP('Customer Info'!E4371,'Customer Info'!E4371:E4870,1,0)</f>
        <v>#N/A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1905</v>
      </c>
      <c r="R4379" s="2" t="s">
        <v>28</v>
      </c>
      <c r="S4379" s="9">
        <f t="shared" si="344"/>
        <v>7.0000000000000007E-2</v>
      </c>
    </row>
    <row r="4380" spans="1:19" x14ac:dyDescent="0.3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e">
        <f>VLOOKUP('Customer Info'!B4372,'Customer Info'!B4372:B4871,1,0)</f>
        <v>#N/A</v>
      </c>
      <c r="H4380" s="6" t="e">
        <f>VLOOKUP('Customer Info'!C4372,'Customer Info'!C4372:C4871,1)</f>
        <v>#N/A</v>
      </c>
      <c r="I4380" s="6" t="e">
        <f>VLOOKUP('Customer Info'!E4372,'Customer Info'!E4372:E4871,1,0)</f>
        <v>#N/A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237</v>
      </c>
      <c r="R4380" s="2" t="s">
        <v>50</v>
      </c>
      <c r="S4380" s="9">
        <f t="shared" si="344"/>
        <v>0.02</v>
      </c>
    </row>
    <row r="4381" spans="1:19" x14ac:dyDescent="0.3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e">
        <f>VLOOKUP('Customer Info'!B4373,'Customer Info'!B4373:B4872,1,0)</f>
        <v>#N/A</v>
      </c>
      <c r="H4381" s="6" t="e">
        <f>VLOOKUP('Customer Info'!C4373,'Customer Info'!C4373:C4872,1)</f>
        <v>#N/A</v>
      </c>
      <c r="I4381" s="6" t="e">
        <f>VLOOKUP('Customer Info'!E4373,'Customer Info'!E4373:E4872,1,0)</f>
        <v>#N/A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146</v>
      </c>
      <c r="R4381" s="2" t="s">
        <v>50</v>
      </c>
      <c r="S4381" s="9">
        <f t="shared" si="344"/>
        <v>0.02</v>
      </c>
    </row>
    <row r="4382" spans="1:19" x14ac:dyDescent="0.3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e">
        <f>VLOOKUP('Customer Info'!B4374,'Customer Info'!B4374:B4873,1,0)</f>
        <v>#N/A</v>
      </c>
      <c r="H4382" s="6" t="e">
        <f>VLOOKUP('Customer Info'!C4374,'Customer Info'!C4374:C4873,1)</f>
        <v>#N/A</v>
      </c>
      <c r="I4382" s="6" t="e">
        <f>VLOOKUP('Customer Info'!E4374,'Customer Info'!E4374:E4873,1,0)</f>
        <v>#N/A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2028</v>
      </c>
      <c r="R4382" s="2" t="s">
        <v>28</v>
      </c>
      <c r="S4382" s="9">
        <f t="shared" si="344"/>
        <v>0.05</v>
      </c>
    </row>
    <row r="4383" spans="1:19" x14ac:dyDescent="0.3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e">
        <f>VLOOKUP('Customer Info'!B4375,'Customer Info'!B4375:B4874,1,0)</f>
        <v>#N/A</v>
      </c>
      <c r="H4383" s="6" t="e">
        <f>VLOOKUP('Customer Info'!C4375,'Customer Info'!C4375:C4874,1)</f>
        <v>#N/A</v>
      </c>
      <c r="I4383" s="6" t="e">
        <f>VLOOKUP('Customer Info'!E4375,'Customer Info'!E4375:E4874,1,0)</f>
        <v>#N/A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324</v>
      </c>
      <c r="R4383" s="2" t="s">
        <v>50</v>
      </c>
      <c r="S4383" s="9">
        <f t="shared" si="344"/>
        <v>0.05</v>
      </c>
    </row>
    <row r="4384" spans="1:19" x14ac:dyDescent="0.3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e">
        <f>VLOOKUP('Customer Info'!B4376,'Customer Info'!B4376:B4875,1,0)</f>
        <v>#N/A</v>
      </c>
      <c r="H4384" s="6" t="e">
        <f>VLOOKUP('Customer Info'!C4376,'Customer Info'!C4376:C4875,1)</f>
        <v>#N/A</v>
      </c>
      <c r="I4384" s="6" t="e">
        <f>VLOOKUP('Customer Info'!E4376,'Customer Info'!E4376:E4875,1,0)</f>
        <v>#N/A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600</v>
      </c>
      <c r="R4384" s="2" t="s">
        <v>56</v>
      </c>
      <c r="S4384" s="9">
        <f t="shared" si="344"/>
        <v>0.05</v>
      </c>
    </row>
    <row r="4385" spans="1:19" x14ac:dyDescent="0.3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e">
        <f>VLOOKUP('Customer Info'!B4377,'Customer Info'!B4377:B4876,1,0)</f>
        <v>#N/A</v>
      </c>
      <c r="H4385" s="6" t="e">
        <f>VLOOKUP('Customer Info'!C4377,'Customer Info'!C4377:C4876,1)</f>
        <v>#N/A</v>
      </c>
      <c r="I4385" s="6" t="e">
        <f>VLOOKUP('Customer Info'!E4377,'Customer Info'!E4377:E4876,1,0)</f>
        <v>#N/A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534</v>
      </c>
      <c r="R4385" s="2" t="s">
        <v>50</v>
      </c>
      <c r="S4385" s="9">
        <f t="shared" si="344"/>
        <v>0.05</v>
      </c>
    </row>
    <row r="4386" spans="1:19" x14ac:dyDescent="0.3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e">
        <f>VLOOKUP('Customer Info'!B4378,'Customer Info'!B4378:B4877,1,0)</f>
        <v>#N/A</v>
      </c>
      <c r="H4386" s="6" t="e">
        <f>VLOOKUP('Customer Info'!C4378,'Customer Info'!C4378:C4877,1)</f>
        <v>#N/A</v>
      </c>
      <c r="I4386" s="6" t="e">
        <f>VLOOKUP('Customer Info'!E4378,'Customer Info'!E4378:E4877,1,0)</f>
        <v>#N/A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64</v>
      </c>
      <c r="R4386" s="2" t="s">
        <v>50</v>
      </c>
      <c r="S4386" s="9">
        <f t="shared" si="344"/>
        <v>0.02</v>
      </c>
    </row>
    <row r="4387" spans="1:19" x14ac:dyDescent="0.3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e">
        <f>VLOOKUP('Customer Info'!B4379,'Customer Info'!B4379:B4878,1,0)</f>
        <v>#N/A</v>
      </c>
      <c r="H4387" s="6" t="e">
        <f>VLOOKUP('Customer Info'!C4379,'Customer Info'!C4379:C4878,1)</f>
        <v>#N/A</v>
      </c>
      <c r="I4387" s="6" t="e">
        <f>VLOOKUP('Customer Info'!E4379,'Customer Info'!E4379:E4878,1,0)</f>
        <v>#N/A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370</v>
      </c>
      <c r="R4387" s="2" t="s">
        <v>28</v>
      </c>
      <c r="S4387" s="9">
        <f t="shared" si="344"/>
        <v>0.05</v>
      </c>
    </row>
    <row r="4388" spans="1:19" x14ac:dyDescent="0.3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e">
        <f>VLOOKUP('Customer Info'!B4380,'Customer Info'!B4380:B4879,1,0)</f>
        <v>#N/A</v>
      </c>
      <c r="H4388" s="6" t="e">
        <f>VLOOKUP('Customer Info'!C4380,'Customer Info'!C4380:C4879,1)</f>
        <v>#N/A</v>
      </c>
      <c r="I4388" s="6" t="e">
        <f>VLOOKUP('Customer Info'!E4380,'Customer Info'!E4380:E4879,1,0)</f>
        <v>#N/A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1608</v>
      </c>
      <c r="R4388" s="2" t="s">
        <v>50</v>
      </c>
      <c r="S4388" s="9">
        <f t="shared" si="344"/>
        <v>7.0000000000000007E-2</v>
      </c>
    </row>
    <row r="4389" spans="1:19" x14ac:dyDescent="0.3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e">
        <f>VLOOKUP('Customer Info'!B4381,'Customer Info'!B4381:B4880,1,0)</f>
        <v>#N/A</v>
      </c>
      <c r="H4389" s="6" t="e">
        <f>VLOOKUP('Customer Info'!C4381,'Customer Info'!C4381:C4880,1)</f>
        <v>#N/A</v>
      </c>
      <c r="I4389" s="6" t="e">
        <f>VLOOKUP('Customer Info'!E4381,'Customer Info'!E4381:E4880,1,0)</f>
        <v>#N/A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36</v>
      </c>
      <c r="R4389" s="2" t="s">
        <v>50</v>
      </c>
      <c r="S4389" s="9">
        <f t="shared" si="344"/>
        <v>0.02</v>
      </c>
    </row>
    <row r="4390" spans="1:19" x14ac:dyDescent="0.3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e">
        <f>VLOOKUP('Customer Info'!B4382,'Customer Info'!B4382:B4881,1,0)</f>
        <v>#N/A</v>
      </c>
      <c r="H4390" s="6" t="e">
        <f>VLOOKUP('Customer Info'!C4382,'Customer Info'!C4382:C4881,1)</f>
        <v>#N/A</v>
      </c>
      <c r="I4390" s="6" t="e">
        <f>VLOOKUP('Customer Info'!E4382,'Customer Info'!E4382:E4881,1,0)</f>
        <v>#N/A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1840</v>
      </c>
      <c r="R4390" s="2" t="s">
        <v>28</v>
      </c>
      <c r="S4390" s="9">
        <f t="shared" si="344"/>
        <v>7.0000000000000007E-2</v>
      </c>
    </row>
    <row r="4391" spans="1:19" x14ac:dyDescent="0.3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e">
        <f>VLOOKUP('Customer Info'!B4383,'Customer Info'!B4383:B4882,1,0)</f>
        <v>#N/A</v>
      </c>
      <c r="H4391" s="6" t="e">
        <f>VLOOKUP('Customer Info'!C4383,'Customer Info'!C4383:C4882,1)</f>
        <v>#N/A</v>
      </c>
      <c r="I4391" s="6" t="e">
        <f>VLOOKUP('Customer Info'!E4383,'Customer Info'!E4383:E4882,1,0)</f>
        <v>#N/A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360</v>
      </c>
      <c r="R4391" s="2" t="s">
        <v>50</v>
      </c>
      <c r="S4391" s="9">
        <f t="shared" si="344"/>
        <v>0.05</v>
      </c>
    </row>
    <row r="4392" spans="1:19" x14ac:dyDescent="0.3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e">
        <f>VLOOKUP('Customer Info'!B4384,'Customer Info'!B4384:B4883,1,0)</f>
        <v>#N/A</v>
      </c>
      <c r="H4392" s="6" t="e">
        <f>VLOOKUP('Customer Info'!C4384,'Customer Info'!C4384:C4883,1)</f>
        <v>#N/A</v>
      </c>
      <c r="I4392" s="6" t="e">
        <f>VLOOKUP('Customer Info'!E4384,'Customer Info'!E4384:E4883,1,0)</f>
        <v>#N/A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90</v>
      </c>
      <c r="R4392" s="2" t="s">
        <v>50</v>
      </c>
      <c r="S4392" s="9">
        <f t="shared" si="344"/>
        <v>0.02</v>
      </c>
    </row>
    <row r="4393" spans="1:19" x14ac:dyDescent="0.3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e">
        <f>VLOOKUP('Customer Info'!B4385,'Customer Info'!B4385:B4884,1,0)</f>
        <v>#N/A</v>
      </c>
      <c r="H4393" s="6" t="e">
        <f>VLOOKUP('Customer Info'!C4385,'Customer Info'!C4385:C4884,1)</f>
        <v>#N/A</v>
      </c>
      <c r="I4393" s="6" t="e">
        <f>VLOOKUP('Customer Info'!E4385,'Customer Info'!E4385:E4884,1,0)</f>
        <v>#N/A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873</v>
      </c>
      <c r="R4393" s="2" t="s">
        <v>56</v>
      </c>
      <c r="S4393" s="9">
        <f t="shared" si="344"/>
        <v>0.05</v>
      </c>
    </row>
    <row r="4394" spans="1:19" x14ac:dyDescent="0.3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e">
        <f>VLOOKUP('Customer Info'!B4386,'Customer Info'!B4386:B4885,1,0)</f>
        <v>#N/A</v>
      </c>
      <c r="H4394" s="6" t="e">
        <f>VLOOKUP('Customer Info'!C4386,'Customer Info'!C4386:C4885,1)</f>
        <v>#N/A</v>
      </c>
      <c r="I4394" s="6" t="e">
        <f>VLOOKUP('Customer Info'!E4386,'Customer Info'!E4386:E4885,1,0)</f>
        <v>#N/A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225</v>
      </c>
      <c r="R4394" s="2" t="s">
        <v>28</v>
      </c>
      <c r="S4394" s="9">
        <f t="shared" si="344"/>
        <v>0.05</v>
      </c>
    </row>
    <row r="4395" spans="1:19" x14ac:dyDescent="0.3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e">
        <f>VLOOKUP('Customer Info'!B4387,'Customer Info'!B4387:B4886,1,0)</f>
        <v>#N/A</v>
      </c>
      <c r="H4395" s="6" t="e">
        <f>VLOOKUP('Customer Info'!C4387,'Customer Info'!C4387:C4886,1)</f>
        <v>#N/A</v>
      </c>
      <c r="I4395" s="6" t="e">
        <f>VLOOKUP('Customer Info'!E4387,'Customer Info'!E4387:E4886,1,0)</f>
        <v>#N/A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20</v>
      </c>
      <c r="R4395" s="2" t="s">
        <v>50</v>
      </c>
      <c r="S4395" s="9">
        <f t="shared" si="344"/>
        <v>0.02</v>
      </c>
    </row>
    <row r="4396" spans="1:19" x14ac:dyDescent="0.3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e">
        <f>VLOOKUP('Customer Info'!B4388,'Customer Info'!B4388:B4887,1,0)</f>
        <v>#N/A</v>
      </c>
      <c r="H4396" s="6" t="e">
        <f>VLOOKUP('Customer Info'!C4388,'Customer Info'!C4388:C4887,1)</f>
        <v>#N/A</v>
      </c>
      <c r="I4396" s="6" t="e">
        <f>VLOOKUP('Customer Info'!E4388,'Customer Info'!E4388:E4887,1,0)</f>
        <v>#N/A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20</v>
      </c>
      <c r="R4396" s="2" t="s">
        <v>28</v>
      </c>
      <c r="S4396" s="9">
        <f t="shared" si="344"/>
        <v>0.02</v>
      </c>
    </row>
    <row r="4397" spans="1:19" x14ac:dyDescent="0.3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e">
        <f>VLOOKUP('Customer Info'!B4389,'Customer Info'!B4389:B4888,1,0)</f>
        <v>#N/A</v>
      </c>
      <c r="H4397" s="6" t="e">
        <f>VLOOKUP('Customer Info'!C4389,'Customer Info'!C4389:C4888,1)</f>
        <v>#N/A</v>
      </c>
      <c r="I4397" s="6" t="e">
        <f>VLOOKUP('Customer Info'!E4389,'Customer Info'!E4389:E4888,1,0)</f>
        <v>#N/A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12</v>
      </c>
      <c r="R4397" s="2" t="s">
        <v>50</v>
      </c>
      <c r="S4397" s="9">
        <f t="shared" si="344"/>
        <v>0.02</v>
      </c>
    </row>
    <row r="4398" spans="1:19" x14ac:dyDescent="0.3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e">
        <f>VLOOKUP('Customer Info'!B4390,'Customer Info'!B4390:B4889,1,0)</f>
        <v>#N/A</v>
      </c>
      <c r="H4398" s="6" t="e">
        <f>VLOOKUP('Customer Info'!C4390,'Customer Info'!C4390:C4889,1)</f>
        <v>#N/A</v>
      </c>
      <c r="I4398" s="6" t="e">
        <f>VLOOKUP('Customer Info'!E4390,'Customer Info'!E4390:E4889,1,0)</f>
        <v>#N/A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161</v>
      </c>
      <c r="R4398" s="2" t="s">
        <v>28</v>
      </c>
      <c r="S4398" s="9">
        <f t="shared" si="344"/>
        <v>0.02</v>
      </c>
    </row>
    <row r="4399" spans="1:19" x14ac:dyDescent="0.3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e">
        <f>VLOOKUP('Customer Info'!B4391,'Customer Info'!B4391:B4890,1,0)</f>
        <v>#N/A</v>
      </c>
      <c r="H4399" s="6" t="e">
        <f>VLOOKUP('Customer Info'!C4391,'Customer Info'!C4391:C4890,1)</f>
        <v>#N/A</v>
      </c>
      <c r="I4399" s="6" t="e">
        <f>VLOOKUP('Customer Info'!E4391,'Customer Info'!E4391:E4890,1,0)</f>
        <v>#N/A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4587</v>
      </c>
      <c r="R4399" s="2" t="s">
        <v>26</v>
      </c>
      <c r="S4399" s="9">
        <f t="shared" si="344"/>
        <v>0.09</v>
      </c>
    </row>
    <row r="4400" spans="1:19" x14ac:dyDescent="0.3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e">
        <f>VLOOKUP('Customer Info'!B4392,'Customer Info'!B4392:B4891,1,0)</f>
        <v>#N/A</v>
      </c>
      <c r="H4400" s="6" t="e">
        <f>VLOOKUP('Customer Info'!C4392,'Customer Info'!C4392:C4891,1)</f>
        <v>#N/A</v>
      </c>
      <c r="I4400" s="6" t="e">
        <f>VLOOKUP('Customer Info'!E4392,'Customer Info'!E4392:E4891,1,0)</f>
        <v>#N/A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628</v>
      </c>
      <c r="R4400" s="2" t="s">
        <v>28</v>
      </c>
      <c r="S4400" s="9">
        <f t="shared" si="344"/>
        <v>0.05</v>
      </c>
    </row>
    <row r="4401" spans="1:19" x14ac:dyDescent="0.3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e">
        <f>VLOOKUP('Customer Info'!B4393,'Customer Info'!B4393:B4892,1,0)</f>
        <v>#N/A</v>
      </c>
      <c r="H4401" s="6" t="e">
        <f>VLOOKUP('Customer Info'!C4393,'Customer Info'!C4393:C4892,1)</f>
        <v>#N/A</v>
      </c>
      <c r="I4401" s="6" t="e">
        <f>VLOOKUP('Customer Info'!E4393,'Customer Info'!E4393:E4892,1,0)</f>
        <v>#N/A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96</v>
      </c>
      <c r="R4401" s="2" t="s">
        <v>50</v>
      </c>
      <c r="S4401" s="9">
        <f t="shared" si="344"/>
        <v>0.05</v>
      </c>
    </row>
    <row r="4402" spans="1:19" x14ac:dyDescent="0.3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e">
        <f>VLOOKUP('Customer Info'!B4394,'Customer Info'!B4394:B4893,1,0)</f>
        <v>#N/A</v>
      </c>
      <c r="H4402" s="6" t="e">
        <f>VLOOKUP('Customer Info'!C4394,'Customer Info'!C4394:C4893,1)</f>
        <v>#N/A</v>
      </c>
      <c r="I4402" s="6" t="e">
        <f>VLOOKUP('Customer Info'!E4394,'Customer Info'!E4394:E4893,1,0)</f>
        <v>#N/A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45</v>
      </c>
      <c r="R4402" s="2" t="s">
        <v>28</v>
      </c>
      <c r="S4402" s="9">
        <f t="shared" si="344"/>
        <v>0.02</v>
      </c>
    </row>
    <row r="4403" spans="1:19" x14ac:dyDescent="0.3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e">
        <f>VLOOKUP('Customer Info'!B4395,'Customer Info'!B4395:B4894,1,0)</f>
        <v>#N/A</v>
      </c>
      <c r="H4403" s="6" t="e">
        <f>VLOOKUP('Customer Info'!C4395,'Customer Info'!C4395:C4894,1)</f>
        <v>#N/A</v>
      </c>
      <c r="I4403" s="6" t="e">
        <f>VLOOKUP('Customer Info'!E4395,'Customer Info'!E4395:E4894,1,0)</f>
        <v>#N/A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296</v>
      </c>
      <c r="R4403" s="2" t="s">
        <v>28</v>
      </c>
      <c r="S4403" s="9">
        <f t="shared" si="344"/>
        <v>0.02</v>
      </c>
    </row>
    <row r="4404" spans="1:19" x14ac:dyDescent="0.3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e">
        <f>VLOOKUP('Customer Info'!B4396,'Customer Info'!B4396:B4895,1,0)</f>
        <v>#N/A</v>
      </c>
      <c r="H4404" s="6" t="e">
        <f>VLOOKUP('Customer Info'!C4396,'Customer Info'!C4396:C4895,1)</f>
        <v>#N/A</v>
      </c>
      <c r="I4404" s="6" t="e">
        <f>VLOOKUP('Customer Info'!E4396,'Customer Info'!E4396:E4895,1,0)</f>
        <v>#N/A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462</v>
      </c>
      <c r="R4404" s="2" t="s">
        <v>28</v>
      </c>
      <c r="S4404" s="9">
        <f t="shared" si="344"/>
        <v>0.05</v>
      </c>
    </row>
    <row r="4405" spans="1:19" x14ac:dyDescent="0.3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e">
        <f>VLOOKUP('Customer Info'!B4397,'Customer Info'!B4397:B4896,1,0)</f>
        <v>#N/A</v>
      </c>
      <c r="H4405" s="6" t="e">
        <f>VLOOKUP('Customer Info'!C4397,'Customer Info'!C4397:C4896,1)</f>
        <v>#N/A</v>
      </c>
      <c r="I4405" s="6" t="e">
        <f>VLOOKUP('Customer Info'!E4397,'Customer Info'!E4397:E4896,1,0)</f>
        <v>#N/A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192</v>
      </c>
      <c r="R4405" s="2" t="s">
        <v>28</v>
      </c>
      <c r="S4405" s="9">
        <f t="shared" si="344"/>
        <v>0.02</v>
      </c>
    </row>
    <row r="4406" spans="1:19" x14ac:dyDescent="0.3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e">
        <f>VLOOKUP('Customer Info'!B4398,'Customer Info'!B4398:B4897,1,0)</f>
        <v>#N/A</v>
      </c>
      <c r="H4406" s="6" t="e">
        <f>VLOOKUP('Customer Info'!C4398,'Customer Info'!C4398:C4897,1)</f>
        <v>#N/A</v>
      </c>
      <c r="I4406" s="6" t="e">
        <f>VLOOKUP('Customer Info'!E4398,'Customer Info'!E4398:E4897,1,0)</f>
        <v>#N/A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55</v>
      </c>
      <c r="R4406" s="2" t="s">
        <v>50</v>
      </c>
      <c r="S4406" s="9">
        <f t="shared" si="344"/>
        <v>0.02</v>
      </c>
    </row>
    <row r="4407" spans="1:19" x14ac:dyDescent="0.3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e">
        <f>VLOOKUP('Customer Info'!B4399,'Customer Info'!B4399:B4898,1,0)</f>
        <v>#N/A</v>
      </c>
      <c r="H4407" s="6" t="e">
        <f>VLOOKUP('Customer Info'!C4399,'Customer Info'!C4399:C4898,1)</f>
        <v>#N/A</v>
      </c>
      <c r="I4407" s="6" t="e">
        <f>VLOOKUP('Customer Info'!E4399,'Customer Info'!E4399:E4898,1,0)</f>
        <v>#N/A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106</v>
      </c>
      <c r="R4407" s="2" t="s">
        <v>50</v>
      </c>
      <c r="S4407" s="9">
        <f t="shared" si="344"/>
        <v>0.02</v>
      </c>
    </row>
    <row r="4408" spans="1:19" x14ac:dyDescent="0.3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e">
        <f>VLOOKUP('Customer Info'!B4400,'Customer Info'!B4400:B4899,1,0)</f>
        <v>#N/A</v>
      </c>
      <c r="H4408" s="6" t="e">
        <f>VLOOKUP('Customer Info'!C4400,'Customer Info'!C4400:C4899,1)</f>
        <v>#N/A</v>
      </c>
      <c r="I4408" s="6" t="e">
        <f>VLOOKUP('Customer Info'!E4400,'Customer Info'!E4400:E4899,1,0)</f>
        <v>#N/A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58</v>
      </c>
      <c r="R4408" s="2" t="s">
        <v>28</v>
      </c>
      <c r="S4408" s="9">
        <f t="shared" si="344"/>
        <v>0.02</v>
      </c>
    </row>
    <row r="4409" spans="1:19" x14ac:dyDescent="0.3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e">
        <f>VLOOKUP('Customer Info'!B4401,'Customer Info'!B4401:B4900,1,0)</f>
        <v>#N/A</v>
      </c>
      <c r="H4409" s="6" t="e">
        <f>VLOOKUP('Customer Info'!C4401,'Customer Info'!C4401:C4900,1)</f>
        <v>#N/A</v>
      </c>
      <c r="I4409" s="6" t="e">
        <f>VLOOKUP('Customer Info'!E4401,'Customer Info'!E4401:E4900,1,0)</f>
        <v>#N/A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215</v>
      </c>
      <c r="R4409" s="2" t="s">
        <v>28</v>
      </c>
      <c r="S4409" s="9">
        <f t="shared" si="344"/>
        <v>0.02</v>
      </c>
    </row>
    <row r="4410" spans="1:19" x14ac:dyDescent="0.3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e">
        <f>VLOOKUP('Customer Info'!B4402,'Customer Info'!B4402:B4901,1,0)</f>
        <v>#N/A</v>
      </c>
      <c r="H4410" s="6" t="e">
        <f>VLOOKUP('Customer Info'!C4402,'Customer Info'!C4402:C4901,1)</f>
        <v>#N/A</v>
      </c>
      <c r="I4410" s="6" t="e">
        <f>VLOOKUP('Customer Info'!E4402,'Customer Info'!E4402:E4901,1,0)</f>
        <v>#N/A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1575</v>
      </c>
      <c r="R4410" s="2" t="s">
        <v>50</v>
      </c>
      <c r="S4410" s="9">
        <f t="shared" si="344"/>
        <v>0.05</v>
      </c>
    </row>
    <row r="4411" spans="1:19" x14ac:dyDescent="0.3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e">
        <f>VLOOKUP('Customer Info'!B4403,'Customer Info'!B4403:B4902,1,0)</f>
        <v>#N/A</v>
      </c>
      <c r="H4411" s="6" t="e">
        <f>VLOOKUP('Customer Info'!C4403,'Customer Info'!C4403:C4902,1)</f>
        <v>#N/A</v>
      </c>
      <c r="I4411" s="6" t="e">
        <f>VLOOKUP('Customer Info'!E4403,'Customer Info'!E4403:E4902,1,0)</f>
        <v>#N/A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271</v>
      </c>
      <c r="R4411" s="2" t="s">
        <v>50</v>
      </c>
      <c r="S4411" s="9">
        <f t="shared" si="344"/>
        <v>0.02</v>
      </c>
    </row>
    <row r="4412" spans="1:19" x14ac:dyDescent="0.3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e">
        <f>VLOOKUP('Customer Info'!B4404,'Customer Info'!B4404:B4903,1,0)</f>
        <v>#N/A</v>
      </c>
      <c r="H4412" s="6" t="e">
        <f>VLOOKUP('Customer Info'!C4404,'Customer Info'!C4404:C4903,1)</f>
        <v>#N/A</v>
      </c>
      <c r="I4412" s="6" t="e">
        <f>VLOOKUP('Customer Info'!E4404,'Customer Info'!E4404:E4903,1,0)</f>
        <v>#N/A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160</v>
      </c>
      <c r="R4412" s="2" t="s">
        <v>28</v>
      </c>
      <c r="S4412" s="9">
        <f t="shared" si="344"/>
        <v>0.02</v>
      </c>
    </row>
    <row r="4413" spans="1:19" x14ac:dyDescent="0.3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e">
        <f>VLOOKUP('Customer Info'!B4405,'Customer Info'!B4405:B4904,1,0)</f>
        <v>#N/A</v>
      </c>
      <c r="H4413" s="6" t="e">
        <f>VLOOKUP('Customer Info'!C4405,'Customer Info'!C4405:C4904,1)</f>
        <v>#N/A</v>
      </c>
      <c r="I4413" s="6" t="e">
        <f>VLOOKUP('Customer Info'!E4405,'Customer Info'!E4405:E4904,1,0)</f>
        <v>#N/A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138</v>
      </c>
      <c r="R4413" s="2" t="s">
        <v>28</v>
      </c>
      <c r="S4413" s="9">
        <f t="shared" si="344"/>
        <v>0.02</v>
      </c>
    </row>
    <row r="4414" spans="1:19" x14ac:dyDescent="0.3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e">
        <f>VLOOKUP('Customer Info'!B4406,'Customer Info'!B4406:B4905,1,0)</f>
        <v>#N/A</v>
      </c>
      <c r="H4414" s="6" t="e">
        <f>VLOOKUP('Customer Info'!C4406,'Customer Info'!C4406:C4905,1)</f>
        <v>#N/A</v>
      </c>
      <c r="I4414" s="6" t="e">
        <f>VLOOKUP('Customer Info'!E4406,'Customer Info'!E4406:E4905,1,0)</f>
        <v>#N/A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159</v>
      </c>
      <c r="R4414" s="2" t="s">
        <v>50</v>
      </c>
      <c r="S4414" s="9">
        <f t="shared" si="344"/>
        <v>0.02</v>
      </c>
    </row>
    <row r="4415" spans="1:19" x14ac:dyDescent="0.3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e">
        <f>VLOOKUP('Customer Info'!B4407,'Customer Info'!B4407:B4906,1,0)</f>
        <v>#N/A</v>
      </c>
      <c r="H4415" s="6" t="e">
        <f>VLOOKUP('Customer Info'!C4407,'Customer Info'!C4407:C4906,1)</f>
        <v>#N/A</v>
      </c>
      <c r="I4415" s="6" t="e">
        <f>VLOOKUP('Customer Info'!E4407,'Customer Info'!E4407:E4906,1,0)</f>
        <v>#N/A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28</v>
      </c>
      <c r="R4415" s="2" t="s">
        <v>28</v>
      </c>
      <c r="S4415" s="9">
        <f t="shared" si="344"/>
        <v>0.02</v>
      </c>
    </row>
    <row r="4416" spans="1:19" x14ac:dyDescent="0.3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e">
        <f>VLOOKUP('Customer Info'!B4408,'Customer Info'!B4408:B4907,1,0)</f>
        <v>#N/A</v>
      </c>
      <c r="H4416" s="6" t="e">
        <f>VLOOKUP('Customer Info'!C4408,'Customer Info'!C4408:C4907,1)</f>
        <v>#N/A</v>
      </c>
      <c r="I4416" s="6" t="e">
        <f>VLOOKUP('Customer Info'!E4408,'Customer Info'!E4408:E4907,1,0)</f>
        <v>#N/A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2340</v>
      </c>
      <c r="R4416" s="2" t="s">
        <v>28</v>
      </c>
      <c r="S4416" s="9">
        <f t="shared" si="344"/>
        <v>7.0000000000000007E-2</v>
      </c>
    </row>
    <row r="4417" spans="1:19" x14ac:dyDescent="0.3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e">
        <f>VLOOKUP('Customer Info'!B4409,'Customer Info'!B4409:B4908,1,0)</f>
        <v>#N/A</v>
      </c>
      <c r="H4417" s="6" t="e">
        <f>VLOOKUP('Customer Info'!C4409,'Customer Info'!C4409:C4908,1)</f>
        <v>#N/A</v>
      </c>
      <c r="I4417" s="6" t="e">
        <f>VLOOKUP('Customer Info'!E4409,'Customer Info'!E4409:E4908,1,0)</f>
        <v>#N/A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146</v>
      </c>
      <c r="R4417" s="2" t="s">
        <v>56</v>
      </c>
      <c r="S4417" s="9">
        <f t="shared" si="344"/>
        <v>0.02</v>
      </c>
    </row>
    <row r="4418" spans="1:19" x14ac:dyDescent="0.3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e">
        <f>VLOOKUP('Customer Info'!B4410,'Customer Info'!B4410:B4909,1,0)</f>
        <v>#N/A</v>
      </c>
      <c r="H4418" s="6" t="e">
        <f>VLOOKUP('Customer Info'!C4410,'Customer Info'!C4410:C4909,1)</f>
        <v>#N/A</v>
      </c>
      <c r="I4418" s="6" t="e">
        <f>VLOOKUP('Customer Info'!E4410,'Customer Info'!E4410:E4909,1,0)</f>
        <v>#N/A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148</v>
      </c>
      <c r="R4418" s="2" t="s">
        <v>50</v>
      </c>
      <c r="S4418" s="9">
        <f t="shared" si="344"/>
        <v>0.02</v>
      </c>
    </row>
    <row r="4419" spans="1:19" x14ac:dyDescent="0.3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e">
        <f>VLOOKUP('Customer Info'!B4411,'Customer Info'!B4411:B4910,1,0)</f>
        <v>#N/A</v>
      </c>
      <c r="H4419" s="6" t="e">
        <f>VLOOKUP('Customer Info'!C4411,'Customer Info'!C4411:C4910,1)</f>
        <v>#N/A</v>
      </c>
      <c r="I4419" s="6" t="e">
        <f>VLOOKUP('Customer Info'!E4411,'Customer Info'!E4411:E4910,1,0)</f>
        <v>#N/A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478</v>
      </c>
      <c r="R4419" s="2" t="s">
        <v>50</v>
      </c>
      <c r="S4419" s="9">
        <f t="shared" si="344"/>
        <v>0.05</v>
      </c>
    </row>
    <row r="4420" spans="1:19" x14ac:dyDescent="0.3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e">
        <f>VLOOKUP('Customer Info'!B4412,'Customer Info'!B4412:B4911,1,0)</f>
        <v>#N/A</v>
      </c>
      <c r="H4420" s="6" t="e">
        <f>VLOOKUP('Customer Info'!C4412,'Customer Info'!C4412:C4911,1)</f>
        <v>#N/A</v>
      </c>
      <c r="I4420" s="6" t="e">
        <f>VLOOKUP('Customer Info'!E4412,'Customer Info'!E4412:E4911,1,0)</f>
        <v>#N/A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76</v>
      </c>
      <c r="R4420" s="2" t="s">
        <v>56</v>
      </c>
      <c r="S4420" s="9">
        <f t="shared" si="344"/>
        <v>0.02</v>
      </c>
    </row>
    <row r="4421" spans="1:19" x14ac:dyDescent="0.3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e">
        <f>VLOOKUP('Customer Info'!B4413,'Customer Info'!B4413:B4912,1,0)</f>
        <v>#N/A</v>
      </c>
      <c r="H4421" s="6" t="e">
        <f>VLOOKUP('Customer Info'!C4413,'Customer Info'!C4413:C4912,1)</f>
        <v>#N/A</v>
      </c>
      <c r="I4421" s="6" t="e">
        <f>VLOOKUP('Customer Info'!E4413,'Customer Info'!E4413:E4912,1,0)</f>
        <v>#N/A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22</v>
      </c>
      <c r="R4421" s="2" t="s">
        <v>28</v>
      </c>
      <c r="S4421" s="9">
        <f t="shared" si="344"/>
        <v>0.02</v>
      </c>
    </row>
    <row r="4422" spans="1:19" x14ac:dyDescent="0.3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e">
        <f>VLOOKUP('Customer Info'!B4414,'Customer Info'!B4414:B4913,1,0)</f>
        <v>#N/A</v>
      </c>
      <c r="H4422" s="6" t="e">
        <f>VLOOKUP('Customer Info'!C4414,'Customer Info'!C4414:C4913,1)</f>
        <v>#N/A</v>
      </c>
      <c r="I4422" s="6" t="e">
        <f>VLOOKUP('Customer Info'!E4414,'Customer Info'!E4414:E4913,1,0)</f>
        <v>#N/A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501</v>
      </c>
      <c r="R4422" s="2" t="s">
        <v>28</v>
      </c>
      <c r="S4422" s="9">
        <f t="shared" si="344"/>
        <v>0.05</v>
      </c>
    </row>
    <row r="4423" spans="1:19" x14ac:dyDescent="0.3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e">
        <f>VLOOKUP('Customer Info'!B4415,'Customer Info'!B4415:B4914,1,0)</f>
        <v>#N/A</v>
      </c>
      <c r="H4423" s="6" t="e">
        <f>VLOOKUP('Customer Info'!C4415,'Customer Info'!C4415:C4914,1)</f>
        <v>#N/A</v>
      </c>
      <c r="I4423" s="6" t="e">
        <f>VLOOKUP('Customer Info'!E4415,'Customer Info'!E4415:E4914,1,0)</f>
        <v>#N/A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45</v>
      </c>
      <c r="R4423" s="2" t="s">
        <v>28</v>
      </c>
      <c r="S4423" s="9">
        <f t="shared" si="344"/>
        <v>0.02</v>
      </c>
    </row>
    <row r="4424" spans="1:19" x14ac:dyDescent="0.3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e">
        <f>VLOOKUP('Customer Info'!B4416,'Customer Info'!B4416:B4915,1,0)</f>
        <v>#N/A</v>
      </c>
      <c r="H4424" s="6" t="e">
        <f>VLOOKUP('Customer Info'!C4416,'Customer Info'!C4416:C4915,1)</f>
        <v>#N/A</v>
      </c>
      <c r="I4424" s="6" t="e">
        <f>VLOOKUP('Customer Info'!E4416,'Customer Info'!E4416:E4915,1,0)</f>
        <v>#N/A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72</v>
      </c>
      <c r="R4424" s="2" t="s">
        <v>26</v>
      </c>
      <c r="S4424" s="9">
        <f t="shared" si="344"/>
        <v>0.02</v>
      </c>
    </row>
    <row r="4425" spans="1:19" x14ac:dyDescent="0.3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e">
        <f>VLOOKUP('Customer Info'!B4417,'Customer Info'!B4417:B4916,1,0)</f>
        <v>#N/A</v>
      </c>
      <c r="H4425" s="6" t="e">
        <f>VLOOKUP('Customer Info'!C4417,'Customer Info'!C4417:C4916,1)</f>
        <v>#N/A</v>
      </c>
      <c r="I4425" s="6" t="e">
        <f>VLOOKUP('Customer Info'!E4417,'Customer Info'!E4417:E4916,1,0)</f>
        <v>#N/A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51</v>
      </c>
      <c r="R4425" s="2" t="s">
        <v>28</v>
      </c>
      <c r="S4425" s="9">
        <f t="shared" si="344"/>
        <v>0.02</v>
      </c>
    </row>
    <row r="4426" spans="1:19" x14ac:dyDescent="0.3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e">
        <f>VLOOKUP('Customer Info'!B4418,'Customer Info'!B4418:B4917,1,0)</f>
        <v>#N/A</v>
      </c>
      <c r="H4426" s="6" t="e">
        <f>VLOOKUP('Customer Info'!C4418,'Customer Info'!C4418:C4917,1)</f>
        <v>#N/A</v>
      </c>
      <c r="I4426" s="6" t="e">
        <f>VLOOKUP('Customer Info'!E4418,'Customer Info'!E4418:E4917,1,0)</f>
        <v>#N/A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232</v>
      </c>
      <c r="R4426" s="2" t="s">
        <v>50</v>
      </c>
      <c r="S4426" s="9">
        <f t="shared" si="344"/>
        <v>0.02</v>
      </c>
    </row>
    <row r="4427" spans="1:19" x14ac:dyDescent="0.3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e">
        <f>VLOOKUP('Customer Info'!B4419,'Customer Info'!B4419:B4918,1,0)</f>
        <v>#N/A</v>
      </c>
      <c r="H4427" s="6" t="e">
        <f>VLOOKUP('Customer Info'!C4419,'Customer Info'!C4419:C4918,1)</f>
        <v>#N/A</v>
      </c>
      <c r="I4427" s="6" t="e">
        <f>VLOOKUP('Customer Info'!E4419,'Customer Info'!E4419:E4918,1,0)</f>
        <v>#N/A</v>
      </c>
      <c r="J4427" s="2">
        <v>1332</v>
      </c>
      <c r="K4427" s="2">
        <v>1209</v>
      </c>
      <c r="L4427" s="2">
        <v>5</v>
      </c>
      <c r="M4427" s="7">
        <f t="shared" ref="M4427:M4490" si="345">(K4427*L4427)</f>
        <v>6045</v>
      </c>
      <c r="N4427" s="7">
        <f t="shared" ref="N4427:N4490" si="346">(J4427*L4427)</f>
        <v>6660</v>
      </c>
      <c r="O4427" s="2">
        <v>43</v>
      </c>
      <c r="P4427" s="8">
        <f t="shared" ref="P4427:P4490" si="347">(N4427+O4427)</f>
        <v>6703</v>
      </c>
      <c r="Q4427" s="8">
        <f t="shared" ref="Q4427:Q4490" si="348">(N4427-M4427)</f>
        <v>615</v>
      </c>
      <c r="R4427" s="2" t="s">
        <v>28</v>
      </c>
      <c r="S4427" s="9">
        <f t="shared" ref="S4427:S4490" si="349">_xlfn.IFS(P4427&gt;250000,0.15,P4427&gt;100000,0.12,P4427&gt;50000,0.09,P4427&gt;25000,0.07,P4427&gt;5000,0.05,
 TRUE,0.02)</f>
        <v>0.05</v>
      </c>
    </row>
    <row r="4428" spans="1:19" x14ac:dyDescent="0.3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e">
        <f>VLOOKUP('Customer Info'!B4420,'Customer Info'!B4420:B4919,1,0)</f>
        <v>#N/A</v>
      </c>
      <c r="H4428" s="6" t="e">
        <f>VLOOKUP('Customer Info'!C4420,'Customer Info'!C4420:C4919,1)</f>
        <v>#N/A</v>
      </c>
      <c r="I4428" s="6" t="e">
        <f>VLOOKUP('Customer Info'!E4420,'Customer Info'!E4420:E4919,1,0)</f>
        <v>#N/A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50</v>
      </c>
      <c r="R4428" s="2" t="s">
        <v>28</v>
      </c>
      <c r="S4428" s="9">
        <f t="shared" si="349"/>
        <v>0.02</v>
      </c>
    </row>
    <row r="4429" spans="1:19" x14ac:dyDescent="0.3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e">
        <f>VLOOKUP('Customer Info'!B4421,'Customer Info'!B4421:B4920,1,0)</f>
        <v>#N/A</v>
      </c>
      <c r="H4429" s="6" t="e">
        <f>VLOOKUP('Customer Info'!C4421,'Customer Info'!C4421:C4920,1)</f>
        <v>#N/A</v>
      </c>
      <c r="I4429" s="6" t="e">
        <f>VLOOKUP('Customer Info'!E4421,'Customer Info'!E4421:E4920,1,0)</f>
        <v>#N/A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256</v>
      </c>
      <c r="R4429" s="2" t="s">
        <v>26</v>
      </c>
      <c r="S4429" s="9">
        <f t="shared" si="349"/>
        <v>0.02</v>
      </c>
    </row>
    <row r="4430" spans="1:19" x14ac:dyDescent="0.3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e">
        <f>VLOOKUP('Customer Info'!B4422,'Customer Info'!B4422:B4921,1,0)</f>
        <v>#N/A</v>
      </c>
      <c r="H4430" s="6" t="e">
        <f>VLOOKUP('Customer Info'!C4422,'Customer Info'!C4422:C4921,1)</f>
        <v>#N/A</v>
      </c>
      <c r="I4430" s="6" t="e">
        <f>VLOOKUP('Customer Info'!E4422,'Customer Info'!E4422:E4921,1,0)</f>
        <v>#N/A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216</v>
      </c>
      <c r="R4430" s="2" t="s">
        <v>28</v>
      </c>
      <c r="S4430" s="9">
        <f t="shared" si="349"/>
        <v>0.05</v>
      </c>
    </row>
    <row r="4431" spans="1:19" x14ac:dyDescent="0.3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e">
        <f>VLOOKUP('Customer Info'!B4423,'Customer Info'!B4423:B4922,1,0)</f>
        <v>#N/A</v>
      </c>
      <c r="H4431" s="6" t="e">
        <f>VLOOKUP('Customer Info'!C4423,'Customer Info'!C4423:C4922,1)</f>
        <v>#N/A</v>
      </c>
      <c r="I4431" s="6" t="e">
        <f>VLOOKUP('Customer Info'!E4423,'Customer Info'!E4423:E4922,1,0)</f>
        <v>#N/A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186</v>
      </c>
      <c r="R4431" s="2" t="s">
        <v>28</v>
      </c>
      <c r="S4431" s="9">
        <f t="shared" si="349"/>
        <v>0.02</v>
      </c>
    </row>
    <row r="4432" spans="1:19" x14ac:dyDescent="0.3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e">
        <f>VLOOKUP('Customer Info'!B4424,'Customer Info'!B4424:B4923,1,0)</f>
        <v>#N/A</v>
      </c>
      <c r="H4432" s="6" t="e">
        <f>VLOOKUP('Customer Info'!C4424,'Customer Info'!C4424:C4923,1)</f>
        <v>#N/A</v>
      </c>
      <c r="I4432" s="6" t="e">
        <f>VLOOKUP('Customer Info'!E4424,'Customer Info'!E4424:E4923,1,0)</f>
        <v>#N/A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18</v>
      </c>
      <c r="R4432" s="2" t="s">
        <v>28</v>
      </c>
      <c r="S4432" s="9">
        <f t="shared" si="349"/>
        <v>0.02</v>
      </c>
    </row>
    <row r="4433" spans="1:19" x14ac:dyDescent="0.3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e">
        <f>VLOOKUP('Customer Info'!B4425,'Customer Info'!B4425:B4924,1,0)</f>
        <v>#N/A</v>
      </c>
      <c r="H4433" s="6" t="e">
        <f>VLOOKUP('Customer Info'!C4425,'Customer Info'!C4425:C4924,1)</f>
        <v>#N/A</v>
      </c>
      <c r="I4433" s="6" t="e">
        <f>VLOOKUP('Customer Info'!E4425,'Customer Info'!E4425:E4924,1,0)</f>
        <v>#N/A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856</v>
      </c>
      <c r="R4433" s="2" t="s">
        <v>50</v>
      </c>
      <c r="S4433" s="9">
        <f t="shared" si="349"/>
        <v>0.05</v>
      </c>
    </row>
    <row r="4434" spans="1:19" x14ac:dyDescent="0.3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e">
        <f>VLOOKUP('Customer Info'!B4426,'Customer Info'!B4426:B4925,1,0)</f>
        <v>#N/A</v>
      </c>
      <c r="H4434" s="6" t="e">
        <f>VLOOKUP('Customer Info'!C4426,'Customer Info'!C4426:C4925,1)</f>
        <v>#N/A</v>
      </c>
      <c r="I4434" s="6" t="e">
        <f>VLOOKUP('Customer Info'!E4426,'Customer Info'!E4426:E4925,1,0)</f>
        <v>#N/A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3676</v>
      </c>
      <c r="R4434" s="2" t="s">
        <v>28</v>
      </c>
      <c r="S4434" s="9">
        <f t="shared" si="349"/>
        <v>7.0000000000000007E-2</v>
      </c>
    </row>
    <row r="4435" spans="1:19" x14ac:dyDescent="0.3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e">
        <f>VLOOKUP('Customer Info'!B4427,'Customer Info'!B4427:B4926,1,0)</f>
        <v>#N/A</v>
      </c>
      <c r="H4435" s="6" t="e">
        <f>VLOOKUP('Customer Info'!C4427,'Customer Info'!C4427:C4926,1)</f>
        <v>#N/A</v>
      </c>
      <c r="I4435" s="6" t="e">
        <f>VLOOKUP('Customer Info'!E4427,'Customer Info'!E4427:E4926,1,0)</f>
        <v>#N/A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145</v>
      </c>
      <c r="R4435" s="2" t="s">
        <v>50</v>
      </c>
      <c r="S4435" s="9">
        <f t="shared" si="349"/>
        <v>0.05</v>
      </c>
    </row>
    <row r="4436" spans="1:19" x14ac:dyDescent="0.3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e">
        <f>VLOOKUP('Customer Info'!B4428,'Customer Info'!B4428:B4927,1,0)</f>
        <v>#N/A</v>
      </c>
      <c r="H4436" s="6" t="e">
        <f>VLOOKUP('Customer Info'!C4428,'Customer Info'!C4428:C4927,1)</f>
        <v>#N/A</v>
      </c>
      <c r="I4436" s="6" t="e">
        <f>VLOOKUP('Customer Info'!E4428,'Customer Info'!E4428:E4927,1,0)</f>
        <v>#N/A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42</v>
      </c>
      <c r="R4436" s="2" t="s">
        <v>28</v>
      </c>
      <c r="S4436" s="9">
        <f t="shared" si="349"/>
        <v>0.02</v>
      </c>
    </row>
    <row r="4437" spans="1:19" x14ac:dyDescent="0.3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e">
        <f>VLOOKUP('Customer Info'!B4429,'Customer Info'!B4429:B4928,1,0)</f>
        <v>#N/A</v>
      </c>
      <c r="H4437" s="6" t="e">
        <f>VLOOKUP('Customer Info'!C4429,'Customer Info'!C4429:C4928,1)</f>
        <v>#N/A</v>
      </c>
      <c r="I4437" s="6" t="e">
        <f>VLOOKUP('Customer Info'!E4429,'Customer Info'!E4429:E4928,1,0)</f>
        <v>#N/A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438</v>
      </c>
      <c r="R4437" s="2" t="s">
        <v>26</v>
      </c>
      <c r="S4437" s="9">
        <f t="shared" si="349"/>
        <v>0.05</v>
      </c>
    </row>
    <row r="4438" spans="1:19" x14ac:dyDescent="0.3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e">
        <f>VLOOKUP('Customer Info'!B4430,'Customer Info'!B4430:B4929,1,0)</f>
        <v>#N/A</v>
      </c>
      <c r="H4438" s="6" t="e">
        <f>VLOOKUP('Customer Info'!C4430,'Customer Info'!C4430:C4929,1)</f>
        <v>#N/A</v>
      </c>
      <c r="I4438" s="6" t="e">
        <f>VLOOKUP('Customer Info'!E4430,'Customer Info'!E4430:E4929,1,0)</f>
        <v>#N/A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1370</v>
      </c>
      <c r="R4438" s="2" t="s">
        <v>28</v>
      </c>
      <c r="S4438" s="9">
        <f t="shared" si="349"/>
        <v>0.05</v>
      </c>
    </row>
    <row r="4439" spans="1:19" x14ac:dyDescent="0.3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e">
        <f>VLOOKUP('Customer Info'!B4431,'Customer Info'!B4431:B4930,1,0)</f>
        <v>#N/A</v>
      </c>
      <c r="H4439" s="6" t="e">
        <f>VLOOKUP('Customer Info'!C4431,'Customer Info'!C4431:C4930,1)</f>
        <v>#N/A</v>
      </c>
      <c r="I4439" s="6" t="e">
        <f>VLOOKUP('Customer Info'!E4431,'Customer Info'!E4431:E4930,1,0)</f>
        <v>#N/A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24</v>
      </c>
      <c r="R4439" s="2" t="s">
        <v>50</v>
      </c>
      <c r="S4439" s="9">
        <f t="shared" si="349"/>
        <v>0.02</v>
      </c>
    </row>
    <row r="4440" spans="1:19" x14ac:dyDescent="0.3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e">
        <f>VLOOKUP('Customer Info'!B4432,'Customer Info'!B4432:B4931,1,0)</f>
        <v>#N/A</v>
      </c>
      <c r="H4440" s="6" t="e">
        <f>VLOOKUP('Customer Info'!C4432,'Customer Info'!C4432:C4931,1)</f>
        <v>#N/A</v>
      </c>
      <c r="I4440" s="6" t="e">
        <f>VLOOKUP('Customer Info'!E4432,'Customer Info'!E4432:E4931,1,0)</f>
        <v>#N/A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16</v>
      </c>
      <c r="R4440" s="2" t="s">
        <v>50</v>
      </c>
      <c r="S4440" s="9">
        <f t="shared" si="349"/>
        <v>0.02</v>
      </c>
    </row>
    <row r="4441" spans="1:19" x14ac:dyDescent="0.3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e">
        <f>VLOOKUP('Customer Info'!B4433,'Customer Info'!B4433:B4932,1,0)</f>
        <v>#N/A</v>
      </c>
      <c r="H4441" s="6" t="e">
        <f>VLOOKUP('Customer Info'!C4433,'Customer Info'!C4433:C4932,1)</f>
        <v>#N/A</v>
      </c>
      <c r="I4441" s="6" t="e">
        <f>VLOOKUP('Customer Info'!E4433,'Customer Info'!E4433:E4932,1,0)</f>
        <v>#N/A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273</v>
      </c>
      <c r="R4441" s="2" t="s">
        <v>28</v>
      </c>
      <c r="S4441" s="9">
        <f t="shared" si="349"/>
        <v>0.05</v>
      </c>
    </row>
    <row r="4442" spans="1:19" x14ac:dyDescent="0.3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e">
        <f>VLOOKUP('Customer Info'!B4434,'Customer Info'!B4434:B4933,1,0)</f>
        <v>#N/A</v>
      </c>
      <c r="H4442" s="6" t="e">
        <f>VLOOKUP('Customer Info'!C4434,'Customer Info'!C4434:C4933,1)</f>
        <v>#N/A</v>
      </c>
      <c r="I4442" s="6" t="e">
        <f>VLOOKUP('Customer Info'!E4434,'Customer Info'!E4434:E4933,1,0)</f>
        <v>#N/A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262</v>
      </c>
      <c r="R4442" s="2" t="s">
        <v>28</v>
      </c>
      <c r="S4442" s="9">
        <f t="shared" si="349"/>
        <v>0.05</v>
      </c>
    </row>
    <row r="4443" spans="1:19" x14ac:dyDescent="0.3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e">
        <f>VLOOKUP('Customer Info'!B4435,'Customer Info'!B4435:B4934,1,0)</f>
        <v>#N/A</v>
      </c>
      <c r="H4443" s="6" t="e">
        <f>VLOOKUP('Customer Info'!C4435,'Customer Info'!C4435:C4934,1)</f>
        <v>#N/A</v>
      </c>
      <c r="I4443" s="6" t="e">
        <f>VLOOKUP('Customer Info'!E4435,'Customer Info'!E4435:E4934,1,0)</f>
        <v>#N/A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286</v>
      </c>
      <c r="R4443" s="2" t="s">
        <v>28</v>
      </c>
      <c r="S4443" s="9">
        <f t="shared" si="349"/>
        <v>0.05</v>
      </c>
    </row>
    <row r="4444" spans="1:19" x14ac:dyDescent="0.3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e">
        <f>VLOOKUP('Customer Info'!B4436,'Customer Info'!B4436:B4935,1,0)</f>
        <v>#N/A</v>
      </c>
      <c r="H4444" s="6" t="e">
        <f>VLOOKUP('Customer Info'!C4436,'Customer Info'!C4436:C4935,1)</f>
        <v>#N/A</v>
      </c>
      <c r="I4444" s="6" t="e">
        <f>VLOOKUP('Customer Info'!E4436,'Customer Info'!E4436:E4935,1,0)</f>
        <v>#N/A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1920</v>
      </c>
      <c r="R4444" s="2" t="s">
        <v>50</v>
      </c>
      <c r="S4444" s="9">
        <f t="shared" si="349"/>
        <v>0.05</v>
      </c>
    </row>
    <row r="4445" spans="1:19" x14ac:dyDescent="0.3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e">
        <f>VLOOKUP('Customer Info'!B4437,'Customer Info'!B4437:B4936,1,0)</f>
        <v>#N/A</v>
      </c>
      <c r="H4445" s="6" t="e">
        <f>VLOOKUP('Customer Info'!C4437,'Customer Info'!C4437:C4936,1)</f>
        <v>#N/A</v>
      </c>
      <c r="I4445" s="6" t="e">
        <f>VLOOKUP('Customer Info'!E4437,'Customer Info'!E4437:E4936,1,0)</f>
        <v>#N/A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163</v>
      </c>
      <c r="R4445" s="2" t="s">
        <v>28</v>
      </c>
      <c r="S4445" s="9">
        <f t="shared" si="349"/>
        <v>0.02</v>
      </c>
    </row>
    <row r="4446" spans="1:19" x14ac:dyDescent="0.3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e">
        <f>VLOOKUP('Customer Info'!B4438,'Customer Info'!B4438:B4937,1,0)</f>
        <v>#N/A</v>
      </c>
      <c r="H4446" s="6" t="e">
        <f>VLOOKUP('Customer Info'!C4438,'Customer Info'!C4438:C4937,1)</f>
        <v>#N/A</v>
      </c>
      <c r="I4446" s="6" t="e">
        <f>VLOOKUP('Customer Info'!E4438,'Customer Info'!E4438:E4937,1,0)</f>
        <v>#N/A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618</v>
      </c>
      <c r="R4446" s="2" t="s">
        <v>50</v>
      </c>
      <c r="S4446" s="9">
        <f t="shared" si="349"/>
        <v>0.05</v>
      </c>
    </row>
    <row r="4447" spans="1:19" x14ac:dyDescent="0.3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e">
        <f>VLOOKUP('Customer Info'!B4439,'Customer Info'!B4439:B4938,1,0)</f>
        <v>#N/A</v>
      </c>
      <c r="H4447" s="6" t="e">
        <f>VLOOKUP('Customer Info'!C4439,'Customer Info'!C4439:C4938,1)</f>
        <v>#N/A</v>
      </c>
      <c r="I4447" s="6" t="e">
        <f>VLOOKUP('Customer Info'!E4439,'Customer Info'!E4439:E4938,1,0)</f>
        <v>#N/A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4626</v>
      </c>
      <c r="R4447" s="2" t="s">
        <v>28</v>
      </c>
      <c r="S4447" s="9">
        <f t="shared" si="349"/>
        <v>0.09</v>
      </c>
    </row>
    <row r="4448" spans="1:19" x14ac:dyDescent="0.3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e">
        <f>VLOOKUP('Customer Info'!B4440,'Customer Info'!B4440:B4939,1,0)</f>
        <v>#N/A</v>
      </c>
      <c r="H4448" s="6" t="e">
        <f>VLOOKUP('Customer Info'!C4440,'Customer Info'!C4440:C4939,1)</f>
        <v>#N/A</v>
      </c>
      <c r="I4448" s="6" t="e">
        <f>VLOOKUP('Customer Info'!E4440,'Customer Info'!E4440:E4939,1,0)</f>
        <v>#N/A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162</v>
      </c>
      <c r="R4448" s="2" t="s">
        <v>28</v>
      </c>
      <c r="S4448" s="9">
        <f t="shared" si="349"/>
        <v>0.02</v>
      </c>
    </row>
    <row r="4449" spans="1:19" x14ac:dyDescent="0.3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e">
        <f>VLOOKUP('Customer Info'!B4441,'Customer Info'!B4441:B4940,1,0)</f>
        <v>#N/A</v>
      </c>
      <c r="H4449" s="6" t="e">
        <f>VLOOKUP('Customer Info'!C4441,'Customer Info'!C4441:C4940,1)</f>
        <v>#N/A</v>
      </c>
      <c r="I4449" s="6" t="e">
        <f>VLOOKUP('Customer Info'!E4441,'Customer Info'!E4441:E4940,1,0)</f>
        <v>#N/A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128</v>
      </c>
      <c r="R4449" s="2" t="s">
        <v>28</v>
      </c>
      <c r="S4449" s="9">
        <f t="shared" si="349"/>
        <v>0.02</v>
      </c>
    </row>
    <row r="4450" spans="1:19" x14ac:dyDescent="0.3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e">
        <f>VLOOKUP('Customer Info'!B4442,'Customer Info'!B4442:B4941,1,0)</f>
        <v>#N/A</v>
      </c>
      <c r="H4450" s="6" t="e">
        <f>VLOOKUP('Customer Info'!C4442,'Customer Info'!C4442:C4941,1)</f>
        <v>#N/A</v>
      </c>
      <c r="I4450" s="6" t="e">
        <f>VLOOKUP('Customer Info'!E4442,'Customer Info'!E4442:E4941,1,0)</f>
        <v>#N/A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480</v>
      </c>
      <c r="R4450" s="2" t="s">
        <v>28</v>
      </c>
      <c r="S4450" s="9">
        <f t="shared" si="349"/>
        <v>0.05</v>
      </c>
    </row>
    <row r="4451" spans="1:19" x14ac:dyDescent="0.3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e">
        <f>VLOOKUP('Customer Info'!B4443,'Customer Info'!B4443:B4942,1,0)</f>
        <v>#N/A</v>
      </c>
      <c r="H4451" s="6" t="e">
        <f>VLOOKUP('Customer Info'!C4443,'Customer Info'!C4443:C4942,1)</f>
        <v>#N/A</v>
      </c>
      <c r="I4451" s="6" t="e">
        <f>VLOOKUP('Customer Info'!E4443,'Customer Info'!E4443:E4942,1,0)</f>
        <v>#N/A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636</v>
      </c>
      <c r="R4451" s="2" t="s">
        <v>28</v>
      </c>
      <c r="S4451" s="9">
        <f t="shared" si="349"/>
        <v>0.05</v>
      </c>
    </row>
    <row r="4452" spans="1:19" x14ac:dyDescent="0.3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e">
        <f>VLOOKUP('Customer Info'!B4444,'Customer Info'!B4444:B4943,1,0)</f>
        <v>#N/A</v>
      </c>
      <c r="H4452" s="6" t="e">
        <f>VLOOKUP('Customer Info'!C4444,'Customer Info'!C4444:C4943,1)</f>
        <v>#N/A</v>
      </c>
      <c r="I4452" s="6" t="e">
        <f>VLOOKUP('Customer Info'!E4444,'Customer Info'!E4444:E4943,1,0)</f>
        <v>#N/A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812</v>
      </c>
      <c r="R4452" s="2" t="s">
        <v>28</v>
      </c>
      <c r="S4452" s="9">
        <f t="shared" si="349"/>
        <v>0.05</v>
      </c>
    </row>
    <row r="4453" spans="1:19" x14ac:dyDescent="0.3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e">
        <f>VLOOKUP('Customer Info'!B4445,'Customer Info'!B4445:B4944,1,0)</f>
        <v>#N/A</v>
      </c>
      <c r="H4453" s="6" t="e">
        <f>VLOOKUP('Customer Info'!C4445,'Customer Info'!C4445:C4944,1)</f>
        <v>#N/A</v>
      </c>
      <c r="I4453" s="6" t="e">
        <f>VLOOKUP('Customer Info'!E4445,'Customer Info'!E4445:E4944,1,0)</f>
        <v>#N/A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56</v>
      </c>
      <c r="R4453" s="2" t="s">
        <v>28</v>
      </c>
      <c r="S4453" s="9">
        <f t="shared" si="349"/>
        <v>0.02</v>
      </c>
    </row>
    <row r="4454" spans="1:19" x14ac:dyDescent="0.3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e">
        <f>VLOOKUP('Customer Info'!B4446,'Customer Info'!B4446:B4945,1,0)</f>
        <v>#N/A</v>
      </c>
      <c r="H4454" s="6" t="e">
        <f>VLOOKUP('Customer Info'!C4446,'Customer Info'!C4446:C4945,1)</f>
        <v>#N/A</v>
      </c>
      <c r="I4454" s="6" t="e">
        <f>VLOOKUP('Customer Info'!E4446,'Customer Info'!E4446:E4945,1,0)</f>
        <v>#N/A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2016</v>
      </c>
      <c r="R4454" s="2" t="s">
        <v>56</v>
      </c>
      <c r="S4454" s="9">
        <f t="shared" si="349"/>
        <v>7.0000000000000007E-2</v>
      </c>
    </row>
    <row r="4455" spans="1:19" x14ac:dyDescent="0.3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e">
        <f>VLOOKUP('Customer Info'!B4447,'Customer Info'!B4447:B4946,1,0)</f>
        <v>#N/A</v>
      </c>
      <c r="H4455" s="6" t="e">
        <f>VLOOKUP('Customer Info'!C4447,'Customer Info'!C4447:C4946,1)</f>
        <v>#N/A</v>
      </c>
      <c r="I4455" s="6" t="e">
        <f>VLOOKUP('Customer Info'!E4447,'Customer Info'!E4447:E4946,1,0)</f>
        <v>#N/A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388</v>
      </c>
      <c r="R4455" s="2" t="s">
        <v>26</v>
      </c>
      <c r="S4455" s="9">
        <f t="shared" si="349"/>
        <v>0.02</v>
      </c>
    </row>
    <row r="4456" spans="1:19" x14ac:dyDescent="0.3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e">
        <f>VLOOKUP('Customer Info'!B4448,'Customer Info'!B4448:B4947,1,0)</f>
        <v>#N/A</v>
      </c>
      <c r="H4456" s="6" t="e">
        <f>VLOOKUP('Customer Info'!C4448,'Customer Info'!C4448:C4947,1)</f>
        <v>#N/A</v>
      </c>
      <c r="I4456" s="6" t="e">
        <f>VLOOKUP('Customer Info'!E4448,'Customer Info'!E4448:E4947,1,0)</f>
        <v>#N/A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272</v>
      </c>
      <c r="R4456" s="2" t="s">
        <v>28</v>
      </c>
      <c r="S4456" s="9">
        <f t="shared" si="349"/>
        <v>0.02</v>
      </c>
    </row>
    <row r="4457" spans="1:19" x14ac:dyDescent="0.3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e">
        <f>VLOOKUP('Customer Info'!B4449,'Customer Info'!B4449:B4948,1,0)</f>
        <v>#N/A</v>
      </c>
      <c r="H4457" s="6" t="e">
        <f>VLOOKUP('Customer Info'!C4449,'Customer Info'!C4449:C4948,1)</f>
        <v>#N/A</v>
      </c>
      <c r="I4457" s="6" t="e">
        <f>VLOOKUP('Customer Info'!E4449,'Customer Info'!E4449:E4948,1,0)</f>
        <v>#N/A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178</v>
      </c>
      <c r="R4457" s="2" t="s">
        <v>28</v>
      </c>
      <c r="S4457" s="9">
        <f t="shared" si="349"/>
        <v>0.02</v>
      </c>
    </row>
    <row r="4458" spans="1:19" x14ac:dyDescent="0.3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e">
        <f>VLOOKUP('Customer Info'!B4450,'Customer Info'!B4450:B4949,1,0)</f>
        <v>#N/A</v>
      </c>
      <c r="H4458" s="6" t="e">
        <f>VLOOKUP('Customer Info'!C4450,'Customer Info'!C4450:C4949,1)</f>
        <v>#N/A</v>
      </c>
      <c r="I4458" s="6" t="e">
        <f>VLOOKUP('Customer Info'!E4450,'Customer Info'!E4450:E4949,1,0)</f>
        <v>#N/A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1677</v>
      </c>
      <c r="R4458" s="2" t="s">
        <v>28</v>
      </c>
      <c r="S4458" s="9">
        <f t="shared" si="349"/>
        <v>0.05</v>
      </c>
    </row>
    <row r="4459" spans="1:19" x14ac:dyDescent="0.3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e">
        <f>VLOOKUP('Customer Info'!B4451,'Customer Info'!B4451:B4950,1,0)</f>
        <v>#N/A</v>
      </c>
      <c r="H4459" s="6" t="e">
        <f>VLOOKUP('Customer Info'!C4451,'Customer Info'!C4451:C4950,1)</f>
        <v>#N/A</v>
      </c>
      <c r="I4459" s="6" t="e">
        <f>VLOOKUP('Customer Info'!E4451,'Customer Info'!E4451:E4950,1,0)</f>
        <v>#N/A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1024</v>
      </c>
      <c r="R4459" s="2" t="s">
        <v>28</v>
      </c>
      <c r="S4459" s="9">
        <f t="shared" si="349"/>
        <v>7.0000000000000007E-2</v>
      </c>
    </row>
    <row r="4460" spans="1:19" x14ac:dyDescent="0.3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e">
        <f>VLOOKUP('Customer Info'!B4452,'Customer Info'!B4452:B4951,1,0)</f>
        <v>#N/A</v>
      </c>
      <c r="H4460" s="6" t="e">
        <f>VLOOKUP('Customer Info'!C4452,'Customer Info'!C4452:C4951,1)</f>
        <v>#N/A</v>
      </c>
      <c r="I4460" s="6" t="e">
        <f>VLOOKUP('Customer Info'!E4452,'Customer Info'!E4452:E4951,1,0)</f>
        <v>#N/A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110</v>
      </c>
      <c r="R4460" s="2" t="s">
        <v>28</v>
      </c>
      <c r="S4460" s="9">
        <f t="shared" si="349"/>
        <v>0.02</v>
      </c>
    </row>
    <row r="4461" spans="1:19" x14ac:dyDescent="0.3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e">
        <f>VLOOKUP('Customer Info'!B4453,'Customer Info'!B4453:B4952,1,0)</f>
        <v>#N/A</v>
      </c>
      <c r="H4461" s="6" t="e">
        <f>VLOOKUP('Customer Info'!C4453,'Customer Info'!C4453:C4952,1)</f>
        <v>#N/A</v>
      </c>
      <c r="I4461" s="6" t="e">
        <f>VLOOKUP('Customer Info'!E4453,'Customer Info'!E4453:E4952,1,0)</f>
        <v>#N/A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632</v>
      </c>
      <c r="R4461" s="2" t="s">
        <v>28</v>
      </c>
      <c r="S4461" s="9">
        <f t="shared" si="349"/>
        <v>0.05</v>
      </c>
    </row>
    <row r="4462" spans="1:19" x14ac:dyDescent="0.3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e">
        <f>VLOOKUP('Customer Info'!B4454,'Customer Info'!B4454:B4953,1,0)</f>
        <v>#N/A</v>
      </c>
      <c r="H4462" s="6" t="e">
        <f>VLOOKUP('Customer Info'!C4454,'Customer Info'!C4454:C4953,1)</f>
        <v>#N/A</v>
      </c>
      <c r="I4462" s="6" t="e">
        <f>VLOOKUP('Customer Info'!E4454,'Customer Info'!E4454:E4953,1,0)</f>
        <v>#N/A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1750</v>
      </c>
      <c r="R4462" s="2" t="s">
        <v>26</v>
      </c>
      <c r="S4462" s="9">
        <f t="shared" si="349"/>
        <v>0.05</v>
      </c>
    </row>
    <row r="4463" spans="1:19" x14ac:dyDescent="0.3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e">
        <f>VLOOKUP('Customer Info'!B4455,'Customer Info'!B4455:B4954,1,0)</f>
        <v>#N/A</v>
      </c>
      <c r="H4463" s="6" t="e">
        <f>VLOOKUP('Customer Info'!C4455,'Customer Info'!C4455:C4954,1)</f>
        <v>#N/A</v>
      </c>
      <c r="I4463" s="6" t="e">
        <f>VLOOKUP('Customer Info'!E4455,'Customer Info'!E4455:E4954,1,0)</f>
        <v>#N/A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981</v>
      </c>
      <c r="R4463" s="2" t="s">
        <v>50</v>
      </c>
      <c r="S4463" s="9">
        <f t="shared" si="349"/>
        <v>7.0000000000000007E-2</v>
      </c>
    </row>
    <row r="4464" spans="1:19" x14ac:dyDescent="0.3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e">
        <f>VLOOKUP('Customer Info'!B4456,'Customer Info'!B4456:B4955,1,0)</f>
        <v>#N/A</v>
      </c>
      <c r="H4464" s="6" t="e">
        <f>VLOOKUP('Customer Info'!C4456,'Customer Info'!C4456:C4955,1)</f>
        <v>#N/A</v>
      </c>
      <c r="I4464" s="6" t="e">
        <f>VLOOKUP('Customer Info'!E4456,'Customer Info'!E4456:E4955,1,0)</f>
        <v>#N/A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273</v>
      </c>
      <c r="R4464" s="2" t="s">
        <v>56</v>
      </c>
      <c r="S4464" s="9">
        <f t="shared" si="349"/>
        <v>0.02</v>
      </c>
    </row>
    <row r="4465" spans="1:19" x14ac:dyDescent="0.3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e">
        <f>VLOOKUP('Customer Info'!B4457,'Customer Info'!B4457:B4956,1,0)</f>
        <v>#N/A</v>
      </c>
      <c r="H4465" s="6" t="e">
        <f>VLOOKUP('Customer Info'!C4457,'Customer Info'!C4457:C4956,1)</f>
        <v>#N/A</v>
      </c>
      <c r="I4465" s="6" t="e">
        <f>VLOOKUP('Customer Info'!E4457,'Customer Info'!E4457:E4956,1,0)</f>
        <v>#N/A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10</v>
      </c>
      <c r="R4465" s="2" t="s">
        <v>28</v>
      </c>
      <c r="S4465" s="9">
        <f t="shared" si="349"/>
        <v>0.02</v>
      </c>
    </row>
    <row r="4466" spans="1:19" x14ac:dyDescent="0.3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e">
        <f>VLOOKUP('Customer Info'!B4458,'Customer Info'!B4458:B4957,1,0)</f>
        <v>#N/A</v>
      </c>
      <c r="H4466" s="6" t="e">
        <f>VLOOKUP('Customer Info'!C4458,'Customer Info'!C4458:C4957,1)</f>
        <v>#N/A</v>
      </c>
      <c r="I4466" s="6" t="e">
        <f>VLOOKUP('Customer Info'!E4458,'Customer Info'!E4458:E4957,1,0)</f>
        <v>#N/A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540</v>
      </c>
      <c r="R4466" s="2" t="s">
        <v>28</v>
      </c>
      <c r="S4466" s="9">
        <f t="shared" si="349"/>
        <v>0.05</v>
      </c>
    </row>
    <row r="4467" spans="1:19" x14ac:dyDescent="0.3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e">
        <f>VLOOKUP('Customer Info'!B4459,'Customer Info'!B4459:B4958,1,0)</f>
        <v>#N/A</v>
      </c>
      <c r="H4467" s="6" t="e">
        <f>VLOOKUP('Customer Info'!C4459,'Customer Info'!C4459:C4958,1)</f>
        <v>#N/A</v>
      </c>
      <c r="I4467" s="6" t="e">
        <f>VLOOKUP('Customer Info'!E4459,'Customer Info'!E4459:E4958,1,0)</f>
        <v>#N/A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724</v>
      </c>
      <c r="R4467" s="2" t="s">
        <v>56</v>
      </c>
      <c r="S4467" s="9">
        <f t="shared" si="349"/>
        <v>7.0000000000000007E-2</v>
      </c>
    </row>
    <row r="4468" spans="1:19" x14ac:dyDescent="0.3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e">
        <f>VLOOKUP('Customer Info'!B4460,'Customer Info'!B4460:B4959,1,0)</f>
        <v>#N/A</v>
      </c>
      <c r="H4468" s="6" t="e">
        <f>VLOOKUP('Customer Info'!C4460,'Customer Info'!C4460:C4959,1)</f>
        <v>#N/A</v>
      </c>
      <c r="I4468" s="6" t="e">
        <f>VLOOKUP('Customer Info'!E4460,'Customer Info'!E4460:E4959,1,0)</f>
        <v>#N/A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88</v>
      </c>
      <c r="R4468" s="2" t="s">
        <v>50</v>
      </c>
      <c r="S4468" s="9">
        <f t="shared" si="349"/>
        <v>0.02</v>
      </c>
    </row>
    <row r="4469" spans="1:19" x14ac:dyDescent="0.3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e">
        <f>VLOOKUP('Customer Info'!B4461,'Customer Info'!B4461:B4960,1,0)</f>
        <v>#N/A</v>
      </c>
      <c r="H4469" s="6" t="e">
        <f>VLOOKUP('Customer Info'!C4461,'Customer Info'!C4461:C4960,1)</f>
        <v>#N/A</v>
      </c>
      <c r="I4469" s="6" t="e">
        <f>VLOOKUP('Customer Info'!E4461,'Customer Info'!E4461:E4960,1,0)</f>
        <v>#N/A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1592</v>
      </c>
      <c r="R4469" s="2" t="s">
        <v>28</v>
      </c>
      <c r="S4469" s="9">
        <f t="shared" si="349"/>
        <v>7.0000000000000007E-2</v>
      </c>
    </row>
    <row r="4470" spans="1:19" x14ac:dyDescent="0.3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e">
        <f>VLOOKUP('Customer Info'!B4462,'Customer Info'!B4462:B4961,1,0)</f>
        <v>#N/A</v>
      </c>
      <c r="H4470" s="6" t="e">
        <f>VLOOKUP('Customer Info'!C4462,'Customer Info'!C4462:C4961,1)</f>
        <v>#N/A</v>
      </c>
      <c r="I4470" s="6" t="e">
        <f>VLOOKUP('Customer Info'!E4462,'Customer Info'!E4462:E4961,1,0)</f>
        <v>#N/A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243</v>
      </c>
      <c r="R4470" s="2" t="s">
        <v>28</v>
      </c>
      <c r="S4470" s="9">
        <f t="shared" si="349"/>
        <v>0.02</v>
      </c>
    </row>
    <row r="4471" spans="1:19" x14ac:dyDescent="0.3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e">
        <f>VLOOKUP('Customer Info'!B4463,'Customer Info'!B4463:B4962,1,0)</f>
        <v>#N/A</v>
      </c>
      <c r="H4471" s="6" t="e">
        <f>VLOOKUP('Customer Info'!C4463,'Customer Info'!C4463:C4962,1)</f>
        <v>#N/A</v>
      </c>
      <c r="I4471" s="6" t="e">
        <f>VLOOKUP('Customer Info'!E4463,'Customer Info'!E4463:E4962,1,0)</f>
        <v>#N/A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2400</v>
      </c>
      <c r="R4471" s="2" t="s">
        <v>28</v>
      </c>
      <c r="S4471" s="9">
        <f t="shared" si="349"/>
        <v>7.0000000000000007E-2</v>
      </c>
    </row>
    <row r="4472" spans="1:19" x14ac:dyDescent="0.3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e">
        <f>VLOOKUP('Customer Info'!B4464,'Customer Info'!B4464:B4963,1,0)</f>
        <v>#N/A</v>
      </c>
      <c r="H4472" s="6" t="e">
        <f>VLOOKUP('Customer Info'!C4464,'Customer Info'!C4464:C4963,1)</f>
        <v>#N/A</v>
      </c>
      <c r="I4472" s="6" t="e">
        <f>VLOOKUP('Customer Info'!E4464,'Customer Info'!E4464:E4963,1,0)</f>
        <v>#N/A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570</v>
      </c>
      <c r="R4472" s="2" t="s">
        <v>28</v>
      </c>
      <c r="S4472" s="9">
        <f t="shared" si="349"/>
        <v>0.05</v>
      </c>
    </row>
    <row r="4473" spans="1:19" x14ac:dyDescent="0.3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e">
        <f>VLOOKUP('Customer Info'!B4465,'Customer Info'!B4465:B4964,1,0)</f>
        <v>#N/A</v>
      </c>
      <c r="H4473" s="6" t="e">
        <f>VLOOKUP('Customer Info'!C4465,'Customer Info'!C4465:C4964,1)</f>
        <v>#N/A</v>
      </c>
      <c r="I4473" s="6" t="e">
        <f>VLOOKUP('Customer Info'!E4465,'Customer Info'!E4465:E4964,1,0)</f>
        <v>#N/A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88</v>
      </c>
      <c r="R4473" s="2" t="s">
        <v>28</v>
      </c>
      <c r="S4473" s="9">
        <f t="shared" si="349"/>
        <v>0.02</v>
      </c>
    </row>
    <row r="4474" spans="1:19" x14ac:dyDescent="0.3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e">
        <f>VLOOKUP('Customer Info'!B4466,'Customer Info'!B4466:B4965,1,0)</f>
        <v>#N/A</v>
      </c>
      <c r="H4474" s="6" t="e">
        <f>VLOOKUP('Customer Info'!C4466,'Customer Info'!C4466:C4965,1)</f>
        <v>#N/A</v>
      </c>
      <c r="I4474" s="6" t="e">
        <f>VLOOKUP('Customer Info'!E4466,'Customer Info'!E4466:E4965,1,0)</f>
        <v>#N/A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208</v>
      </c>
      <c r="R4474" s="2" t="s">
        <v>28</v>
      </c>
      <c r="S4474" s="9">
        <f t="shared" si="349"/>
        <v>0.02</v>
      </c>
    </row>
    <row r="4475" spans="1:19" x14ac:dyDescent="0.3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e">
        <f>VLOOKUP('Customer Info'!B4467,'Customer Info'!B4467:B4966,1,0)</f>
        <v>#N/A</v>
      </c>
      <c r="H4475" s="6" t="e">
        <f>VLOOKUP('Customer Info'!C4467,'Customer Info'!C4467:C4966,1)</f>
        <v>#N/A</v>
      </c>
      <c r="I4475" s="6" t="e">
        <f>VLOOKUP('Customer Info'!E4467,'Customer Info'!E4467:E4966,1,0)</f>
        <v>#N/A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252</v>
      </c>
      <c r="R4475" s="2" t="s">
        <v>28</v>
      </c>
      <c r="S4475" s="9">
        <f t="shared" si="349"/>
        <v>0.02</v>
      </c>
    </row>
    <row r="4476" spans="1:19" x14ac:dyDescent="0.3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e">
        <f>VLOOKUP('Customer Info'!B4468,'Customer Info'!B4468:B4967,1,0)</f>
        <v>#N/A</v>
      </c>
      <c r="H4476" s="6" t="e">
        <f>VLOOKUP('Customer Info'!C4468,'Customer Info'!C4468:C4967,1)</f>
        <v>#N/A</v>
      </c>
      <c r="I4476" s="6" t="e">
        <f>VLOOKUP('Customer Info'!E4468,'Customer Info'!E4468:E4967,1,0)</f>
        <v>#N/A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35</v>
      </c>
      <c r="R4476" s="2" t="s">
        <v>28</v>
      </c>
      <c r="S4476" s="9">
        <f t="shared" si="349"/>
        <v>0.02</v>
      </c>
    </row>
    <row r="4477" spans="1:19" x14ac:dyDescent="0.3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e">
        <f>VLOOKUP('Customer Info'!B4469,'Customer Info'!B4469:B4968,1,0)</f>
        <v>#N/A</v>
      </c>
      <c r="H4477" s="6" t="e">
        <f>VLOOKUP('Customer Info'!C4469,'Customer Info'!C4469:C4968,1)</f>
        <v>#N/A</v>
      </c>
      <c r="I4477" s="6" t="e">
        <f>VLOOKUP('Customer Info'!E4469,'Customer Info'!E4469:E4968,1,0)</f>
        <v>#N/A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14</v>
      </c>
      <c r="R4477" s="2" t="s">
        <v>28</v>
      </c>
      <c r="S4477" s="9">
        <f t="shared" si="349"/>
        <v>0.02</v>
      </c>
    </row>
    <row r="4478" spans="1:19" x14ac:dyDescent="0.3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e">
        <f>VLOOKUP('Customer Info'!B4470,'Customer Info'!B4470:B4969,1,0)</f>
        <v>#N/A</v>
      </c>
      <c r="H4478" s="6" t="e">
        <f>VLOOKUP('Customer Info'!C4470,'Customer Info'!C4470:C4969,1)</f>
        <v>#N/A</v>
      </c>
      <c r="I4478" s="6" t="e">
        <f>VLOOKUP('Customer Info'!E4470,'Customer Info'!E4470:E4969,1,0)</f>
        <v>#N/A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3804</v>
      </c>
      <c r="R4478" s="2" t="s">
        <v>28</v>
      </c>
      <c r="S4478" s="9">
        <f t="shared" si="349"/>
        <v>7.0000000000000007E-2</v>
      </c>
    </row>
    <row r="4479" spans="1:19" x14ac:dyDescent="0.3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e">
        <f>VLOOKUP('Customer Info'!B4471,'Customer Info'!B4471:B4970,1,0)</f>
        <v>#N/A</v>
      </c>
      <c r="H4479" s="6" t="e">
        <f>VLOOKUP('Customer Info'!C4471,'Customer Info'!C4471:C4970,1)</f>
        <v>#N/A</v>
      </c>
      <c r="I4479" s="6" t="e">
        <f>VLOOKUP('Customer Info'!E4471,'Customer Info'!E4471:E4970,1,0)</f>
        <v>#N/A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543</v>
      </c>
      <c r="R4479" s="2" t="s">
        <v>28</v>
      </c>
      <c r="S4479" s="9">
        <f t="shared" si="349"/>
        <v>0.05</v>
      </c>
    </row>
    <row r="4480" spans="1:19" x14ac:dyDescent="0.3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e">
        <f>VLOOKUP('Customer Info'!B4472,'Customer Info'!B4472:B4971,1,0)</f>
        <v>#N/A</v>
      </c>
      <c r="H4480" s="6" t="e">
        <f>VLOOKUP('Customer Info'!C4472,'Customer Info'!C4472:C4971,1)</f>
        <v>#N/A</v>
      </c>
      <c r="I4480" s="6" t="e">
        <f>VLOOKUP('Customer Info'!E4472,'Customer Info'!E4472:E4971,1,0)</f>
        <v>#N/A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315</v>
      </c>
      <c r="R4480" s="2" t="s">
        <v>50</v>
      </c>
      <c r="S4480" s="9">
        <f t="shared" si="349"/>
        <v>0.02</v>
      </c>
    </row>
    <row r="4481" spans="1:19" x14ac:dyDescent="0.3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e">
        <f>VLOOKUP('Customer Info'!B4473,'Customer Info'!B4473:B4972,1,0)</f>
        <v>#N/A</v>
      </c>
      <c r="H4481" s="6" t="e">
        <f>VLOOKUP('Customer Info'!C4473,'Customer Info'!C4473:C4972,1)</f>
        <v>#N/A</v>
      </c>
      <c r="I4481" s="6" t="e">
        <f>VLOOKUP('Customer Info'!E4473,'Customer Info'!E4473:E4972,1,0)</f>
        <v>#N/A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494</v>
      </c>
      <c r="R4481" s="2" t="s">
        <v>28</v>
      </c>
      <c r="S4481" s="9">
        <f t="shared" si="349"/>
        <v>0.05</v>
      </c>
    </row>
    <row r="4482" spans="1:19" x14ac:dyDescent="0.3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e">
        <f>VLOOKUP('Customer Info'!B4474,'Customer Info'!B4474:B4973,1,0)</f>
        <v>#N/A</v>
      </c>
      <c r="H4482" s="6" t="e">
        <f>VLOOKUP('Customer Info'!C4474,'Customer Info'!C4474:C4973,1)</f>
        <v>#N/A</v>
      </c>
      <c r="I4482" s="6" t="e">
        <f>VLOOKUP('Customer Info'!E4474,'Customer Info'!E4474:E4973,1,0)</f>
        <v>#N/A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1200</v>
      </c>
      <c r="R4482" s="2" t="s">
        <v>50</v>
      </c>
      <c r="S4482" s="9">
        <f t="shared" si="349"/>
        <v>0.05</v>
      </c>
    </row>
    <row r="4483" spans="1:19" x14ac:dyDescent="0.3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e">
        <f>VLOOKUP('Customer Info'!B4475,'Customer Info'!B4475:B4974,1,0)</f>
        <v>#N/A</v>
      </c>
      <c r="H4483" s="6" t="e">
        <f>VLOOKUP('Customer Info'!C4475,'Customer Info'!C4475:C4974,1)</f>
        <v>#N/A</v>
      </c>
      <c r="I4483" s="6" t="e">
        <f>VLOOKUP('Customer Info'!E4475,'Customer Info'!E4475:E4974,1,0)</f>
        <v>#N/A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429</v>
      </c>
      <c r="R4483" s="2" t="s">
        <v>26</v>
      </c>
      <c r="S4483" s="9">
        <f t="shared" si="349"/>
        <v>0.05</v>
      </c>
    </row>
    <row r="4484" spans="1:19" x14ac:dyDescent="0.3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e">
        <f>VLOOKUP('Customer Info'!B4476,'Customer Info'!B4476:B4975,1,0)</f>
        <v>#N/A</v>
      </c>
      <c r="H4484" s="6" t="e">
        <f>VLOOKUP('Customer Info'!C4476,'Customer Info'!C4476:C4975,1)</f>
        <v>#N/A</v>
      </c>
      <c r="I4484" s="6" t="e">
        <f>VLOOKUP('Customer Info'!E4476,'Customer Info'!E4476:E4975,1,0)</f>
        <v>#N/A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268</v>
      </c>
      <c r="R4484" s="2" t="s">
        <v>50</v>
      </c>
      <c r="S4484" s="9">
        <f t="shared" si="349"/>
        <v>0.02</v>
      </c>
    </row>
    <row r="4485" spans="1:19" x14ac:dyDescent="0.3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e">
        <f>VLOOKUP('Customer Info'!B4477,'Customer Info'!B4477:B4976,1,0)</f>
        <v>#N/A</v>
      </c>
      <c r="H4485" s="6" t="e">
        <f>VLOOKUP('Customer Info'!C4477,'Customer Info'!C4477:C4976,1)</f>
        <v>#N/A</v>
      </c>
      <c r="I4485" s="6" t="e">
        <f>VLOOKUP('Customer Info'!E4477,'Customer Info'!E4477:E4976,1,0)</f>
        <v>#N/A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651</v>
      </c>
      <c r="R4485" s="2" t="s">
        <v>28</v>
      </c>
      <c r="S4485" s="9">
        <f t="shared" si="349"/>
        <v>0.05</v>
      </c>
    </row>
    <row r="4486" spans="1:19" x14ac:dyDescent="0.3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e">
        <f>VLOOKUP('Customer Info'!B4478,'Customer Info'!B4478:B4977,1,0)</f>
        <v>#N/A</v>
      </c>
      <c r="H4486" s="6" t="e">
        <f>VLOOKUP('Customer Info'!C4478,'Customer Info'!C4478:C4977,1)</f>
        <v>#N/A</v>
      </c>
      <c r="I4486" s="6" t="e">
        <f>VLOOKUP('Customer Info'!E4478,'Customer Info'!E4478:E4977,1,0)</f>
        <v>#N/A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50</v>
      </c>
      <c r="R4486" s="2" t="s">
        <v>28</v>
      </c>
      <c r="S4486" s="9">
        <f t="shared" si="349"/>
        <v>0.02</v>
      </c>
    </row>
    <row r="4487" spans="1:19" x14ac:dyDescent="0.3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e">
        <f>VLOOKUP('Customer Info'!B4479,'Customer Info'!B4479:B4978,1,0)</f>
        <v>#N/A</v>
      </c>
      <c r="H4487" s="6" t="e">
        <f>VLOOKUP('Customer Info'!C4479,'Customer Info'!C4479:C4978,1)</f>
        <v>#N/A</v>
      </c>
      <c r="I4487" s="6" t="e">
        <f>VLOOKUP('Customer Info'!E4479,'Customer Info'!E4479:E4978,1,0)</f>
        <v>#N/A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45</v>
      </c>
      <c r="R4487" s="2" t="s">
        <v>50</v>
      </c>
      <c r="S4487" s="9">
        <f t="shared" si="349"/>
        <v>0.02</v>
      </c>
    </row>
    <row r="4488" spans="1:19" x14ac:dyDescent="0.3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e">
        <f>VLOOKUP('Customer Info'!B4480,'Customer Info'!B4480:B4979,1,0)</f>
        <v>#N/A</v>
      </c>
      <c r="H4488" s="6" t="e">
        <f>VLOOKUP('Customer Info'!C4480,'Customer Info'!C4480:C4979,1)</f>
        <v>#N/A</v>
      </c>
      <c r="I4488" s="6" t="e">
        <f>VLOOKUP('Customer Info'!E4480,'Customer Info'!E4480:E4979,1,0)</f>
        <v>#N/A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1572</v>
      </c>
      <c r="R4488" s="2" t="s">
        <v>50</v>
      </c>
      <c r="S4488" s="9">
        <f t="shared" si="349"/>
        <v>0.05</v>
      </c>
    </row>
    <row r="4489" spans="1:19" x14ac:dyDescent="0.3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e">
        <f>VLOOKUP('Customer Info'!B4481,'Customer Info'!B4481:B4980,1,0)</f>
        <v>#N/A</v>
      </c>
      <c r="H4489" s="6" t="e">
        <f>VLOOKUP('Customer Info'!C4481,'Customer Info'!C4481:C4980,1)</f>
        <v>#N/A</v>
      </c>
      <c r="I4489" s="6" t="e">
        <f>VLOOKUP('Customer Info'!E4481,'Customer Info'!E4481:E4980,1,0)</f>
        <v>#N/A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2145</v>
      </c>
      <c r="R4489" s="2" t="s">
        <v>28</v>
      </c>
      <c r="S4489" s="9">
        <f t="shared" si="349"/>
        <v>7.0000000000000007E-2</v>
      </c>
    </row>
    <row r="4490" spans="1:19" x14ac:dyDescent="0.3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e">
        <f>VLOOKUP('Customer Info'!B4482,'Customer Info'!B4482:B4981,1,0)</f>
        <v>#N/A</v>
      </c>
      <c r="H4490" s="6" t="e">
        <f>VLOOKUP('Customer Info'!C4482,'Customer Info'!C4482:C4981,1)</f>
        <v>#N/A</v>
      </c>
      <c r="I4490" s="6" t="e">
        <f>VLOOKUP('Customer Info'!E4482,'Customer Info'!E4482:E4981,1,0)</f>
        <v>#N/A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20</v>
      </c>
      <c r="R4490" s="2" t="s">
        <v>50</v>
      </c>
      <c r="S4490" s="9">
        <f t="shared" si="349"/>
        <v>0.02</v>
      </c>
    </row>
    <row r="4491" spans="1:19" x14ac:dyDescent="0.3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e">
        <f>VLOOKUP('Customer Info'!B4483,'Customer Info'!B4483:B4982,1,0)</f>
        <v>#N/A</v>
      </c>
      <c r="H4491" s="6" t="e">
        <f>VLOOKUP('Customer Info'!C4483,'Customer Info'!C4483:C4982,1)</f>
        <v>#N/A</v>
      </c>
      <c r="I4491" s="6" t="e">
        <f>VLOOKUP('Customer Info'!E4483,'Customer Info'!E4483:E4982,1,0)</f>
        <v>#N/A</v>
      </c>
      <c r="J4491" s="2">
        <v>1039</v>
      </c>
      <c r="K4491" s="2">
        <v>954</v>
      </c>
      <c r="L4491" s="2">
        <v>5</v>
      </c>
      <c r="M4491" s="7">
        <f t="shared" ref="M4491:M4554" si="350">(K4491*L4491)</f>
        <v>4770</v>
      </c>
      <c r="N4491" s="7">
        <f t="shared" ref="N4491:N4554" si="351">(J4491*L4491)</f>
        <v>5195</v>
      </c>
      <c r="O4491" s="2">
        <v>90</v>
      </c>
      <c r="P4491" s="8">
        <f t="shared" ref="P4491:P4554" si="352">(N4491+O4491)</f>
        <v>5285</v>
      </c>
      <c r="Q4491" s="8">
        <f t="shared" ref="Q4491:Q4554" si="353">(N4491-M4491)</f>
        <v>425</v>
      </c>
      <c r="R4491" s="2" t="s">
        <v>28</v>
      </c>
      <c r="S4491" s="9">
        <f t="shared" ref="S4491:S4554" si="354">_xlfn.IFS(P4491&gt;250000,0.15,P4491&gt;100000,0.12,P4491&gt;50000,0.09,P4491&gt;25000,0.07,P4491&gt;5000,0.05,
 TRUE,0.02)</f>
        <v>0.05</v>
      </c>
    </row>
    <row r="4492" spans="1:19" x14ac:dyDescent="0.3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e">
        <f>VLOOKUP('Customer Info'!B4484,'Customer Info'!B4484:B4983,1,0)</f>
        <v>#N/A</v>
      </c>
      <c r="H4492" s="6" t="e">
        <f>VLOOKUP('Customer Info'!C4484,'Customer Info'!C4484:C4983,1)</f>
        <v>#N/A</v>
      </c>
      <c r="I4492" s="6" t="e">
        <f>VLOOKUP('Customer Info'!E4484,'Customer Info'!E4484:E4983,1,0)</f>
        <v>#N/A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12</v>
      </c>
      <c r="R4492" s="2" t="s">
        <v>26</v>
      </c>
      <c r="S4492" s="9">
        <f t="shared" si="354"/>
        <v>0.02</v>
      </c>
    </row>
    <row r="4493" spans="1:19" x14ac:dyDescent="0.3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e">
        <f>VLOOKUP('Customer Info'!B4485,'Customer Info'!B4485:B4984,1,0)</f>
        <v>#N/A</v>
      </c>
      <c r="H4493" s="6" t="e">
        <f>VLOOKUP('Customer Info'!C4485,'Customer Info'!C4485:C4984,1)</f>
        <v>#N/A</v>
      </c>
      <c r="I4493" s="6" t="e">
        <f>VLOOKUP('Customer Info'!E4485,'Customer Info'!E4485:E4984,1,0)</f>
        <v>#N/A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662</v>
      </c>
      <c r="R4493" s="2" t="s">
        <v>28</v>
      </c>
      <c r="S4493" s="9">
        <f t="shared" si="354"/>
        <v>0.05</v>
      </c>
    </row>
    <row r="4494" spans="1:19" x14ac:dyDescent="0.3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e">
        <f>VLOOKUP('Customer Info'!B4486,'Customer Info'!B4486:B4985,1,0)</f>
        <v>#N/A</v>
      </c>
      <c r="H4494" s="6" t="e">
        <f>VLOOKUP('Customer Info'!C4486,'Customer Info'!C4486:C4985,1)</f>
        <v>#N/A</v>
      </c>
      <c r="I4494" s="6" t="e">
        <f>VLOOKUP('Customer Info'!E4486,'Customer Info'!E4486:E4985,1,0)</f>
        <v>#N/A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90</v>
      </c>
      <c r="R4494" s="2" t="s">
        <v>28</v>
      </c>
      <c r="S4494" s="9">
        <f t="shared" si="354"/>
        <v>0.02</v>
      </c>
    </row>
    <row r="4495" spans="1:19" x14ac:dyDescent="0.3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e">
        <f>VLOOKUP('Customer Info'!B4487,'Customer Info'!B4487:B4986,1,0)</f>
        <v>#N/A</v>
      </c>
      <c r="H4495" s="6" t="e">
        <f>VLOOKUP('Customer Info'!C4487,'Customer Info'!C4487:C4986,1)</f>
        <v>#N/A</v>
      </c>
      <c r="I4495" s="6" t="e">
        <f>VLOOKUP('Customer Info'!E4487,'Customer Info'!E4487:E4986,1,0)</f>
        <v>#N/A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6939</v>
      </c>
      <c r="R4495" s="2" t="s">
        <v>28</v>
      </c>
      <c r="S4495" s="9">
        <f t="shared" si="354"/>
        <v>0.12</v>
      </c>
    </row>
    <row r="4496" spans="1:19" x14ac:dyDescent="0.3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e">
        <f>VLOOKUP('Customer Info'!B4488,'Customer Info'!B4488:B4987,1,0)</f>
        <v>#N/A</v>
      </c>
      <c r="H4496" s="6" t="e">
        <f>VLOOKUP('Customer Info'!C4488,'Customer Info'!C4488:C4987,1)</f>
        <v>#N/A</v>
      </c>
      <c r="I4496" s="6" t="e">
        <f>VLOOKUP('Customer Info'!E4488,'Customer Info'!E4488:E4987,1,0)</f>
        <v>#N/A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276</v>
      </c>
      <c r="R4496" s="2" t="s">
        <v>50</v>
      </c>
      <c r="S4496" s="9">
        <f t="shared" si="354"/>
        <v>0.02</v>
      </c>
    </row>
    <row r="4497" spans="1:19" x14ac:dyDescent="0.3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e">
        <f>VLOOKUP('Customer Info'!B4489,'Customer Info'!B4489:B4988,1,0)</f>
        <v>#N/A</v>
      </c>
      <c r="H4497" s="6" t="e">
        <f>VLOOKUP('Customer Info'!C4489,'Customer Info'!C4489:C4988,1)</f>
        <v>#N/A</v>
      </c>
      <c r="I4497" s="6" t="e">
        <f>VLOOKUP('Customer Info'!E4489,'Customer Info'!E4489:E4988,1,0)</f>
        <v>#N/A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3164</v>
      </c>
      <c r="R4497" s="2" t="s">
        <v>28</v>
      </c>
      <c r="S4497" s="9">
        <f t="shared" si="354"/>
        <v>7.0000000000000007E-2</v>
      </c>
    </row>
    <row r="4498" spans="1:19" x14ac:dyDescent="0.3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e">
        <f>VLOOKUP('Customer Info'!B4490,'Customer Info'!B4490:B4989,1,0)</f>
        <v>#N/A</v>
      </c>
      <c r="H4498" s="6" t="e">
        <f>VLOOKUP('Customer Info'!C4490,'Customer Info'!C4490:C4989,1)</f>
        <v>#N/A</v>
      </c>
      <c r="I4498" s="6" t="e">
        <f>VLOOKUP('Customer Info'!E4490,'Customer Info'!E4490:E4989,1,0)</f>
        <v>#N/A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16</v>
      </c>
      <c r="R4498" s="2" t="s">
        <v>28</v>
      </c>
      <c r="S4498" s="9">
        <f t="shared" si="354"/>
        <v>0.02</v>
      </c>
    </row>
    <row r="4499" spans="1:19" x14ac:dyDescent="0.3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e">
        <f>VLOOKUP('Customer Info'!B4491,'Customer Info'!B4491:B4990,1,0)</f>
        <v>#N/A</v>
      </c>
      <c r="H4499" s="6" t="e">
        <f>VLOOKUP('Customer Info'!C4491,'Customer Info'!C4491:C4990,1)</f>
        <v>#N/A</v>
      </c>
      <c r="I4499" s="6" t="e">
        <f>VLOOKUP('Customer Info'!E4491,'Customer Info'!E4491:E4990,1,0)</f>
        <v>#N/A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62</v>
      </c>
      <c r="R4499" s="2" t="s">
        <v>28</v>
      </c>
      <c r="S4499" s="9">
        <f t="shared" si="354"/>
        <v>0.02</v>
      </c>
    </row>
    <row r="4500" spans="1:19" x14ac:dyDescent="0.3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e">
        <f>VLOOKUP('Customer Info'!B4492,'Customer Info'!B4492:B4991,1,0)</f>
        <v>#N/A</v>
      </c>
      <c r="H4500" s="6" t="e">
        <f>VLOOKUP('Customer Info'!C4492,'Customer Info'!C4492:C4991,1)</f>
        <v>#N/A</v>
      </c>
      <c r="I4500" s="6" t="e">
        <f>VLOOKUP('Customer Info'!E4492,'Customer Info'!E4492:E4991,1,0)</f>
        <v>#N/A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14796</v>
      </c>
      <c r="R4500" s="2" t="s">
        <v>50</v>
      </c>
      <c r="S4500" s="9">
        <f t="shared" si="354"/>
        <v>0.12</v>
      </c>
    </row>
    <row r="4501" spans="1:19" x14ac:dyDescent="0.3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e">
        <f>VLOOKUP('Customer Info'!B4493,'Customer Info'!B4493:B4992,1,0)</f>
        <v>#N/A</v>
      </c>
      <c r="H4501" s="6" t="e">
        <f>VLOOKUP('Customer Info'!C4493,'Customer Info'!C4493:C4992,1)</f>
        <v>#N/A</v>
      </c>
      <c r="I4501" s="6" t="e">
        <f>VLOOKUP('Customer Info'!E4493,'Customer Info'!E4493:E4992,1,0)</f>
        <v>#N/A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4240</v>
      </c>
      <c r="R4501" s="2" t="s">
        <v>50</v>
      </c>
      <c r="S4501" s="9">
        <f t="shared" si="354"/>
        <v>7.0000000000000007E-2</v>
      </c>
    </row>
    <row r="4502" spans="1:19" x14ac:dyDescent="0.3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e">
        <f>VLOOKUP('Customer Info'!B4494,'Customer Info'!B4494:B4993,1,0)</f>
        <v>#N/A</v>
      </c>
      <c r="H4502" s="6" t="e">
        <f>VLOOKUP('Customer Info'!C4494,'Customer Info'!C4494:C4993,1)</f>
        <v>#N/A</v>
      </c>
      <c r="I4502" s="6" t="e">
        <f>VLOOKUP('Customer Info'!E4494,'Customer Info'!E4494:E4993,1,0)</f>
        <v>#N/A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192</v>
      </c>
      <c r="R4502" s="2" t="s">
        <v>56</v>
      </c>
      <c r="S4502" s="9">
        <f t="shared" si="354"/>
        <v>0.02</v>
      </c>
    </row>
    <row r="4503" spans="1:19" x14ac:dyDescent="0.3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e">
        <f>VLOOKUP('Customer Info'!B4495,'Customer Info'!B4495:B4994,1,0)</f>
        <v>#N/A</v>
      </c>
      <c r="H4503" s="6" t="e">
        <f>VLOOKUP('Customer Info'!C4495,'Customer Info'!C4495:C4994,1)</f>
        <v>#N/A</v>
      </c>
      <c r="I4503" s="6" t="e">
        <f>VLOOKUP('Customer Info'!E4495,'Customer Info'!E4495:E4994,1,0)</f>
        <v>#N/A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426</v>
      </c>
      <c r="R4503" s="2" t="s">
        <v>50</v>
      </c>
      <c r="S4503" s="9">
        <f t="shared" si="354"/>
        <v>0.05</v>
      </c>
    </row>
    <row r="4504" spans="1:19" x14ac:dyDescent="0.3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e">
        <f>VLOOKUP('Customer Info'!B4496,'Customer Info'!B4496:B4995,1,0)</f>
        <v>#N/A</v>
      </c>
      <c r="H4504" s="6" t="e">
        <f>VLOOKUP('Customer Info'!C4496,'Customer Info'!C4496:C4995,1)</f>
        <v>#N/A</v>
      </c>
      <c r="I4504" s="6" t="e">
        <f>VLOOKUP('Customer Info'!E4496,'Customer Info'!E4496:E4995,1,0)</f>
        <v>#N/A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1026</v>
      </c>
      <c r="R4504" s="2" t="s">
        <v>50</v>
      </c>
      <c r="S4504" s="9">
        <f t="shared" si="354"/>
        <v>0.09</v>
      </c>
    </row>
    <row r="4505" spans="1:19" x14ac:dyDescent="0.3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e">
        <f>VLOOKUP('Customer Info'!B4497,'Customer Info'!B4497:B4996,1,0)</f>
        <v>#N/A</v>
      </c>
      <c r="H4505" s="6" t="e">
        <f>VLOOKUP('Customer Info'!C4497,'Customer Info'!C4497:C4996,1)</f>
        <v>#N/A</v>
      </c>
      <c r="I4505" s="6" t="e">
        <f>VLOOKUP('Customer Info'!E4497,'Customer Info'!E4497:E4996,1,0)</f>
        <v>#N/A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540</v>
      </c>
      <c r="R4505" s="2" t="s">
        <v>28</v>
      </c>
      <c r="S4505" s="9">
        <f t="shared" si="354"/>
        <v>0.05</v>
      </c>
    </row>
    <row r="4506" spans="1:19" x14ac:dyDescent="0.3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e">
        <f>VLOOKUP('Customer Info'!B4498,'Customer Info'!B4498:B4997,1,0)</f>
        <v>#N/A</v>
      </c>
      <c r="H4506" s="6" t="e">
        <f>VLOOKUP('Customer Info'!C4498,'Customer Info'!C4498:C4997,1)</f>
        <v>#N/A</v>
      </c>
      <c r="I4506" s="6" t="e">
        <f>VLOOKUP('Customer Info'!E4498,'Customer Info'!E4498:E4997,1,0)</f>
        <v>#N/A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322</v>
      </c>
      <c r="R4506" s="2" t="s">
        <v>50</v>
      </c>
      <c r="S4506" s="9">
        <f t="shared" si="354"/>
        <v>0.02</v>
      </c>
    </row>
    <row r="4507" spans="1:19" x14ac:dyDescent="0.3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e">
        <f>VLOOKUP('Customer Info'!B4499,'Customer Info'!B4499:B4998,1,0)</f>
        <v>#N/A</v>
      </c>
      <c r="H4507" s="6" t="e">
        <f>VLOOKUP('Customer Info'!C4499,'Customer Info'!C4499:C4998,1)</f>
        <v>#N/A</v>
      </c>
      <c r="I4507" s="6" t="e">
        <f>VLOOKUP('Customer Info'!E4499,'Customer Info'!E4499:E4998,1,0)</f>
        <v>#N/A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478</v>
      </c>
      <c r="R4507" s="2" t="s">
        <v>28</v>
      </c>
      <c r="S4507" s="9">
        <f t="shared" si="354"/>
        <v>0.05</v>
      </c>
    </row>
    <row r="4508" spans="1:19" x14ac:dyDescent="0.3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e">
        <f>VLOOKUP('Customer Info'!B4500,'Customer Info'!B4500:B4999,1,0)</f>
        <v>#N/A</v>
      </c>
      <c r="H4508" s="6" t="e">
        <f>VLOOKUP('Customer Info'!C4500,'Customer Info'!C4500:C4999,1)</f>
        <v>#N/A</v>
      </c>
      <c r="I4508" s="6" t="e">
        <f>VLOOKUP('Customer Info'!E4500,'Customer Info'!E4500:E4999,1,0)</f>
        <v>#N/A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39</v>
      </c>
      <c r="R4508" s="2" t="s">
        <v>28</v>
      </c>
      <c r="S4508" s="9">
        <f t="shared" si="354"/>
        <v>0.02</v>
      </c>
    </row>
    <row r="4509" spans="1:19" x14ac:dyDescent="0.3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e">
        <f>VLOOKUP('Customer Info'!B4501,'Customer Info'!B4501:B5000,1,0)</f>
        <v>#N/A</v>
      </c>
      <c r="H4509" s="6" t="e">
        <f>VLOOKUP('Customer Info'!C4501,'Customer Info'!C4501:C5000,1)</f>
        <v>#N/A</v>
      </c>
      <c r="I4509" s="6" t="e">
        <f>VLOOKUP('Customer Info'!E4501,'Customer Info'!E4501:E5000,1,0)</f>
        <v>#N/A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30</v>
      </c>
      <c r="R4509" s="2" t="s">
        <v>28</v>
      </c>
      <c r="S4509" s="9">
        <f t="shared" si="354"/>
        <v>0.02</v>
      </c>
    </row>
    <row r="4510" spans="1:19" x14ac:dyDescent="0.3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e">
        <f>VLOOKUP('Customer Info'!B4502,'Customer Info'!B4502:B5001,1,0)</f>
        <v>#N/A</v>
      </c>
      <c r="H4510" s="6" t="e">
        <f>VLOOKUP('Customer Info'!C4502,'Customer Info'!C4502:C5001,1)</f>
        <v>#N/A</v>
      </c>
      <c r="I4510" s="6" t="e">
        <f>VLOOKUP('Customer Info'!E4502,'Customer Info'!E4502:E5001,1,0)</f>
        <v>#N/A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550</v>
      </c>
      <c r="R4510" s="2" t="s">
        <v>50</v>
      </c>
      <c r="S4510" s="9">
        <f t="shared" si="354"/>
        <v>0.05</v>
      </c>
    </row>
    <row r="4511" spans="1:19" x14ac:dyDescent="0.3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e">
        <f>VLOOKUP('Customer Info'!B4503,'Customer Info'!B4503:B5002,1,0)</f>
        <v>#N/A</v>
      </c>
      <c r="H4511" s="6" t="e">
        <f>VLOOKUP('Customer Info'!C4503,'Customer Info'!C4503:C5002,1)</f>
        <v>#N/A</v>
      </c>
      <c r="I4511" s="6" t="e">
        <f>VLOOKUP('Customer Info'!E4503,'Customer Info'!E4503:E5002,1,0)</f>
        <v>#N/A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33</v>
      </c>
      <c r="R4511" s="2" t="s">
        <v>28</v>
      </c>
      <c r="S4511" s="9">
        <f t="shared" si="354"/>
        <v>0.02</v>
      </c>
    </row>
    <row r="4512" spans="1:19" x14ac:dyDescent="0.3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e">
        <f>VLOOKUP('Customer Info'!B4504,'Customer Info'!B4504:B5003,1,0)</f>
        <v>#N/A</v>
      </c>
      <c r="H4512" s="6" t="e">
        <f>VLOOKUP('Customer Info'!C4504,'Customer Info'!C4504:C5003,1)</f>
        <v>#N/A</v>
      </c>
      <c r="I4512" s="6" t="e">
        <f>VLOOKUP('Customer Info'!E4504,'Customer Info'!E4504:E5003,1,0)</f>
        <v>#N/A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365</v>
      </c>
      <c r="R4512" s="2" t="s">
        <v>28</v>
      </c>
      <c r="S4512" s="9">
        <f t="shared" si="354"/>
        <v>0.05</v>
      </c>
    </row>
    <row r="4513" spans="1:19" x14ac:dyDescent="0.3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e">
        <f>VLOOKUP('Customer Info'!B4505,'Customer Info'!B4505:B5004,1,0)</f>
        <v>#N/A</v>
      </c>
      <c r="H4513" s="6" t="e">
        <f>VLOOKUP('Customer Info'!C4505,'Customer Info'!C4505:C5004,1)</f>
        <v>#N/A</v>
      </c>
      <c r="I4513" s="6" t="e">
        <f>VLOOKUP('Customer Info'!E4505,'Customer Info'!E4505:E5004,1,0)</f>
        <v>#N/A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1986</v>
      </c>
      <c r="R4513" s="2" t="s">
        <v>28</v>
      </c>
      <c r="S4513" s="9">
        <f t="shared" si="354"/>
        <v>7.0000000000000007E-2</v>
      </c>
    </row>
    <row r="4514" spans="1:19" x14ac:dyDescent="0.3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e">
        <f>VLOOKUP('Customer Info'!B4506,'Customer Info'!B4506:B5005,1,0)</f>
        <v>#N/A</v>
      </c>
      <c r="H4514" s="6" t="e">
        <f>VLOOKUP('Customer Info'!C4506,'Customer Info'!C4506:C5005,1)</f>
        <v>#N/A</v>
      </c>
      <c r="I4514" s="6" t="e">
        <f>VLOOKUP('Customer Info'!E4506,'Customer Info'!E4506:E5005,1,0)</f>
        <v>#N/A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960</v>
      </c>
      <c r="R4514" s="2" t="s">
        <v>28</v>
      </c>
      <c r="S4514" s="9">
        <f t="shared" si="354"/>
        <v>0.05</v>
      </c>
    </row>
    <row r="4515" spans="1:19" x14ac:dyDescent="0.3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e">
        <f>VLOOKUP('Customer Info'!B4507,'Customer Info'!B4507:B5006,1,0)</f>
        <v>#N/A</v>
      </c>
      <c r="H4515" s="6" t="e">
        <f>VLOOKUP('Customer Info'!C4507,'Customer Info'!C4507:C5006,1)</f>
        <v>#N/A</v>
      </c>
      <c r="I4515" s="6" t="e">
        <f>VLOOKUP('Customer Info'!E4507,'Customer Info'!E4507:E5006,1,0)</f>
        <v>#N/A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1251</v>
      </c>
      <c r="R4515" s="2" t="s">
        <v>50</v>
      </c>
      <c r="S4515" s="9">
        <f t="shared" si="354"/>
        <v>0.05</v>
      </c>
    </row>
    <row r="4516" spans="1:19" x14ac:dyDescent="0.3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e">
        <f>VLOOKUP('Customer Info'!B4508,'Customer Info'!B4508:B5007,1,0)</f>
        <v>#N/A</v>
      </c>
      <c r="H4516" s="6" t="e">
        <f>VLOOKUP('Customer Info'!C4508,'Customer Info'!C4508:C5007,1)</f>
        <v>#N/A</v>
      </c>
      <c r="I4516" s="6" t="e">
        <f>VLOOKUP('Customer Info'!E4508,'Customer Info'!E4508:E5007,1,0)</f>
        <v>#N/A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430</v>
      </c>
      <c r="R4516" s="2" t="s">
        <v>50</v>
      </c>
      <c r="S4516" s="9">
        <f t="shared" si="354"/>
        <v>0.05</v>
      </c>
    </row>
    <row r="4517" spans="1:19" x14ac:dyDescent="0.3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e">
        <f>VLOOKUP('Customer Info'!B4509,'Customer Info'!B4509:B5008,1,0)</f>
        <v>#N/A</v>
      </c>
      <c r="H4517" s="6" t="e">
        <f>VLOOKUP('Customer Info'!C4509,'Customer Info'!C4509:C5008,1)</f>
        <v>#N/A</v>
      </c>
      <c r="I4517" s="6" t="e">
        <f>VLOOKUP('Customer Info'!E4509,'Customer Info'!E4509:E5008,1,0)</f>
        <v>#N/A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438</v>
      </c>
      <c r="R4517" s="2" t="s">
        <v>50</v>
      </c>
      <c r="S4517" s="9">
        <f t="shared" si="354"/>
        <v>0.05</v>
      </c>
    </row>
    <row r="4518" spans="1:19" x14ac:dyDescent="0.3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e">
        <f>VLOOKUP('Customer Info'!B4510,'Customer Info'!B4510:B5009,1,0)</f>
        <v>#N/A</v>
      </c>
      <c r="H4518" s="6" t="e">
        <f>VLOOKUP('Customer Info'!C4510,'Customer Info'!C4510:C5009,1)</f>
        <v>#N/A</v>
      </c>
      <c r="I4518" s="6" t="e">
        <f>VLOOKUP('Customer Info'!E4510,'Customer Info'!E4510:E5009,1,0)</f>
        <v>#N/A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30</v>
      </c>
      <c r="R4518" s="2" t="s">
        <v>28</v>
      </c>
      <c r="S4518" s="9">
        <f t="shared" si="354"/>
        <v>0.02</v>
      </c>
    </row>
    <row r="4519" spans="1:19" x14ac:dyDescent="0.3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e">
        <f>VLOOKUP('Customer Info'!B4511,'Customer Info'!B4511:B5010,1,0)</f>
        <v>#N/A</v>
      </c>
      <c r="H4519" s="6" t="e">
        <f>VLOOKUP('Customer Info'!C4511,'Customer Info'!C4511:C5010,1)</f>
        <v>#N/A</v>
      </c>
      <c r="I4519" s="6" t="e">
        <f>VLOOKUP('Customer Info'!E4511,'Customer Info'!E4511:E5010,1,0)</f>
        <v>#N/A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416</v>
      </c>
      <c r="R4519" s="2" t="s">
        <v>28</v>
      </c>
      <c r="S4519" s="9">
        <f t="shared" si="354"/>
        <v>0.05</v>
      </c>
    </row>
    <row r="4520" spans="1:19" x14ac:dyDescent="0.3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e">
        <f>VLOOKUP('Customer Info'!B4512,'Customer Info'!B4512:B5011,1,0)</f>
        <v>#N/A</v>
      </c>
      <c r="H4520" s="6" t="e">
        <f>VLOOKUP('Customer Info'!C4512,'Customer Info'!C4512:C5011,1)</f>
        <v>#N/A</v>
      </c>
      <c r="I4520" s="6" t="e">
        <f>VLOOKUP('Customer Info'!E4512,'Customer Info'!E4512:E5011,1,0)</f>
        <v>#N/A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276</v>
      </c>
      <c r="R4520" s="2" t="s">
        <v>56</v>
      </c>
      <c r="S4520" s="9">
        <f t="shared" si="354"/>
        <v>0.05</v>
      </c>
    </row>
    <row r="4521" spans="1:19" x14ac:dyDescent="0.3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e">
        <f>VLOOKUP('Customer Info'!B4513,'Customer Info'!B4513:B5012,1,0)</f>
        <v>#N/A</v>
      </c>
      <c r="H4521" s="6" t="e">
        <f>VLOOKUP('Customer Info'!C4513,'Customer Info'!C4513:C5012,1)</f>
        <v>#N/A</v>
      </c>
      <c r="I4521" s="6" t="e">
        <f>VLOOKUP('Customer Info'!E4513,'Customer Info'!E4513:E5012,1,0)</f>
        <v>#N/A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1821</v>
      </c>
      <c r="R4521" s="2" t="s">
        <v>50</v>
      </c>
      <c r="S4521" s="9">
        <f t="shared" si="354"/>
        <v>0.05</v>
      </c>
    </row>
    <row r="4522" spans="1:19" x14ac:dyDescent="0.3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e">
        <f>VLOOKUP('Customer Info'!B4514,'Customer Info'!B4514:B5013,1,0)</f>
        <v>#N/A</v>
      </c>
      <c r="H4522" s="6" t="e">
        <f>VLOOKUP('Customer Info'!C4514,'Customer Info'!C4514:C5013,1)</f>
        <v>#N/A</v>
      </c>
      <c r="I4522" s="6" t="e">
        <f>VLOOKUP('Customer Info'!E4514,'Customer Info'!E4514:E5013,1,0)</f>
        <v>#N/A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193</v>
      </c>
      <c r="R4522" s="2" t="s">
        <v>28</v>
      </c>
      <c r="S4522" s="9">
        <f t="shared" si="354"/>
        <v>0.02</v>
      </c>
    </row>
    <row r="4523" spans="1:19" x14ac:dyDescent="0.3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e">
        <f>VLOOKUP('Customer Info'!B4515,'Customer Info'!B4515:B5014,1,0)</f>
        <v>#N/A</v>
      </c>
      <c r="H4523" s="6" t="e">
        <f>VLOOKUP('Customer Info'!C4515,'Customer Info'!C4515:C5014,1)</f>
        <v>#N/A</v>
      </c>
      <c r="I4523" s="6" t="e">
        <f>VLOOKUP('Customer Info'!E4515,'Customer Info'!E4515:E5014,1,0)</f>
        <v>#N/A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16</v>
      </c>
      <c r="R4523" s="2" t="s">
        <v>28</v>
      </c>
      <c r="S4523" s="9">
        <f t="shared" si="354"/>
        <v>0.02</v>
      </c>
    </row>
    <row r="4524" spans="1:19" x14ac:dyDescent="0.3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e">
        <f>VLOOKUP('Customer Info'!B4516,'Customer Info'!B4516:B5015,1,0)</f>
        <v>#N/A</v>
      </c>
      <c r="H4524" s="6" t="e">
        <f>VLOOKUP('Customer Info'!C4516,'Customer Info'!C4516:C5015,1)</f>
        <v>#N/A</v>
      </c>
      <c r="I4524" s="6" t="e">
        <f>VLOOKUP('Customer Info'!E4516,'Customer Info'!E4516:E5015,1,0)</f>
        <v>#N/A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700</v>
      </c>
      <c r="R4524" s="2" t="s">
        <v>28</v>
      </c>
      <c r="S4524" s="9">
        <f t="shared" si="354"/>
        <v>0.05</v>
      </c>
    </row>
    <row r="4525" spans="1:19" x14ac:dyDescent="0.3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e">
        <f>VLOOKUP('Customer Info'!B4517,'Customer Info'!B4517:B5016,1,0)</f>
        <v>#N/A</v>
      </c>
      <c r="H4525" s="6" t="e">
        <f>VLOOKUP('Customer Info'!C4517,'Customer Info'!C4517:C5016,1)</f>
        <v>#N/A</v>
      </c>
      <c r="I4525" s="6" t="e">
        <f>VLOOKUP('Customer Info'!E4517,'Customer Info'!E4517:E5016,1,0)</f>
        <v>#N/A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623</v>
      </c>
      <c r="R4525" s="2" t="s">
        <v>28</v>
      </c>
      <c r="S4525" s="9">
        <f t="shared" si="354"/>
        <v>0.05</v>
      </c>
    </row>
    <row r="4526" spans="1:19" x14ac:dyDescent="0.3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e">
        <f>VLOOKUP('Customer Info'!B4518,'Customer Info'!B4518:B5017,1,0)</f>
        <v>#N/A</v>
      </c>
      <c r="H4526" s="6" t="e">
        <f>VLOOKUP('Customer Info'!C4518,'Customer Info'!C4518:C5017,1)</f>
        <v>#N/A</v>
      </c>
      <c r="I4526" s="6" t="e">
        <f>VLOOKUP('Customer Info'!E4518,'Customer Info'!E4518:E5017,1,0)</f>
        <v>#N/A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423</v>
      </c>
      <c r="R4526" s="2" t="s">
        <v>28</v>
      </c>
      <c r="S4526" s="9">
        <f t="shared" si="354"/>
        <v>0.05</v>
      </c>
    </row>
    <row r="4527" spans="1:19" x14ac:dyDescent="0.3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e">
        <f>VLOOKUP('Customer Info'!B4519,'Customer Info'!B4519:B5018,1,0)</f>
        <v>#N/A</v>
      </c>
      <c r="H4527" s="6" t="e">
        <f>VLOOKUP('Customer Info'!C4519,'Customer Info'!C4519:C5018,1)</f>
        <v>#N/A</v>
      </c>
      <c r="I4527" s="6" t="e">
        <f>VLOOKUP('Customer Info'!E4519,'Customer Info'!E4519:E5018,1,0)</f>
        <v>#N/A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602</v>
      </c>
      <c r="R4527" s="2" t="s">
        <v>28</v>
      </c>
      <c r="S4527" s="9">
        <f t="shared" si="354"/>
        <v>0.05</v>
      </c>
    </row>
    <row r="4528" spans="1:19" x14ac:dyDescent="0.3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e">
        <f>VLOOKUP('Customer Info'!B4520,'Customer Info'!B4520:B5019,1,0)</f>
        <v>#N/A</v>
      </c>
      <c r="H4528" s="6" t="e">
        <f>VLOOKUP('Customer Info'!C4520,'Customer Info'!C4520:C5019,1)</f>
        <v>#N/A</v>
      </c>
      <c r="I4528" s="6" t="e">
        <f>VLOOKUP('Customer Info'!E4520,'Customer Info'!E4520:E5019,1,0)</f>
        <v>#N/A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9252</v>
      </c>
      <c r="R4528" s="2" t="s">
        <v>26</v>
      </c>
      <c r="S4528" s="9">
        <f t="shared" si="354"/>
        <v>0.12</v>
      </c>
    </row>
    <row r="4529" spans="1:19" x14ac:dyDescent="0.3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e">
        <f>VLOOKUP('Customer Info'!B4521,'Customer Info'!B4521:B5020,1,0)</f>
        <v>#N/A</v>
      </c>
      <c r="H4529" s="6" t="e">
        <f>VLOOKUP('Customer Info'!C4521,'Customer Info'!C4521:C5020,1)</f>
        <v>#N/A</v>
      </c>
      <c r="I4529" s="6" t="e">
        <f>VLOOKUP('Customer Info'!E4521,'Customer Info'!E4521:E5020,1,0)</f>
        <v>#N/A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696</v>
      </c>
      <c r="R4529" s="2" t="s">
        <v>28</v>
      </c>
      <c r="S4529" s="9">
        <f t="shared" si="354"/>
        <v>0.05</v>
      </c>
    </row>
    <row r="4530" spans="1:19" x14ac:dyDescent="0.3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e">
        <f>VLOOKUP('Customer Info'!B4522,'Customer Info'!B4522:B5021,1,0)</f>
        <v>#N/A</v>
      </c>
      <c r="H4530" s="6" t="e">
        <f>VLOOKUP('Customer Info'!C4522,'Customer Info'!C4522:C5021,1)</f>
        <v>#N/A</v>
      </c>
      <c r="I4530" s="6" t="e">
        <f>VLOOKUP('Customer Info'!E4522,'Customer Info'!E4522:E5021,1,0)</f>
        <v>#N/A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52</v>
      </c>
      <c r="R4530" s="2" t="s">
        <v>50</v>
      </c>
      <c r="S4530" s="9">
        <f t="shared" si="354"/>
        <v>0.02</v>
      </c>
    </row>
    <row r="4531" spans="1:19" x14ac:dyDescent="0.3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e">
        <f>VLOOKUP('Customer Info'!B4523,'Customer Info'!B4523:B5022,1,0)</f>
        <v>#N/A</v>
      </c>
      <c r="H4531" s="6" t="e">
        <f>VLOOKUP('Customer Info'!C4523,'Customer Info'!C4523:C5022,1)</f>
        <v>#N/A</v>
      </c>
      <c r="I4531" s="6" t="e">
        <f>VLOOKUP('Customer Info'!E4523,'Customer Info'!E4523:E5022,1,0)</f>
        <v>#N/A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118</v>
      </c>
      <c r="R4531" s="2" t="s">
        <v>50</v>
      </c>
      <c r="S4531" s="9">
        <f t="shared" si="354"/>
        <v>0.02</v>
      </c>
    </row>
    <row r="4532" spans="1:19" x14ac:dyDescent="0.3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e">
        <f>VLOOKUP('Customer Info'!B4524,'Customer Info'!B4524:B5023,1,0)</f>
        <v>#N/A</v>
      </c>
      <c r="H4532" s="6" t="e">
        <f>VLOOKUP('Customer Info'!C4524,'Customer Info'!C4524:C5023,1)</f>
        <v>#N/A</v>
      </c>
      <c r="I4532" s="6" t="e">
        <f>VLOOKUP('Customer Info'!E4524,'Customer Info'!E4524:E5023,1,0)</f>
        <v>#N/A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124</v>
      </c>
      <c r="R4532" s="2" t="s">
        <v>28</v>
      </c>
      <c r="S4532" s="9">
        <f t="shared" si="354"/>
        <v>0.02</v>
      </c>
    </row>
    <row r="4533" spans="1:19" x14ac:dyDescent="0.3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e">
        <f>VLOOKUP('Customer Info'!B4525,'Customer Info'!B4525:B5024,1,0)</f>
        <v>#N/A</v>
      </c>
      <c r="H4533" s="6" t="e">
        <f>VLOOKUP('Customer Info'!C4525,'Customer Info'!C4525:C5024,1)</f>
        <v>#N/A</v>
      </c>
      <c r="I4533" s="6" t="e">
        <f>VLOOKUP('Customer Info'!E4525,'Customer Info'!E4525:E5024,1,0)</f>
        <v>#N/A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819</v>
      </c>
      <c r="R4533" s="2" t="s">
        <v>50</v>
      </c>
      <c r="S4533" s="9">
        <f t="shared" si="354"/>
        <v>0.05</v>
      </c>
    </row>
    <row r="4534" spans="1:19" x14ac:dyDescent="0.3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e">
        <f>VLOOKUP('Customer Info'!B4526,'Customer Info'!B4526:B5025,1,0)</f>
        <v>#N/A</v>
      </c>
      <c r="H4534" s="6" t="e">
        <f>VLOOKUP('Customer Info'!C4526,'Customer Info'!C4526:C5025,1)</f>
        <v>#N/A</v>
      </c>
      <c r="I4534" s="6" t="e">
        <f>VLOOKUP('Customer Info'!E4526,'Customer Info'!E4526:E5025,1,0)</f>
        <v>#N/A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424</v>
      </c>
      <c r="R4534" s="2" t="s">
        <v>50</v>
      </c>
      <c r="S4534" s="9">
        <f t="shared" si="354"/>
        <v>0.05</v>
      </c>
    </row>
    <row r="4535" spans="1:19" x14ac:dyDescent="0.3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e">
        <f>VLOOKUP('Customer Info'!B4527,'Customer Info'!B4527:B5026,1,0)</f>
        <v>#N/A</v>
      </c>
      <c r="H4535" s="6" t="e">
        <f>VLOOKUP('Customer Info'!C4527,'Customer Info'!C4527:C5026,1)</f>
        <v>#N/A</v>
      </c>
      <c r="I4535" s="6" t="e">
        <f>VLOOKUP('Customer Info'!E4527,'Customer Info'!E4527:E5026,1,0)</f>
        <v>#N/A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19242</v>
      </c>
      <c r="R4535" s="2" t="s">
        <v>50</v>
      </c>
      <c r="S4535" s="9">
        <f t="shared" si="354"/>
        <v>0.15</v>
      </c>
    </row>
    <row r="4536" spans="1:19" x14ac:dyDescent="0.3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e">
        <f>VLOOKUP('Customer Info'!B4528,'Customer Info'!B4528:B5027,1,0)</f>
        <v>#N/A</v>
      </c>
      <c r="H4536" s="6" t="e">
        <f>VLOOKUP('Customer Info'!C4528,'Customer Info'!C4528:C5027,1)</f>
        <v>#N/A</v>
      </c>
      <c r="I4536" s="6" t="e">
        <f>VLOOKUP('Customer Info'!E4528,'Customer Info'!E4528:E5027,1,0)</f>
        <v>#N/A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288</v>
      </c>
      <c r="R4536" s="2" t="s">
        <v>50</v>
      </c>
      <c r="S4536" s="9">
        <f t="shared" si="354"/>
        <v>0.02</v>
      </c>
    </row>
    <row r="4537" spans="1:19" x14ac:dyDescent="0.3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e">
        <f>VLOOKUP('Customer Info'!B4529,'Customer Info'!B4529:B5028,1,0)</f>
        <v>#N/A</v>
      </c>
      <c r="H4537" s="6" t="e">
        <f>VLOOKUP('Customer Info'!C4529,'Customer Info'!C4529:C5028,1)</f>
        <v>#N/A</v>
      </c>
      <c r="I4537" s="6" t="e">
        <f>VLOOKUP('Customer Info'!E4529,'Customer Info'!E4529:E5028,1,0)</f>
        <v>#N/A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6840</v>
      </c>
      <c r="R4537" s="2" t="s">
        <v>26</v>
      </c>
      <c r="S4537" s="9">
        <f t="shared" si="354"/>
        <v>0.12</v>
      </c>
    </row>
    <row r="4538" spans="1:19" x14ac:dyDescent="0.3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e">
        <f>VLOOKUP('Customer Info'!B4530,'Customer Info'!B4530:B5029,1,0)</f>
        <v>#N/A</v>
      </c>
      <c r="H4538" s="6" t="e">
        <f>VLOOKUP('Customer Info'!C4530,'Customer Info'!C4530:C5029,1)</f>
        <v>#N/A</v>
      </c>
      <c r="I4538" s="6" t="e">
        <f>VLOOKUP('Customer Info'!E4530,'Customer Info'!E4530:E5029,1,0)</f>
        <v>#N/A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91</v>
      </c>
      <c r="R4538" s="2" t="s">
        <v>28</v>
      </c>
      <c r="S4538" s="9">
        <f t="shared" si="354"/>
        <v>0.02</v>
      </c>
    </row>
    <row r="4539" spans="1:19" x14ac:dyDescent="0.3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e">
        <f>VLOOKUP('Customer Info'!B4531,'Customer Info'!B4531:B5030,1,0)</f>
        <v>#N/A</v>
      </c>
      <c r="H4539" s="6" t="e">
        <f>VLOOKUP('Customer Info'!C4531,'Customer Info'!C4531:C5030,1)</f>
        <v>#N/A</v>
      </c>
      <c r="I4539" s="6" t="e">
        <f>VLOOKUP('Customer Info'!E4531,'Customer Info'!E4531:E5030,1,0)</f>
        <v>#N/A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20</v>
      </c>
      <c r="R4539" s="2" t="s">
        <v>50</v>
      </c>
      <c r="S4539" s="9">
        <f t="shared" si="354"/>
        <v>0.02</v>
      </c>
    </row>
    <row r="4540" spans="1:19" x14ac:dyDescent="0.3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e">
        <f>VLOOKUP('Customer Info'!B4532,'Customer Info'!B4532:B5031,1,0)</f>
        <v>#N/A</v>
      </c>
      <c r="H4540" s="6" t="e">
        <f>VLOOKUP('Customer Info'!C4532,'Customer Info'!C4532:C5031,1)</f>
        <v>#N/A</v>
      </c>
      <c r="I4540" s="6" t="e">
        <f>VLOOKUP('Customer Info'!E4532,'Customer Info'!E4532:E5031,1,0)</f>
        <v>#N/A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556</v>
      </c>
      <c r="R4540" s="2" t="s">
        <v>28</v>
      </c>
      <c r="S4540" s="9">
        <f t="shared" si="354"/>
        <v>0.05</v>
      </c>
    </row>
    <row r="4541" spans="1:19" x14ac:dyDescent="0.3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e">
        <f>VLOOKUP('Customer Info'!B4533,'Customer Info'!B4533:B5032,1,0)</f>
        <v>#N/A</v>
      </c>
      <c r="H4541" s="6" t="e">
        <f>VLOOKUP('Customer Info'!C4533,'Customer Info'!C4533:C5032,1)</f>
        <v>#N/A</v>
      </c>
      <c r="I4541" s="6" t="e">
        <f>VLOOKUP('Customer Info'!E4533,'Customer Info'!E4533:E5032,1,0)</f>
        <v>#N/A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8</v>
      </c>
      <c r="R4541" s="2" t="s">
        <v>26</v>
      </c>
      <c r="S4541" s="9">
        <f t="shared" si="354"/>
        <v>0.02</v>
      </c>
    </row>
    <row r="4542" spans="1:19" x14ac:dyDescent="0.3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e">
        <f>VLOOKUP('Customer Info'!B4534,'Customer Info'!B4534:B5033,1,0)</f>
        <v>#N/A</v>
      </c>
      <c r="H4542" s="6" t="e">
        <f>VLOOKUP('Customer Info'!C4534,'Customer Info'!C4534:C5033,1)</f>
        <v>#N/A</v>
      </c>
      <c r="I4542" s="6" t="e">
        <f>VLOOKUP('Customer Info'!E4534,'Customer Info'!E4534:E5033,1,0)</f>
        <v>#N/A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796</v>
      </c>
      <c r="R4542" s="2" t="s">
        <v>50</v>
      </c>
      <c r="S4542" s="9">
        <f t="shared" si="354"/>
        <v>0.05</v>
      </c>
    </row>
    <row r="4543" spans="1:19" x14ac:dyDescent="0.3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e">
        <f>VLOOKUP('Customer Info'!B4535,'Customer Info'!B4535:B5034,1,0)</f>
        <v>#N/A</v>
      </c>
      <c r="H4543" s="6" t="e">
        <f>VLOOKUP('Customer Info'!C4535,'Customer Info'!C4535:C5034,1)</f>
        <v>#N/A</v>
      </c>
      <c r="I4543" s="6" t="e">
        <f>VLOOKUP('Customer Info'!E4535,'Customer Info'!E4535:E5034,1,0)</f>
        <v>#N/A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1710</v>
      </c>
      <c r="R4543" s="2" t="s">
        <v>50</v>
      </c>
      <c r="S4543" s="9">
        <f t="shared" si="354"/>
        <v>7.0000000000000007E-2</v>
      </c>
    </row>
    <row r="4544" spans="1:19" x14ac:dyDescent="0.3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e">
        <f>VLOOKUP('Customer Info'!B4536,'Customer Info'!B4536:B5035,1,0)</f>
        <v>#N/A</v>
      </c>
      <c r="H4544" s="6" t="e">
        <f>VLOOKUP('Customer Info'!C4536,'Customer Info'!C4536:C5035,1)</f>
        <v>#N/A</v>
      </c>
      <c r="I4544" s="6" t="e">
        <f>VLOOKUP('Customer Info'!E4536,'Customer Info'!E4536:E5035,1,0)</f>
        <v>#N/A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106</v>
      </c>
      <c r="R4544" s="2" t="s">
        <v>28</v>
      </c>
      <c r="S4544" s="9">
        <f t="shared" si="354"/>
        <v>0.02</v>
      </c>
    </row>
    <row r="4545" spans="1:19" x14ac:dyDescent="0.3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e">
        <f>VLOOKUP('Customer Info'!B4537,'Customer Info'!B4537:B5036,1,0)</f>
        <v>#N/A</v>
      </c>
      <c r="H4545" s="6" t="e">
        <f>VLOOKUP('Customer Info'!C4537,'Customer Info'!C4537:C5036,1)</f>
        <v>#N/A</v>
      </c>
      <c r="I4545" s="6" t="e">
        <f>VLOOKUP('Customer Info'!E4537,'Customer Info'!E4537:E5036,1,0)</f>
        <v>#N/A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318</v>
      </c>
      <c r="R4545" s="2" t="s">
        <v>50</v>
      </c>
      <c r="S4545" s="9">
        <f t="shared" si="354"/>
        <v>0.05</v>
      </c>
    </row>
    <row r="4546" spans="1:19" x14ac:dyDescent="0.3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e">
        <f>VLOOKUP('Customer Info'!B4538,'Customer Info'!B4538:B5037,1,0)</f>
        <v>#N/A</v>
      </c>
      <c r="H4546" s="6" t="e">
        <f>VLOOKUP('Customer Info'!C4538,'Customer Info'!C4538:C5037,1)</f>
        <v>#N/A</v>
      </c>
      <c r="I4546" s="6" t="e">
        <f>VLOOKUP('Customer Info'!E4538,'Customer Info'!E4538:E5037,1,0)</f>
        <v>#N/A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318</v>
      </c>
      <c r="R4546" s="2" t="s">
        <v>50</v>
      </c>
      <c r="S4546" s="9">
        <f t="shared" si="354"/>
        <v>0.02</v>
      </c>
    </row>
    <row r="4547" spans="1:19" x14ac:dyDescent="0.3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e">
        <f>VLOOKUP('Customer Info'!B4539,'Customer Info'!B4539:B5038,1,0)</f>
        <v>#N/A</v>
      </c>
      <c r="H4547" s="6" t="e">
        <f>VLOOKUP('Customer Info'!C4539,'Customer Info'!C4539:C5038,1)</f>
        <v>#N/A</v>
      </c>
      <c r="I4547" s="6" t="e">
        <f>VLOOKUP('Customer Info'!E4539,'Customer Info'!E4539:E5038,1,0)</f>
        <v>#N/A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138</v>
      </c>
      <c r="R4547" s="2" t="s">
        <v>50</v>
      </c>
      <c r="S4547" s="9">
        <f t="shared" si="354"/>
        <v>0.02</v>
      </c>
    </row>
    <row r="4548" spans="1:19" x14ac:dyDescent="0.3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e">
        <f>VLOOKUP('Customer Info'!B4540,'Customer Info'!B4540:B5039,1,0)</f>
        <v>#N/A</v>
      </c>
      <c r="H4548" s="6" t="e">
        <f>VLOOKUP('Customer Info'!C4540,'Customer Info'!C4540:C5039,1)</f>
        <v>#N/A</v>
      </c>
      <c r="I4548" s="6" t="e">
        <f>VLOOKUP('Customer Info'!E4540,'Customer Info'!E4540:E5039,1,0)</f>
        <v>#N/A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54</v>
      </c>
      <c r="R4548" s="2" t="s">
        <v>26</v>
      </c>
      <c r="S4548" s="9">
        <f t="shared" si="354"/>
        <v>0.02</v>
      </c>
    </row>
    <row r="4549" spans="1:19" x14ac:dyDescent="0.3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e">
        <f>VLOOKUP('Customer Info'!B4541,'Customer Info'!B4541:B5040,1,0)</f>
        <v>#N/A</v>
      </c>
      <c r="H4549" s="6" t="e">
        <f>VLOOKUP('Customer Info'!C4541,'Customer Info'!C4541:C5040,1)</f>
        <v>#N/A</v>
      </c>
      <c r="I4549" s="6" t="e">
        <f>VLOOKUP('Customer Info'!E4541,'Customer Info'!E4541:E5040,1,0)</f>
        <v>#N/A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10</v>
      </c>
      <c r="R4549" s="2" t="s">
        <v>28</v>
      </c>
      <c r="S4549" s="9">
        <f t="shared" si="354"/>
        <v>0.02</v>
      </c>
    </row>
    <row r="4550" spans="1:19" x14ac:dyDescent="0.3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e">
        <f>VLOOKUP('Customer Info'!B4542,'Customer Info'!B4542:B5041,1,0)</f>
        <v>#N/A</v>
      </c>
      <c r="H4550" s="6" t="e">
        <f>VLOOKUP('Customer Info'!C4542,'Customer Info'!C4542:C5041,1)</f>
        <v>#N/A</v>
      </c>
      <c r="I4550" s="6" t="e">
        <f>VLOOKUP('Customer Info'!E4542,'Customer Info'!E4542:E5041,1,0)</f>
        <v>#N/A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36</v>
      </c>
      <c r="R4550" s="2" t="s">
        <v>50</v>
      </c>
      <c r="S4550" s="9">
        <f t="shared" si="354"/>
        <v>0.02</v>
      </c>
    </row>
    <row r="4551" spans="1:19" x14ac:dyDescent="0.3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e">
        <f>VLOOKUP('Customer Info'!B4543,'Customer Info'!B4543:B5042,1,0)</f>
        <v>#N/A</v>
      </c>
      <c r="H4551" s="6" t="e">
        <f>VLOOKUP('Customer Info'!C4543,'Customer Info'!C4543:C5042,1)</f>
        <v>#N/A</v>
      </c>
      <c r="I4551" s="6" t="e">
        <f>VLOOKUP('Customer Info'!E4543,'Customer Info'!E4543:E5042,1,0)</f>
        <v>#N/A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2536</v>
      </c>
      <c r="R4551" s="2" t="s">
        <v>50</v>
      </c>
      <c r="S4551" s="9">
        <f t="shared" si="354"/>
        <v>0.05</v>
      </c>
    </row>
    <row r="4552" spans="1:19" x14ac:dyDescent="0.3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e">
        <f>VLOOKUP('Customer Info'!B4544,'Customer Info'!B4544:B5043,1,0)</f>
        <v>#N/A</v>
      </c>
      <c r="H4552" s="6" t="e">
        <f>VLOOKUP('Customer Info'!C4544,'Customer Info'!C4544:C5043,1)</f>
        <v>#N/A</v>
      </c>
      <c r="I4552" s="6" t="e">
        <f>VLOOKUP('Customer Info'!E4544,'Customer Info'!E4544:E5043,1,0)</f>
        <v>#N/A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308</v>
      </c>
      <c r="R4552" s="2" t="s">
        <v>28</v>
      </c>
      <c r="S4552" s="9">
        <f t="shared" si="354"/>
        <v>0.05</v>
      </c>
    </row>
    <row r="4553" spans="1:19" x14ac:dyDescent="0.3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e">
        <f>VLOOKUP('Customer Info'!B4545,'Customer Info'!B4545:B5044,1,0)</f>
        <v>#N/A</v>
      </c>
      <c r="H4553" s="6" t="e">
        <f>VLOOKUP('Customer Info'!C4545,'Customer Info'!C4545:C5044,1)</f>
        <v>#N/A</v>
      </c>
      <c r="I4553" s="6" t="e">
        <f>VLOOKUP('Customer Info'!E4545,'Customer Info'!E4545:E5044,1,0)</f>
        <v>#N/A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782</v>
      </c>
      <c r="R4553" s="2" t="s">
        <v>56</v>
      </c>
      <c r="S4553" s="9">
        <f t="shared" si="354"/>
        <v>0.05</v>
      </c>
    </row>
    <row r="4554" spans="1:19" x14ac:dyDescent="0.3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e">
        <f>VLOOKUP('Customer Info'!B4546,'Customer Info'!B4546:B5045,1,0)</f>
        <v>#N/A</v>
      </c>
      <c r="H4554" s="6" t="e">
        <f>VLOOKUP('Customer Info'!C4546,'Customer Info'!C4546:C5045,1)</f>
        <v>#N/A</v>
      </c>
      <c r="I4554" s="6" t="e">
        <f>VLOOKUP('Customer Info'!E4546,'Customer Info'!E4546:E5045,1,0)</f>
        <v>#N/A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5</v>
      </c>
      <c r="R4554" s="2" t="s">
        <v>50</v>
      </c>
      <c r="S4554" s="9">
        <f t="shared" si="354"/>
        <v>0.02</v>
      </c>
    </row>
    <row r="4555" spans="1:19" x14ac:dyDescent="0.3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e">
        <f>VLOOKUP('Customer Info'!B4547,'Customer Info'!B4547:B5046,1,0)</f>
        <v>#N/A</v>
      </c>
      <c r="H4555" s="6" t="e">
        <f>VLOOKUP('Customer Info'!C4547,'Customer Info'!C4547:C5046,1)</f>
        <v>#N/A</v>
      </c>
      <c r="I4555" s="6" t="e">
        <f>VLOOKUP('Customer Info'!E4547,'Customer Info'!E4547:E5046,1,0)</f>
        <v>#N/A</v>
      </c>
      <c r="J4555" s="2">
        <v>25658</v>
      </c>
      <c r="K4555" s="2">
        <v>24466</v>
      </c>
      <c r="L4555" s="2">
        <v>1</v>
      </c>
      <c r="M4555" s="7">
        <f t="shared" ref="M4555:M4618" si="355">(K4555*L4555)</f>
        <v>24466</v>
      </c>
      <c r="N4555" s="7">
        <f t="shared" ref="N4555:N4618" si="356">(J4555*L4555)</f>
        <v>25658</v>
      </c>
      <c r="O4555" s="2">
        <v>60</v>
      </c>
      <c r="P4555" s="8">
        <f t="shared" ref="P4555:P4618" si="357">(N4555+O4555)</f>
        <v>25718</v>
      </c>
      <c r="Q4555" s="8">
        <f t="shared" ref="Q4555:Q4618" si="358">(N4555-M4555)</f>
        <v>1192</v>
      </c>
      <c r="R4555" s="2" t="s">
        <v>28</v>
      </c>
      <c r="S4555" s="9">
        <f t="shared" ref="S4555:S4618" si="359">_xlfn.IFS(P4555&gt;250000,0.15,P4555&gt;100000,0.12,P4555&gt;50000,0.09,P4555&gt;25000,0.07,P4555&gt;5000,0.05,
 TRUE,0.02)</f>
        <v>7.0000000000000007E-2</v>
      </c>
    </row>
    <row r="4556" spans="1:19" x14ac:dyDescent="0.3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e">
        <f>VLOOKUP('Customer Info'!B4548,'Customer Info'!B4548:B5047,1,0)</f>
        <v>#N/A</v>
      </c>
      <c r="H4556" s="6" t="e">
        <f>VLOOKUP('Customer Info'!C4548,'Customer Info'!C4548:C5047,1)</f>
        <v>#N/A</v>
      </c>
      <c r="I4556" s="6" t="e">
        <f>VLOOKUP('Customer Info'!E4548,'Customer Info'!E4548:E5047,1,0)</f>
        <v>#N/A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285</v>
      </c>
      <c r="R4556" s="2" t="s">
        <v>28</v>
      </c>
      <c r="S4556" s="9">
        <f t="shared" si="359"/>
        <v>0.05</v>
      </c>
    </row>
    <row r="4557" spans="1:19" x14ac:dyDescent="0.3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e">
        <f>VLOOKUP('Customer Info'!B4549,'Customer Info'!B4549:B5048,1,0)</f>
        <v>#N/A</v>
      </c>
      <c r="H4557" s="6" t="e">
        <f>VLOOKUP('Customer Info'!C4549,'Customer Info'!C4549:C5048,1)</f>
        <v>#N/A</v>
      </c>
      <c r="I4557" s="6" t="e">
        <f>VLOOKUP('Customer Info'!E4549,'Customer Info'!E4549:E5048,1,0)</f>
        <v>#N/A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144</v>
      </c>
      <c r="R4557" s="2" t="s">
        <v>28</v>
      </c>
      <c r="S4557" s="9">
        <f t="shared" si="359"/>
        <v>0.05</v>
      </c>
    </row>
    <row r="4558" spans="1:19" x14ac:dyDescent="0.3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e">
        <f>VLOOKUP('Customer Info'!B4550,'Customer Info'!B4550:B5049,1,0)</f>
        <v>#N/A</v>
      </c>
      <c r="H4558" s="6" t="e">
        <f>VLOOKUP('Customer Info'!C4550,'Customer Info'!C4550:C5049,1)</f>
        <v>#N/A</v>
      </c>
      <c r="I4558" s="6" t="e">
        <f>VLOOKUP('Customer Info'!E4550,'Customer Info'!E4550:E5049,1,0)</f>
        <v>#N/A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1281</v>
      </c>
      <c r="R4558" s="2" t="s">
        <v>56</v>
      </c>
      <c r="S4558" s="9">
        <f t="shared" si="359"/>
        <v>0.05</v>
      </c>
    </row>
    <row r="4559" spans="1:19" x14ac:dyDescent="0.3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e">
        <f>VLOOKUP('Customer Info'!B4551,'Customer Info'!B4551:B5050,1,0)</f>
        <v>#N/A</v>
      </c>
      <c r="H4559" s="6" t="e">
        <f>VLOOKUP('Customer Info'!C4551,'Customer Info'!C4551:C5050,1)</f>
        <v>#N/A</v>
      </c>
      <c r="I4559" s="6" t="e">
        <f>VLOOKUP('Customer Info'!E4551,'Customer Info'!E4551:E5050,1,0)</f>
        <v>#N/A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1902</v>
      </c>
      <c r="R4559" s="2" t="s">
        <v>50</v>
      </c>
      <c r="S4559" s="9">
        <f t="shared" si="359"/>
        <v>0.05</v>
      </c>
    </row>
    <row r="4560" spans="1:19" x14ac:dyDescent="0.3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e">
        <f>VLOOKUP('Customer Info'!B4552,'Customer Info'!B4552:B5051,1,0)</f>
        <v>#N/A</v>
      </c>
      <c r="H4560" s="6" t="e">
        <f>VLOOKUP('Customer Info'!C4552,'Customer Info'!C4552:C5051,1)</f>
        <v>#N/A</v>
      </c>
      <c r="I4560" s="6" t="e">
        <f>VLOOKUP('Customer Info'!E4552,'Customer Info'!E4552:E5051,1,0)</f>
        <v>#N/A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3685</v>
      </c>
      <c r="R4560" s="2" t="s">
        <v>28</v>
      </c>
      <c r="S4560" s="9">
        <f t="shared" si="359"/>
        <v>0.09</v>
      </c>
    </row>
    <row r="4561" spans="1:19" x14ac:dyDescent="0.3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e">
        <f>VLOOKUP('Customer Info'!B4553,'Customer Info'!B4553:B5052,1,0)</f>
        <v>#N/A</v>
      </c>
      <c r="H4561" s="6" t="e">
        <f>VLOOKUP('Customer Info'!C4553,'Customer Info'!C4553:C5052,1)</f>
        <v>#N/A</v>
      </c>
      <c r="I4561" s="6" t="e">
        <f>VLOOKUP('Customer Info'!E4553,'Customer Info'!E4553:E5052,1,0)</f>
        <v>#N/A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354</v>
      </c>
      <c r="R4561" s="2" t="s">
        <v>50</v>
      </c>
      <c r="S4561" s="9">
        <f t="shared" si="359"/>
        <v>0.05</v>
      </c>
    </row>
    <row r="4562" spans="1:19" x14ac:dyDescent="0.3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e">
        <f>VLOOKUP('Customer Info'!B4554,'Customer Info'!B4554:B5053,1,0)</f>
        <v>#N/A</v>
      </c>
      <c r="H4562" s="6" t="e">
        <f>VLOOKUP('Customer Info'!C4554,'Customer Info'!C4554:C5053,1)</f>
        <v>#N/A</v>
      </c>
      <c r="I4562" s="6" t="e">
        <f>VLOOKUP('Customer Info'!E4554,'Customer Info'!E4554:E5053,1,0)</f>
        <v>#N/A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1362</v>
      </c>
      <c r="R4562" s="2" t="s">
        <v>28</v>
      </c>
      <c r="S4562" s="9">
        <f t="shared" si="359"/>
        <v>0.05</v>
      </c>
    </row>
    <row r="4563" spans="1:19" x14ac:dyDescent="0.3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e">
        <f>VLOOKUP('Customer Info'!B4555,'Customer Info'!B4555:B5054,1,0)</f>
        <v>#N/A</v>
      </c>
      <c r="H4563" s="6" t="e">
        <f>VLOOKUP('Customer Info'!C4555,'Customer Info'!C4555:C5054,1)</f>
        <v>#N/A</v>
      </c>
      <c r="I4563" s="6" t="e">
        <f>VLOOKUP('Customer Info'!E4555,'Customer Info'!E4555:E5054,1,0)</f>
        <v>#N/A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230</v>
      </c>
      <c r="R4563" s="2" t="s">
        <v>50</v>
      </c>
      <c r="S4563" s="9">
        <f t="shared" si="359"/>
        <v>0.05</v>
      </c>
    </row>
    <row r="4564" spans="1:19" x14ac:dyDescent="0.3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e">
        <f>VLOOKUP('Customer Info'!B4556,'Customer Info'!B4556:B5055,1,0)</f>
        <v>#N/A</v>
      </c>
      <c r="H4564" s="6" t="e">
        <f>VLOOKUP('Customer Info'!C4556,'Customer Info'!C4556:C5055,1)</f>
        <v>#N/A</v>
      </c>
      <c r="I4564" s="6" t="e">
        <f>VLOOKUP('Customer Info'!E4556,'Customer Info'!E4556:E5055,1,0)</f>
        <v>#N/A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12</v>
      </c>
      <c r="R4564" s="2" t="s">
        <v>50</v>
      </c>
      <c r="S4564" s="9">
        <f t="shared" si="359"/>
        <v>0.02</v>
      </c>
    </row>
    <row r="4565" spans="1:19" x14ac:dyDescent="0.3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e">
        <f>VLOOKUP('Customer Info'!B4557,'Customer Info'!B4557:B5056,1,0)</f>
        <v>#N/A</v>
      </c>
      <c r="H4565" s="6" t="e">
        <f>VLOOKUP('Customer Info'!C4557,'Customer Info'!C4557:C5056,1)</f>
        <v>#N/A</v>
      </c>
      <c r="I4565" s="6" t="e">
        <f>VLOOKUP('Customer Info'!E4557,'Customer Info'!E4557:E5056,1,0)</f>
        <v>#N/A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2976</v>
      </c>
      <c r="R4565" s="2" t="s">
        <v>28</v>
      </c>
      <c r="S4565" s="9">
        <f t="shared" si="359"/>
        <v>7.0000000000000007E-2</v>
      </c>
    </row>
    <row r="4566" spans="1:19" x14ac:dyDescent="0.3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e">
        <f>VLOOKUP('Customer Info'!B4558,'Customer Info'!B4558:B5057,1,0)</f>
        <v>#N/A</v>
      </c>
      <c r="H4566" s="6" t="e">
        <f>VLOOKUP('Customer Info'!C4558,'Customer Info'!C4558:C5057,1)</f>
        <v>#N/A</v>
      </c>
      <c r="I4566" s="6" t="e">
        <f>VLOOKUP('Customer Info'!E4558,'Customer Info'!E4558:E5057,1,0)</f>
        <v>#N/A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128</v>
      </c>
      <c r="R4566" s="2" t="s">
        <v>50</v>
      </c>
      <c r="S4566" s="9">
        <f t="shared" si="359"/>
        <v>0.05</v>
      </c>
    </row>
    <row r="4567" spans="1:19" x14ac:dyDescent="0.3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e">
        <f>VLOOKUP('Customer Info'!B4559,'Customer Info'!B4559:B5058,1,0)</f>
        <v>#N/A</v>
      </c>
      <c r="H4567" s="6" t="e">
        <f>VLOOKUP('Customer Info'!C4559,'Customer Info'!C4559:C5058,1)</f>
        <v>#N/A</v>
      </c>
      <c r="I4567" s="6" t="e">
        <f>VLOOKUP('Customer Info'!E4559,'Customer Info'!E4559:E5058,1,0)</f>
        <v>#N/A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79</v>
      </c>
      <c r="R4567" s="2" t="s">
        <v>28</v>
      </c>
      <c r="S4567" s="9">
        <f t="shared" si="359"/>
        <v>0.02</v>
      </c>
    </row>
    <row r="4568" spans="1:19" x14ac:dyDescent="0.3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e">
        <f>VLOOKUP('Customer Info'!B4560,'Customer Info'!B4560:B5059,1,0)</f>
        <v>#N/A</v>
      </c>
      <c r="H4568" s="6" t="e">
        <f>VLOOKUP('Customer Info'!C4560,'Customer Info'!C4560:C5059,1)</f>
        <v>#N/A</v>
      </c>
      <c r="I4568" s="6" t="e">
        <f>VLOOKUP('Customer Info'!E4560,'Customer Info'!E4560:E5059,1,0)</f>
        <v>#N/A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1760</v>
      </c>
      <c r="R4568" s="2" t="s">
        <v>28</v>
      </c>
      <c r="S4568" s="9">
        <f t="shared" si="359"/>
        <v>0.05</v>
      </c>
    </row>
    <row r="4569" spans="1:19" x14ac:dyDescent="0.3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e">
        <f>VLOOKUP('Customer Info'!B4561,'Customer Info'!B4561:B5060,1,0)</f>
        <v>#N/A</v>
      </c>
      <c r="H4569" s="6" t="e">
        <f>VLOOKUP('Customer Info'!C4561,'Customer Info'!C4561:C5060,1)</f>
        <v>#N/A</v>
      </c>
      <c r="I4569" s="6" t="e">
        <f>VLOOKUP('Customer Info'!E4561,'Customer Info'!E4561:E5060,1,0)</f>
        <v>#N/A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1896</v>
      </c>
      <c r="R4569" s="2" t="s">
        <v>28</v>
      </c>
      <c r="S4569" s="9">
        <f t="shared" si="359"/>
        <v>7.0000000000000007E-2</v>
      </c>
    </row>
    <row r="4570" spans="1:19" x14ac:dyDescent="0.3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e">
        <f>VLOOKUP('Customer Info'!B4562,'Customer Info'!B4562:B5061,1,0)</f>
        <v>#N/A</v>
      </c>
      <c r="H4570" s="6" t="e">
        <f>VLOOKUP('Customer Info'!C4562,'Customer Info'!C4562:C5061,1)</f>
        <v>#N/A</v>
      </c>
      <c r="I4570" s="6" t="e">
        <f>VLOOKUP('Customer Info'!E4562,'Customer Info'!E4562:E5061,1,0)</f>
        <v>#N/A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25</v>
      </c>
      <c r="R4570" s="2" t="s">
        <v>28</v>
      </c>
      <c r="S4570" s="9">
        <f t="shared" si="359"/>
        <v>0.02</v>
      </c>
    </row>
    <row r="4571" spans="1:19" x14ac:dyDescent="0.3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e">
        <f>VLOOKUP('Customer Info'!B4563,'Customer Info'!B4563:B5062,1,0)</f>
        <v>#N/A</v>
      </c>
      <c r="H4571" s="6" t="e">
        <f>VLOOKUP('Customer Info'!C4563,'Customer Info'!C4563:C5062,1)</f>
        <v>#N/A</v>
      </c>
      <c r="I4571" s="6" t="e">
        <f>VLOOKUP('Customer Info'!E4563,'Customer Info'!E4563:E5062,1,0)</f>
        <v>#N/A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88</v>
      </c>
      <c r="R4571" s="2" t="s">
        <v>28</v>
      </c>
      <c r="S4571" s="9">
        <f t="shared" si="359"/>
        <v>0.02</v>
      </c>
    </row>
    <row r="4572" spans="1:19" x14ac:dyDescent="0.3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e">
        <f>VLOOKUP('Customer Info'!B4564,'Customer Info'!B4564:B5063,1,0)</f>
        <v>#N/A</v>
      </c>
      <c r="H4572" s="6" t="e">
        <f>VLOOKUP('Customer Info'!C4564,'Customer Info'!C4564:C5063,1)</f>
        <v>#N/A</v>
      </c>
      <c r="I4572" s="6" t="e">
        <f>VLOOKUP('Customer Info'!E4564,'Customer Info'!E4564:E5063,1,0)</f>
        <v>#N/A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297</v>
      </c>
      <c r="R4572" s="2" t="s">
        <v>50</v>
      </c>
      <c r="S4572" s="9">
        <f t="shared" si="359"/>
        <v>0.02</v>
      </c>
    </row>
    <row r="4573" spans="1:19" x14ac:dyDescent="0.3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e">
        <f>VLOOKUP('Customer Info'!B4565,'Customer Info'!B4565:B5064,1,0)</f>
        <v>#N/A</v>
      </c>
      <c r="H4573" s="6" t="e">
        <f>VLOOKUP('Customer Info'!C4565,'Customer Info'!C4565:C5064,1)</f>
        <v>#N/A</v>
      </c>
      <c r="I4573" s="6" t="e">
        <f>VLOOKUP('Customer Info'!E4565,'Customer Info'!E4565:E5064,1,0)</f>
        <v>#N/A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35</v>
      </c>
      <c r="R4573" s="2" t="s">
        <v>28</v>
      </c>
      <c r="S4573" s="9">
        <f t="shared" si="359"/>
        <v>0.02</v>
      </c>
    </row>
    <row r="4574" spans="1:19" x14ac:dyDescent="0.3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e">
        <f>VLOOKUP('Customer Info'!B4566,'Customer Info'!B4566:B5065,1,0)</f>
        <v>#N/A</v>
      </c>
      <c r="H4574" s="6" t="e">
        <f>VLOOKUP('Customer Info'!C4566,'Customer Info'!C4566:C5065,1)</f>
        <v>#N/A</v>
      </c>
      <c r="I4574" s="6" t="e">
        <f>VLOOKUP('Customer Info'!E4566,'Customer Info'!E4566:E5065,1,0)</f>
        <v>#N/A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232</v>
      </c>
      <c r="R4574" s="2" t="s">
        <v>50</v>
      </c>
      <c r="S4574" s="9">
        <f t="shared" si="359"/>
        <v>0.02</v>
      </c>
    </row>
    <row r="4575" spans="1:19" x14ac:dyDescent="0.3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e">
        <f>VLOOKUP('Customer Info'!B4567,'Customer Info'!B4567:B5066,1,0)</f>
        <v>#N/A</v>
      </c>
      <c r="H4575" s="6" t="e">
        <f>VLOOKUP('Customer Info'!C4567,'Customer Info'!C4567:C5066,1)</f>
        <v>#N/A</v>
      </c>
      <c r="I4575" s="6" t="e">
        <f>VLOOKUP('Customer Info'!E4567,'Customer Info'!E4567:E5066,1,0)</f>
        <v>#N/A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932</v>
      </c>
      <c r="R4575" s="2" t="s">
        <v>28</v>
      </c>
      <c r="S4575" s="9">
        <f t="shared" si="359"/>
        <v>0.05</v>
      </c>
    </row>
    <row r="4576" spans="1:19" x14ac:dyDescent="0.3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e">
        <f>VLOOKUP('Customer Info'!B4568,'Customer Info'!B4568:B5067,1,0)</f>
        <v>#N/A</v>
      </c>
      <c r="H4576" s="6" t="e">
        <f>VLOOKUP('Customer Info'!C4568,'Customer Info'!C4568:C5067,1)</f>
        <v>#N/A</v>
      </c>
      <c r="I4576" s="6" t="e">
        <f>VLOOKUP('Customer Info'!E4568,'Customer Info'!E4568:E5067,1,0)</f>
        <v>#N/A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76</v>
      </c>
      <c r="R4576" s="2" t="s">
        <v>28</v>
      </c>
      <c r="S4576" s="9">
        <f t="shared" si="359"/>
        <v>0.02</v>
      </c>
    </row>
    <row r="4577" spans="1:19" x14ac:dyDescent="0.3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e">
        <f>VLOOKUP('Customer Info'!B4569,'Customer Info'!B4569:B5068,1,0)</f>
        <v>#N/A</v>
      </c>
      <c r="H4577" s="6" t="e">
        <f>VLOOKUP('Customer Info'!C4569,'Customer Info'!C4569:C5068,1)</f>
        <v>#N/A</v>
      </c>
      <c r="I4577" s="6" t="e">
        <f>VLOOKUP('Customer Info'!E4569,'Customer Info'!E4569:E5068,1,0)</f>
        <v>#N/A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669</v>
      </c>
      <c r="R4577" s="2" t="s">
        <v>28</v>
      </c>
      <c r="S4577" s="9">
        <f t="shared" si="359"/>
        <v>0.05</v>
      </c>
    </row>
    <row r="4578" spans="1:19" x14ac:dyDescent="0.3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e">
        <f>VLOOKUP('Customer Info'!B4570,'Customer Info'!B4570:B5069,1,0)</f>
        <v>#N/A</v>
      </c>
      <c r="H4578" s="6" t="e">
        <f>VLOOKUP('Customer Info'!C4570,'Customer Info'!C4570:C5069,1)</f>
        <v>#N/A</v>
      </c>
      <c r="I4578" s="6" t="e">
        <f>VLOOKUP('Customer Info'!E4570,'Customer Info'!E4570:E5069,1,0)</f>
        <v>#N/A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1528</v>
      </c>
      <c r="R4578" s="2" t="s">
        <v>50</v>
      </c>
      <c r="S4578" s="9">
        <f t="shared" si="359"/>
        <v>0.09</v>
      </c>
    </row>
    <row r="4579" spans="1:19" x14ac:dyDescent="0.3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e">
        <f>VLOOKUP('Customer Info'!B4571,'Customer Info'!B4571:B5070,1,0)</f>
        <v>#N/A</v>
      </c>
      <c r="H4579" s="6" t="e">
        <f>VLOOKUP('Customer Info'!C4571,'Customer Info'!C4571:C5070,1)</f>
        <v>#N/A</v>
      </c>
      <c r="I4579" s="6" t="e">
        <f>VLOOKUP('Customer Info'!E4571,'Customer Info'!E4571:E5070,1,0)</f>
        <v>#N/A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1192</v>
      </c>
      <c r="R4579" s="2" t="s">
        <v>28</v>
      </c>
      <c r="S4579" s="9">
        <f t="shared" si="359"/>
        <v>7.0000000000000007E-2</v>
      </c>
    </row>
    <row r="4580" spans="1:19" x14ac:dyDescent="0.3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e">
        <f>VLOOKUP('Customer Info'!B4572,'Customer Info'!B4572:B5071,1,0)</f>
        <v>#N/A</v>
      </c>
      <c r="H4580" s="6" t="e">
        <f>VLOOKUP('Customer Info'!C4572,'Customer Info'!C4572:C5071,1)</f>
        <v>#N/A</v>
      </c>
      <c r="I4580" s="6" t="e">
        <f>VLOOKUP('Customer Info'!E4572,'Customer Info'!E4572:E5071,1,0)</f>
        <v>#N/A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2130</v>
      </c>
      <c r="R4580" s="2" t="s">
        <v>28</v>
      </c>
      <c r="S4580" s="9">
        <f t="shared" si="359"/>
        <v>7.0000000000000007E-2</v>
      </c>
    </row>
    <row r="4581" spans="1:19" x14ac:dyDescent="0.3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e">
        <f>VLOOKUP('Customer Info'!B4573,'Customer Info'!B4573:B5072,1,0)</f>
        <v>#N/A</v>
      </c>
      <c r="H4581" s="6" t="e">
        <f>VLOOKUP('Customer Info'!C4573,'Customer Info'!C4573:C5072,1)</f>
        <v>#N/A</v>
      </c>
      <c r="I4581" s="6" t="e">
        <f>VLOOKUP('Customer Info'!E4573,'Customer Info'!E4573:E5072,1,0)</f>
        <v>#N/A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4</v>
      </c>
      <c r="R4581" s="2" t="s">
        <v>28</v>
      </c>
      <c r="S4581" s="9">
        <f t="shared" si="359"/>
        <v>0.02</v>
      </c>
    </row>
    <row r="4582" spans="1:19" x14ac:dyDescent="0.3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e">
        <f>VLOOKUP('Customer Info'!B4574,'Customer Info'!B4574:B5073,1,0)</f>
        <v>#N/A</v>
      </c>
      <c r="H4582" s="6" t="e">
        <f>VLOOKUP('Customer Info'!C4574,'Customer Info'!C4574:C5073,1)</f>
        <v>#N/A</v>
      </c>
      <c r="I4582" s="6" t="e">
        <f>VLOOKUP('Customer Info'!E4574,'Customer Info'!E4574:E5073,1,0)</f>
        <v>#N/A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270</v>
      </c>
      <c r="R4582" s="2" t="s">
        <v>50</v>
      </c>
      <c r="S4582" s="9">
        <f t="shared" si="359"/>
        <v>0.02</v>
      </c>
    </row>
    <row r="4583" spans="1:19" x14ac:dyDescent="0.3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e">
        <f>VLOOKUP('Customer Info'!B4575,'Customer Info'!B4575:B5074,1,0)</f>
        <v>#N/A</v>
      </c>
      <c r="H4583" s="6" t="e">
        <f>VLOOKUP('Customer Info'!C4575,'Customer Info'!C4575:C5074,1)</f>
        <v>#N/A</v>
      </c>
      <c r="I4583" s="6" t="e">
        <f>VLOOKUP('Customer Info'!E4575,'Customer Info'!E4575:E5074,1,0)</f>
        <v>#N/A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176</v>
      </c>
      <c r="R4583" s="2" t="s">
        <v>28</v>
      </c>
      <c r="S4583" s="9">
        <f t="shared" si="359"/>
        <v>0.02</v>
      </c>
    </row>
    <row r="4584" spans="1:19" x14ac:dyDescent="0.3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e">
        <f>VLOOKUP('Customer Info'!B4576,'Customer Info'!B4576:B5075,1,0)</f>
        <v>#N/A</v>
      </c>
      <c r="H4584" s="6" t="e">
        <f>VLOOKUP('Customer Info'!C4576,'Customer Info'!C4576:C5075,1)</f>
        <v>#N/A</v>
      </c>
      <c r="I4584" s="6" t="e">
        <f>VLOOKUP('Customer Info'!E4576,'Customer Info'!E4576:E5075,1,0)</f>
        <v>#N/A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30</v>
      </c>
      <c r="R4584" s="2" t="s">
        <v>50</v>
      </c>
      <c r="S4584" s="9">
        <f t="shared" si="359"/>
        <v>0.02</v>
      </c>
    </row>
    <row r="4585" spans="1:19" x14ac:dyDescent="0.3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e">
        <f>VLOOKUP('Customer Info'!B4577,'Customer Info'!B4577:B5076,1,0)</f>
        <v>#N/A</v>
      </c>
      <c r="H4585" s="6" t="e">
        <f>VLOOKUP('Customer Info'!C4577,'Customer Info'!C4577:C5076,1)</f>
        <v>#N/A</v>
      </c>
      <c r="I4585" s="6" t="e">
        <f>VLOOKUP('Customer Info'!E4577,'Customer Info'!E4577:E5076,1,0)</f>
        <v>#N/A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78</v>
      </c>
      <c r="R4585" s="2" t="s">
        <v>28</v>
      </c>
      <c r="S4585" s="9">
        <f t="shared" si="359"/>
        <v>0.02</v>
      </c>
    </row>
    <row r="4586" spans="1:19" x14ac:dyDescent="0.3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e">
        <f>VLOOKUP('Customer Info'!B4578,'Customer Info'!B4578:B5077,1,0)</f>
        <v>#N/A</v>
      </c>
      <c r="H4586" s="6" t="e">
        <f>VLOOKUP('Customer Info'!C4578,'Customer Info'!C4578:C5077,1)</f>
        <v>#N/A</v>
      </c>
      <c r="I4586" s="6" t="e">
        <f>VLOOKUP('Customer Info'!E4578,'Customer Info'!E4578:E5077,1,0)</f>
        <v>#N/A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50</v>
      </c>
      <c r="R4586" s="2" t="s">
        <v>50</v>
      </c>
      <c r="S4586" s="9">
        <f t="shared" si="359"/>
        <v>0.02</v>
      </c>
    </row>
    <row r="4587" spans="1:19" x14ac:dyDescent="0.3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e">
        <f>VLOOKUP('Customer Info'!B4579,'Customer Info'!B4579:B5078,1,0)</f>
        <v>#N/A</v>
      </c>
      <c r="H4587" s="6" t="e">
        <f>VLOOKUP('Customer Info'!C4579,'Customer Info'!C4579:C5078,1)</f>
        <v>#N/A</v>
      </c>
      <c r="I4587" s="6" t="e">
        <f>VLOOKUP('Customer Info'!E4579,'Customer Info'!E4579:E5078,1,0)</f>
        <v>#N/A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1215</v>
      </c>
      <c r="R4587" s="2" t="s">
        <v>28</v>
      </c>
      <c r="S4587" s="9">
        <f t="shared" si="359"/>
        <v>0.05</v>
      </c>
    </row>
    <row r="4588" spans="1:19" x14ac:dyDescent="0.3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e">
        <f>VLOOKUP('Customer Info'!B4580,'Customer Info'!B4580:B5079,1,0)</f>
        <v>#N/A</v>
      </c>
      <c r="H4588" s="6" t="e">
        <f>VLOOKUP('Customer Info'!C4580,'Customer Info'!C4580:C5079,1)</f>
        <v>#N/A</v>
      </c>
      <c r="I4588" s="6" t="e">
        <f>VLOOKUP('Customer Info'!E4580,'Customer Info'!E4580:E5079,1,0)</f>
        <v>#N/A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3066</v>
      </c>
      <c r="R4588" s="2" t="s">
        <v>28</v>
      </c>
      <c r="S4588" s="9">
        <f t="shared" si="359"/>
        <v>7.0000000000000007E-2</v>
      </c>
    </row>
    <row r="4589" spans="1:19" x14ac:dyDescent="0.3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e">
        <f>VLOOKUP('Customer Info'!B4581,'Customer Info'!B4581:B5080,1,0)</f>
        <v>#N/A</v>
      </c>
      <c r="H4589" s="6" t="e">
        <f>VLOOKUP('Customer Info'!C4581,'Customer Info'!C4581:C5080,1)</f>
        <v>#N/A</v>
      </c>
      <c r="I4589" s="6" t="e">
        <f>VLOOKUP('Customer Info'!E4581,'Customer Info'!E4581:E5080,1,0)</f>
        <v>#N/A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116</v>
      </c>
      <c r="R4589" s="2" t="s">
        <v>28</v>
      </c>
      <c r="S4589" s="9">
        <f t="shared" si="359"/>
        <v>0.05</v>
      </c>
    </row>
    <row r="4590" spans="1:19" x14ac:dyDescent="0.3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e">
        <f>VLOOKUP('Customer Info'!B4582,'Customer Info'!B4582:B5081,1,0)</f>
        <v>#N/A</v>
      </c>
      <c r="H4590" s="6" t="e">
        <f>VLOOKUP('Customer Info'!C4582,'Customer Info'!C4582:C5081,1)</f>
        <v>#N/A</v>
      </c>
      <c r="I4590" s="6" t="e">
        <f>VLOOKUP('Customer Info'!E4582,'Customer Info'!E4582:E5081,1,0)</f>
        <v>#N/A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153</v>
      </c>
      <c r="R4590" s="2" t="s">
        <v>28</v>
      </c>
      <c r="S4590" s="9">
        <f t="shared" si="359"/>
        <v>0.02</v>
      </c>
    </row>
    <row r="4591" spans="1:19" x14ac:dyDescent="0.3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e">
        <f>VLOOKUP('Customer Info'!B4583,'Customer Info'!B4583:B5082,1,0)</f>
        <v>#N/A</v>
      </c>
      <c r="H4591" s="6" t="e">
        <f>VLOOKUP('Customer Info'!C4583,'Customer Info'!C4583:C5082,1)</f>
        <v>#N/A</v>
      </c>
      <c r="I4591" s="6" t="e">
        <f>VLOOKUP('Customer Info'!E4583,'Customer Info'!E4583:E5082,1,0)</f>
        <v>#N/A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360</v>
      </c>
      <c r="R4591" s="2" t="s">
        <v>28</v>
      </c>
      <c r="S4591" s="9">
        <f t="shared" si="359"/>
        <v>0.05</v>
      </c>
    </row>
    <row r="4592" spans="1:19" x14ac:dyDescent="0.3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e">
        <f>VLOOKUP('Customer Info'!B4584,'Customer Info'!B4584:B5083,1,0)</f>
        <v>#N/A</v>
      </c>
      <c r="H4592" s="6" t="e">
        <f>VLOOKUP('Customer Info'!C4584,'Customer Info'!C4584:C5083,1)</f>
        <v>#N/A</v>
      </c>
      <c r="I4592" s="6" t="e">
        <f>VLOOKUP('Customer Info'!E4584,'Customer Info'!E4584:E5083,1,0)</f>
        <v>#N/A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128</v>
      </c>
      <c r="R4592" s="2" t="s">
        <v>28</v>
      </c>
      <c r="S4592" s="9">
        <f t="shared" si="359"/>
        <v>0.02</v>
      </c>
    </row>
    <row r="4593" spans="1:19" x14ac:dyDescent="0.3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e">
        <f>VLOOKUP('Customer Info'!B4585,'Customer Info'!B4585:B5084,1,0)</f>
        <v>#N/A</v>
      </c>
      <c r="H4593" s="6" t="e">
        <f>VLOOKUP('Customer Info'!C4585,'Customer Info'!C4585:C5084,1)</f>
        <v>#N/A</v>
      </c>
      <c r="I4593" s="6" t="e">
        <f>VLOOKUP('Customer Info'!E4585,'Customer Info'!E4585:E5084,1,0)</f>
        <v>#N/A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735</v>
      </c>
      <c r="R4593" s="2" t="s">
        <v>28</v>
      </c>
      <c r="S4593" s="9">
        <f t="shared" si="359"/>
        <v>0.05</v>
      </c>
    </row>
    <row r="4594" spans="1:19" x14ac:dyDescent="0.3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e">
        <f>VLOOKUP('Customer Info'!B4586,'Customer Info'!B4586:B5085,1,0)</f>
        <v>#N/A</v>
      </c>
      <c r="H4594" s="6" t="e">
        <f>VLOOKUP('Customer Info'!C4586,'Customer Info'!C4586:C5085,1)</f>
        <v>#N/A</v>
      </c>
      <c r="I4594" s="6" t="e">
        <f>VLOOKUP('Customer Info'!E4586,'Customer Info'!E4586:E5085,1,0)</f>
        <v>#N/A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168</v>
      </c>
      <c r="R4594" s="2" t="s">
        <v>28</v>
      </c>
      <c r="S4594" s="9">
        <f t="shared" si="359"/>
        <v>0.02</v>
      </c>
    </row>
    <row r="4595" spans="1:19" x14ac:dyDescent="0.3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e">
        <f>VLOOKUP('Customer Info'!B4587,'Customer Info'!B4587:B5086,1,0)</f>
        <v>#N/A</v>
      </c>
      <c r="H4595" s="6" t="e">
        <f>VLOOKUP('Customer Info'!C4587,'Customer Info'!C4587:C5086,1)</f>
        <v>#N/A</v>
      </c>
      <c r="I4595" s="6" t="e">
        <f>VLOOKUP('Customer Info'!E4587,'Customer Info'!E4587:E5086,1,0)</f>
        <v>#N/A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1212</v>
      </c>
      <c r="R4595" s="2" t="s">
        <v>28</v>
      </c>
      <c r="S4595" s="9">
        <f t="shared" si="359"/>
        <v>0.05</v>
      </c>
    </row>
    <row r="4596" spans="1:19" x14ac:dyDescent="0.3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e">
        <f>VLOOKUP('Customer Info'!B4588,'Customer Info'!B4588:B5087,1,0)</f>
        <v>#N/A</v>
      </c>
      <c r="H4596" s="6" t="e">
        <f>VLOOKUP('Customer Info'!C4588,'Customer Info'!C4588:C5087,1)</f>
        <v>#N/A</v>
      </c>
      <c r="I4596" s="6" t="e">
        <f>VLOOKUP('Customer Info'!E4588,'Customer Info'!E4588:E5087,1,0)</f>
        <v>#N/A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65</v>
      </c>
      <c r="R4596" s="2" t="s">
        <v>56</v>
      </c>
      <c r="S4596" s="9">
        <f t="shared" si="359"/>
        <v>0.02</v>
      </c>
    </row>
    <row r="4597" spans="1:19" x14ac:dyDescent="0.3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e">
        <f>VLOOKUP('Customer Info'!B4589,'Customer Info'!B4589:B5088,1,0)</f>
        <v>#N/A</v>
      </c>
      <c r="H4597" s="6" t="e">
        <f>VLOOKUP('Customer Info'!C4589,'Customer Info'!C4589:C5088,1)</f>
        <v>#N/A</v>
      </c>
      <c r="I4597" s="6" t="e">
        <f>VLOOKUP('Customer Info'!E4589,'Customer Info'!E4589:E5088,1,0)</f>
        <v>#N/A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15</v>
      </c>
      <c r="R4597" s="2" t="s">
        <v>28</v>
      </c>
      <c r="S4597" s="9">
        <f t="shared" si="359"/>
        <v>0.02</v>
      </c>
    </row>
    <row r="4598" spans="1:19" x14ac:dyDescent="0.3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e">
        <f>VLOOKUP('Customer Info'!B4590,'Customer Info'!B4590:B5089,1,0)</f>
        <v>#N/A</v>
      </c>
      <c r="H4598" s="6" t="e">
        <f>VLOOKUP('Customer Info'!C4590,'Customer Info'!C4590:C5089,1)</f>
        <v>#N/A</v>
      </c>
      <c r="I4598" s="6" t="e">
        <f>VLOOKUP('Customer Info'!E4590,'Customer Info'!E4590:E5089,1,0)</f>
        <v>#N/A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93</v>
      </c>
      <c r="R4598" s="2" t="s">
        <v>26</v>
      </c>
      <c r="S4598" s="9">
        <f t="shared" si="359"/>
        <v>0.02</v>
      </c>
    </row>
    <row r="4599" spans="1:19" x14ac:dyDescent="0.3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e">
        <f>VLOOKUP('Customer Info'!B4591,'Customer Info'!B4591:B5090,1,0)</f>
        <v>#N/A</v>
      </c>
      <c r="H4599" s="6" t="e">
        <f>VLOOKUP('Customer Info'!C4591,'Customer Info'!C4591:C5090,1)</f>
        <v>#N/A</v>
      </c>
      <c r="I4599" s="6" t="e">
        <f>VLOOKUP('Customer Info'!E4591,'Customer Info'!E4591:E5090,1,0)</f>
        <v>#N/A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90</v>
      </c>
      <c r="R4599" s="2" t="s">
        <v>28</v>
      </c>
      <c r="S4599" s="9">
        <f t="shared" si="359"/>
        <v>0.02</v>
      </c>
    </row>
    <row r="4600" spans="1:19" x14ac:dyDescent="0.3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e">
        <f>VLOOKUP('Customer Info'!B4592,'Customer Info'!B4592:B5091,1,0)</f>
        <v>#N/A</v>
      </c>
      <c r="H4600" s="6" t="e">
        <f>VLOOKUP('Customer Info'!C4592,'Customer Info'!C4592:C5091,1)</f>
        <v>#N/A</v>
      </c>
      <c r="I4600" s="6" t="e">
        <f>VLOOKUP('Customer Info'!E4592,'Customer Info'!E4592:E5091,1,0)</f>
        <v>#N/A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39</v>
      </c>
      <c r="R4600" s="2" t="s">
        <v>28</v>
      </c>
      <c r="S4600" s="9">
        <f t="shared" si="359"/>
        <v>0.02</v>
      </c>
    </row>
    <row r="4601" spans="1:19" x14ac:dyDescent="0.3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e">
        <f>VLOOKUP('Customer Info'!B4593,'Customer Info'!B4593:B5092,1,0)</f>
        <v>#N/A</v>
      </c>
      <c r="H4601" s="6" t="e">
        <f>VLOOKUP('Customer Info'!C4593,'Customer Info'!C4593:C5092,1)</f>
        <v>#N/A</v>
      </c>
      <c r="I4601" s="6" t="e">
        <f>VLOOKUP('Customer Info'!E4593,'Customer Info'!E4593:E5092,1,0)</f>
        <v>#N/A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74</v>
      </c>
      <c r="R4601" s="2" t="s">
        <v>50</v>
      </c>
      <c r="S4601" s="9">
        <f t="shared" si="359"/>
        <v>0.02</v>
      </c>
    </row>
    <row r="4602" spans="1:19" x14ac:dyDescent="0.3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e">
        <f>VLOOKUP('Customer Info'!B4594,'Customer Info'!B4594:B5093,1,0)</f>
        <v>#N/A</v>
      </c>
      <c r="H4602" s="6" t="e">
        <f>VLOOKUP('Customer Info'!C4594,'Customer Info'!C4594:C5093,1)</f>
        <v>#N/A</v>
      </c>
      <c r="I4602" s="6" t="e">
        <f>VLOOKUP('Customer Info'!E4594,'Customer Info'!E4594:E5093,1,0)</f>
        <v>#N/A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1118</v>
      </c>
      <c r="R4602" s="2" t="s">
        <v>28</v>
      </c>
      <c r="S4602" s="9">
        <f t="shared" si="359"/>
        <v>0.05</v>
      </c>
    </row>
    <row r="4603" spans="1:19" x14ac:dyDescent="0.3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e">
        <f>VLOOKUP('Customer Info'!B4595,'Customer Info'!B4595:B5094,1,0)</f>
        <v>#N/A</v>
      </c>
      <c r="H4603" s="6" t="e">
        <f>VLOOKUP('Customer Info'!C4595,'Customer Info'!C4595:C5094,1)</f>
        <v>#N/A</v>
      </c>
      <c r="I4603" s="6" t="e">
        <f>VLOOKUP('Customer Info'!E4595,'Customer Info'!E4595:E5094,1,0)</f>
        <v>#N/A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3200</v>
      </c>
      <c r="R4603" s="2" t="s">
        <v>26</v>
      </c>
      <c r="S4603" s="9">
        <f t="shared" si="359"/>
        <v>7.0000000000000007E-2</v>
      </c>
    </row>
    <row r="4604" spans="1:19" x14ac:dyDescent="0.3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e">
        <f>VLOOKUP('Customer Info'!B4596,'Customer Info'!B4596:B5095,1,0)</f>
        <v>#N/A</v>
      </c>
      <c r="H4604" s="6" t="e">
        <f>VLOOKUP('Customer Info'!C4596,'Customer Info'!C4596:C5095,1)</f>
        <v>#N/A</v>
      </c>
      <c r="I4604" s="6" t="e">
        <f>VLOOKUP('Customer Info'!E4596,'Customer Info'!E4596:E5095,1,0)</f>
        <v>#N/A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890</v>
      </c>
      <c r="R4604" s="2" t="s">
        <v>28</v>
      </c>
      <c r="S4604" s="9">
        <f t="shared" si="359"/>
        <v>0.05</v>
      </c>
    </row>
    <row r="4605" spans="1:19" x14ac:dyDescent="0.3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e">
        <f>VLOOKUP('Customer Info'!B4597,'Customer Info'!B4597:B5096,1,0)</f>
        <v>#N/A</v>
      </c>
      <c r="H4605" s="6" t="e">
        <f>VLOOKUP('Customer Info'!C4597,'Customer Info'!C4597:C5096,1)</f>
        <v>#N/A</v>
      </c>
      <c r="I4605" s="6" t="e">
        <f>VLOOKUP('Customer Info'!E4597,'Customer Info'!E4597:E5096,1,0)</f>
        <v>#N/A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388</v>
      </c>
      <c r="R4605" s="2" t="s">
        <v>28</v>
      </c>
      <c r="S4605" s="9">
        <f t="shared" si="359"/>
        <v>0.05</v>
      </c>
    </row>
    <row r="4606" spans="1:19" x14ac:dyDescent="0.3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e">
        <f>VLOOKUP('Customer Info'!B4598,'Customer Info'!B4598:B5097,1,0)</f>
        <v>#N/A</v>
      </c>
      <c r="H4606" s="6" t="e">
        <f>VLOOKUP('Customer Info'!C4598,'Customer Info'!C4598:C5097,1)</f>
        <v>#N/A</v>
      </c>
      <c r="I4606" s="6" t="e">
        <f>VLOOKUP('Customer Info'!E4598,'Customer Info'!E4598:E5097,1,0)</f>
        <v>#N/A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8577</v>
      </c>
      <c r="R4606" s="2" t="s">
        <v>50</v>
      </c>
      <c r="S4606" s="9">
        <f t="shared" si="359"/>
        <v>0.09</v>
      </c>
    </row>
    <row r="4607" spans="1:19" x14ac:dyDescent="0.3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e">
        <f>VLOOKUP('Customer Info'!B4599,'Customer Info'!B4599:B5098,1,0)</f>
        <v>#N/A</v>
      </c>
      <c r="H4607" s="6" t="e">
        <f>VLOOKUP('Customer Info'!C4599,'Customer Info'!C4599:C5098,1)</f>
        <v>#N/A</v>
      </c>
      <c r="I4607" s="6" t="e">
        <f>VLOOKUP('Customer Info'!E4599,'Customer Info'!E4599:E5098,1,0)</f>
        <v>#N/A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20</v>
      </c>
      <c r="R4607" s="2" t="s">
        <v>50</v>
      </c>
      <c r="S4607" s="9">
        <f t="shared" si="359"/>
        <v>0.02</v>
      </c>
    </row>
    <row r="4608" spans="1:19" x14ac:dyDescent="0.3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e">
        <f>VLOOKUP('Customer Info'!B4600,'Customer Info'!B4600:B5099,1,0)</f>
        <v>#N/A</v>
      </c>
      <c r="H4608" s="6" t="e">
        <f>VLOOKUP('Customer Info'!C4600,'Customer Info'!C4600:C5099,1)</f>
        <v>#N/A</v>
      </c>
      <c r="I4608" s="6" t="e">
        <f>VLOOKUP('Customer Info'!E4600,'Customer Info'!E4600:E5099,1,0)</f>
        <v>#N/A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330</v>
      </c>
      <c r="R4608" s="2" t="s">
        <v>28</v>
      </c>
      <c r="S4608" s="9">
        <f t="shared" si="359"/>
        <v>0.05</v>
      </c>
    </row>
    <row r="4609" spans="1:19" x14ac:dyDescent="0.3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e">
        <f>VLOOKUP('Customer Info'!B4601,'Customer Info'!B4601:B5100,1,0)</f>
        <v>#N/A</v>
      </c>
      <c r="H4609" s="6" t="e">
        <f>VLOOKUP('Customer Info'!C4601,'Customer Info'!C4601:C5100,1)</f>
        <v>#N/A</v>
      </c>
      <c r="I4609" s="6" t="e">
        <f>VLOOKUP('Customer Info'!E4601,'Customer Info'!E4601:E5100,1,0)</f>
        <v>#N/A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10</v>
      </c>
      <c r="R4609" s="2" t="s">
        <v>50</v>
      </c>
      <c r="S4609" s="9">
        <f t="shared" si="359"/>
        <v>0.02</v>
      </c>
    </row>
    <row r="4610" spans="1:19" x14ac:dyDescent="0.3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e">
        <f>VLOOKUP('Customer Info'!B4602,'Customer Info'!B4602:B5101,1,0)</f>
        <v>#N/A</v>
      </c>
      <c r="H4610" s="6" t="e">
        <f>VLOOKUP('Customer Info'!C4602,'Customer Info'!C4602:C5101,1)</f>
        <v>#N/A</v>
      </c>
      <c r="I4610" s="6" t="e">
        <f>VLOOKUP('Customer Info'!E4602,'Customer Info'!E4602:E5101,1,0)</f>
        <v>#N/A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9180</v>
      </c>
      <c r="R4610" s="2" t="s">
        <v>28</v>
      </c>
      <c r="S4610" s="9">
        <f t="shared" si="359"/>
        <v>0.09</v>
      </c>
    </row>
    <row r="4611" spans="1:19" x14ac:dyDescent="0.3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e">
        <f>VLOOKUP('Customer Info'!B4603,'Customer Info'!B4603:B5102,1,0)</f>
        <v>#N/A</v>
      </c>
      <c r="H4611" s="6" t="e">
        <f>VLOOKUP('Customer Info'!C4603,'Customer Info'!C4603:C5102,1)</f>
        <v>#N/A</v>
      </c>
      <c r="I4611" s="6" t="e">
        <f>VLOOKUP('Customer Info'!E4603,'Customer Info'!E4603:E5102,1,0)</f>
        <v>#N/A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19</v>
      </c>
      <c r="R4611" s="2" t="s">
        <v>50</v>
      </c>
      <c r="S4611" s="9">
        <f t="shared" si="359"/>
        <v>0.02</v>
      </c>
    </row>
    <row r="4612" spans="1:19" x14ac:dyDescent="0.3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e">
        <f>VLOOKUP('Customer Info'!B4604,'Customer Info'!B4604:B5103,1,0)</f>
        <v>#N/A</v>
      </c>
      <c r="H4612" s="6" t="e">
        <f>VLOOKUP('Customer Info'!C4604,'Customer Info'!C4604:C5103,1)</f>
        <v>#N/A</v>
      </c>
      <c r="I4612" s="6" t="e">
        <f>VLOOKUP('Customer Info'!E4604,'Customer Info'!E4604:E5103,1,0)</f>
        <v>#N/A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273</v>
      </c>
      <c r="R4612" s="2" t="s">
        <v>28</v>
      </c>
      <c r="S4612" s="9">
        <f t="shared" si="359"/>
        <v>0.05</v>
      </c>
    </row>
    <row r="4613" spans="1:19" x14ac:dyDescent="0.3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e">
        <f>VLOOKUP('Customer Info'!B4605,'Customer Info'!B4605:B5104,1,0)</f>
        <v>#N/A</v>
      </c>
      <c r="H4613" s="6" t="e">
        <f>VLOOKUP('Customer Info'!C4605,'Customer Info'!C4605:C5104,1)</f>
        <v>#N/A</v>
      </c>
      <c r="I4613" s="6" t="e">
        <f>VLOOKUP('Customer Info'!E4605,'Customer Info'!E4605:E5104,1,0)</f>
        <v>#N/A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696</v>
      </c>
      <c r="R4613" s="2" t="s">
        <v>28</v>
      </c>
      <c r="S4613" s="9">
        <f t="shared" si="359"/>
        <v>0.05</v>
      </c>
    </row>
    <row r="4614" spans="1:19" x14ac:dyDescent="0.3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e">
        <f>VLOOKUP('Customer Info'!B4606,'Customer Info'!B4606:B5105,1,0)</f>
        <v>#N/A</v>
      </c>
      <c r="H4614" s="6" t="e">
        <f>VLOOKUP('Customer Info'!C4606,'Customer Info'!C4606:C5105,1)</f>
        <v>#N/A</v>
      </c>
      <c r="I4614" s="6" t="e">
        <f>VLOOKUP('Customer Info'!E4606,'Customer Info'!E4606:E5105,1,0)</f>
        <v>#N/A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732</v>
      </c>
      <c r="R4614" s="2" t="s">
        <v>28</v>
      </c>
      <c r="S4614" s="9">
        <f t="shared" si="359"/>
        <v>0.05</v>
      </c>
    </row>
    <row r="4615" spans="1:19" x14ac:dyDescent="0.3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e">
        <f>VLOOKUP('Customer Info'!B4607,'Customer Info'!B4607:B5106,1,0)</f>
        <v>#N/A</v>
      </c>
      <c r="H4615" s="6" t="e">
        <f>VLOOKUP('Customer Info'!C4607,'Customer Info'!C4607:C5106,1)</f>
        <v>#N/A</v>
      </c>
      <c r="I4615" s="6" t="e">
        <f>VLOOKUP('Customer Info'!E4607,'Customer Info'!E4607:E5106,1,0)</f>
        <v>#N/A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308</v>
      </c>
      <c r="R4615" s="2" t="s">
        <v>28</v>
      </c>
      <c r="S4615" s="9">
        <f t="shared" si="359"/>
        <v>0.05</v>
      </c>
    </row>
    <row r="4616" spans="1:19" x14ac:dyDescent="0.3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e">
        <f>VLOOKUP('Customer Info'!B4608,'Customer Info'!B4608:B5107,1,0)</f>
        <v>#N/A</v>
      </c>
      <c r="H4616" s="6" t="e">
        <f>VLOOKUP('Customer Info'!C4608,'Customer Info'!C4608:C5107,1)</f>
        <v>#N/A</v>
      </c>
      <c r="I4616" s="6" t="e">
        <f>VLOOKUP('Customer Info'!E4608,'Customer Info'!E4608:E5107,1,0)</f>
        <v>#N/A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144</v>
      </c>
      <c r="R4616" s="2" t="s">
        <v>50</v>
      </c>
      <c r="S4616" s="9">
        <f t="shared" si="359"/>
        <v>0.02</v>
      </c>
    </row>
    <row r="4617" spans="1:19" x14ac:dyDescent="0.3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e">
        <f>VLOOKUP('Customer Info'!B4609,'Customer Info'!B4609:B5108,1,0)</f>
        <v>#N/A</v>
      </c>
      <c r="H4617" s="6" t="e">
        <f>VLOOKUP('Customer Info'!C4609,'Customer Info'!C4609:C5108,1)</f>
        <v>#N/A</v>
      </c>
      <c r="I4617" s="6" t="e">
        <f>VLOOKUP('Customer Info'!E4609,'Customer Info'!E4609:E5108,1,0)</f>
        <v>#N/A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60</v>
      </c>
      <c r="R4617" s="2" t="s">
        <v>50</v>
      </c>
      <c r="S4617" s="9">
        <f t="shared" si="359"/>
        <v>0.02</v>
      </c>
    </row>
    <row r="4618" spans="1:19" x14ac:dyDescent="0.3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e">
        <f>VLOOKUP('Customer Info'!B4610,'Customer Info'!B4610:B5109,1,0)</f>
        <v>#N/A</v>
      </c>
      <c r="H4618" s="6" t="e">
        <f>VLOOKUP('Customer Info'!C4610,'Customer Info'!C4610:C5109,1)</f>
        <v>#N/A</v>
      </c>
      <c r="I4618" s="6" t="e">
        <f>VLOOKUP('Customer Info'!E4610,'Customer Info'!E4610:E5109,1,0)</f>
        <v>#N/A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15</v>
      </c>
      <c r="R4618" s="2" t="s">
        <v>50</v>
      </c>
      <c r="S4618" s="9">
        <f t="shared" si="359"/>
        <v>0.02</v>
      </c>
    </row>
    <row r="4619" spans="1:19" x14ac:dyDescent="0.3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e">
        <f>VLOOKUP('Customer Info'!B4611,'Customer Info'!B4611:B5110,1,0)</f>
        <v>#N/A</v>
      </c>
      <c r="H4619" s="6" t="e">
        <f>VLOOKUP('Customer Info'!C4611,'Customer Info'!C4611:C5110,1)</f>
        <v>#N/A</v>
      </c>
      <c r="I4619" s="6" t="e">
        <f>VLOOKUP('Customer Info'!E4611,'Customer Info'!E4611:E5110,1,0)</f>
        <v>#N/A</v>
      </c>
      <c r="J4619" s="2">
        <v>1615</v>
      </c>
      <c r="K4619" s="2">
        <v>1525</v>
      </c>
      <c r="L4619" s="2">
        <v>2</v>
      </c>
      <c r="M4619" s="7">
        <f t="shared" ref="M4619:M4682" si="360">(K4619*L4619)</f>
        <v>3050</v>
      </c>
      <c r="N4619" s="7">
        <f t="shared" ref="N4619:N4682" si="361">(J4619*L4619)</f>
        <v>3230</v>
      </c>
      <c r="O4619" s="2">
        <v>52</v>
      </c>
      <c r="P4619" s="8">
        <f t="shared" ref="P4619:P4682" si="362">(N4619+O4619)</f>
        <v>3282</v>
      </c>
      <c r="Q4619" s="8">
        <f t="shared" ref="Q4619:Q4682" si="363">(N4619-M4619)</f>
        <v>180</v>
      </c>
      <c r="R4619" s="2" t="s">
        <v>50</v>
      </c>
      <c r="S4619" s="9">
        <f t="shared" ref="S4619:S4682" si="364">_xlfn.IFS(P4619&gt;250000,0.15,P4619&gt;100000,0.12,P4619&gt;50000,0.09,P4619&gt;25000,0.07,P4619&gt;5000,0.05,
 TRUE,0.02)</f>
        <v>0.02</v>
      </c>
    </row>
    <row r="4620" spans="1:19" x14ac:dyDescent="0.3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e">
        <f>VLOOKUP('Customer Info'!B4612,'Customer Info'!B4612:B5111,1,0)</f>
        <v>#N/A</v>
      </c>
      <c r="H4620" s="6" t="e">
        <f>VLOOKUP('Customer Info'!C4612,'Customer Info'!C4612:C5111,1)</f>
        <v>#N/A</v>
      </c>
      <c r="I4620" s="6" t="e">
        <f>VLOOKUP('Customer Info'!E4612,'Customer Info'!E4612:E5111,1,0)</f>
        <v>#N/A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42</v>
      </c>
      <c r="R4620" s="2" t="s">
        <v>28</v>
      </c>
      <c r="S4620" s="9">
        <f t="shared" si="364"/>
        <v>0.02</v>
      </c>
    </row>
    <row r="4621" spans="1:19" x14ac:dyDescent="0.3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e">
        <f>VLOOKUP('Customer Info'!B4613,'Customer Info'!B4613:B5112,1,0)</f>
        <v>#N/A</v>
      </c>
      <c r="H4621" s="6" t="e">
        <f>VLOOKUP('Customer Info'!C4613,'Customer Info'!C4613:C5112,1)</f>
        <v>#N/A</v>
      </c>
      <c r="I4621" s="6" t="e">
        <f>VLOOKUP('Customer Info'!E4613,'Customer Info'!E4613:E5112,1,0)</f>
        <v>#N/A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320</v>
      </c>
      <c r="R4621" s="2" t="s">
        <v>50</v>
      </c>
      <c r="S4621" s="9">
        <f t="shared" si="364"/>
        <v>0.02</v>
      </c>
    </row>
    <row r="4622" spans="1:19" x14ac:dyDescent="0.3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e">
        <f>VLOOKUP('Customer Info'!B4614,'Customer Info'!B4614:B5113,1,0)</f>
        <v>#N/A</v>
      </c>
      <c r="H4622" s="6" t="e">
        <f>VLOOKUP('Customer Info'!C4614,'Customer Info'!C4614:C5113,1)</f>
        <v>#N/A</v>
      </c>
      <c r="I4622" s="6" t="e">
        <f>VLOOKUP('Customer Info'!E4614,'Customer Info'!E4614:E5113,1,0)</f>
        <v>#N/A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193</v>
      </c>
      <c r="R4622" s="2" t="s">
        <v>28</v>
      </c>
      <c r="S4622" s="9">
        <f t="shared" si="364"/>
        <v>0.02</v>
      </c>
    </row>
    <row r="4623" spans="1:19" x14ac:dyDescent="0.3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e">
        <f>VLOOKUP('Customer Info'!B4615,'Customer Info'!B4615:B5114,1,0)</f>
        <v>#N/A</v>
      </c>
      <c r="H4623" s="6" t="e">
        <f>VLOOKUP('Customer Info'!C4615,'Customer Info'!C4615:C5114,1)</f>
        <v>#N/A</v>
      </c>
      <c r="I4623" s="6" t="e">
        <f>VLOOKUP('Customer Info'!E4615,'Customer Info'!E4615:E5114,1,0)</f>
        <v>#N/A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1118</v>
      </c>
      <c r="R4623" s="2" t="s">
        <v>50</v>
      </c>
      <c r="S4623" s="9">
        <f t="shared" si="364"/>
        <v>0.05</v>
      </c>
    </row>
    <row r="4624" spans="1:19" x14ac:dyDescent="0.3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e">
        <f>VLOOKUP('Customer Info'!B4616,'Customer Info'!B4616:B5115,1,0)</f>
        <v>#N/A</v>
      </c>
      <c r="H4624" s="6" t="e">
        <f>VLOOKUP('Customer Info'!C4616,'Customer Info'!C4616:C5115,1)</f>
        <v>#N/A</v>
      </c>
      <c r="I4624" s="6" t="e">
        <f>VLOOKUP('Customer Info'!E4616,'Customer Info'!E4616:E5115,1,0)</f>
        <v>#N/A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192</v>
      </c>
      <c r="R4624" s="2" t="s">
        <v>28</v>
      </c>
      <c r="S4624" s="9">
        <f t="shared" si="364"/>
        <v>0.02</v>
      </c>
    </row>
    <row r="4625" spans="1:19" x14ac:dyDescent="0.3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e">
        <f>VLOOKUP('Customer Info'!B4617,'Customer Info'!B4617:B5116,1,0)</f>
        <v>#N/A</v>
      </c>
      <c r="H4625" s="6" t="e">
        <f>VLOOKUP('Customer Info'!C4617,'Customer Info'!C4617:C5116,1)</f>
        <v>#N/A</v>
      </c>
      <c r="I4625" s="6" t="e">
        <f>VLOOKUP('Customer Info'!E4617,'Customer Info'!E4617:E5116,1,0)</f>
        <v>#N/A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75</v>
      </c>
      <c r="R4625" s="2" t="s">
        <v>28</v>
      </c>
      <c r="S4625" s="9">
        <f t="shared" si="364"/>
        <v>0.02</v>
      </c>
    </row>
    <row r="4626" spans="1:19" x14ac:dyDescent="0.3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e">
        <f>VLOOKUP('Customer Info'!B4618,'Customer Info'!B4618:B5117,1,0)</f>
        <v>#N/A</v>
      </c>
      <c r="H4626" s="6" t="e">
        <f>VLOOKUP('Customer Info'!C4618,'Customer Info'!C4618:C5117,1)</f>
        <v>#N/A</v>
      </c>
      <c r="I4626" s="6" t="e">
        <f>VLOOKUP('Customer Info'!E4618,'Customer Info'!E4618:E5117,1,0)</f>
        <v>#N/A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4</v>
      </c>
      <c r="R4626" s="2" t="s">
        <v>26</v>
      </c>
      <c r="S4626" s="9">
        <f t="shared" si="364"/>
        <v>0.02</v>
      </c>
    </row>
    <row r="4627" spans="1:19" x14ac:dyDescent="0.3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e">
        <f>VLOOKUP('Customer Info'!B4619,'Customer Info'!B4619:B5118,1,0)</f>
        <v>#N/A</v>
      </c>
      <c r="H4627" s="6" t="e">
        <f>VLOOKUP('Customer Info'!C4619,'Customer Info'!C4619:C5118,1)</f>
        <v>#N/A</v>
      </c>
      <c r="I4627" s="6" t="e">
        <f>VLOOKUP('Customer Info'!E4619,'Customer Info'!E4619:E5118,1,0)</f>
        <v>#N/A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128</v>
      </c>
      <c r="R4627" s="2" t="s">
        <v>50</v>
      </c>
      <c r="S4627" s="9">
        <f t="shared" si="364"/>
        <v>0.02</v>
      </c>
    </row>
    <row r="4628" spans="1:19" x14ac:dyDescent="0.3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e">
        <f>VLOOKUP('Customer Info'!B4620,'Customer Info'!B4620:B5119,1,0)</f>
        <v>#N/A</v>
      </c>
      <c r="H4628" s="6" t="e">
        <f>VLOOKUP('Customer Info'!C4620,'Customer Info'!C4620:C5119,1)</f>
        <v>#N/A</v>
      </c>
      <c r="I4628" s="6" t="e">
        <f>VLOOKUP('Customer Info'!E4620,'Customer Info'!E4620:E5119,1,0)</f>
        <v>#N/A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184</v>
      </c>
      <c r="R4628" s="2" t="s">
        <v>28</v>
      </c>
      <c r="S4628" s="9">
        <f t="shared" si="364"/>
        <v>0.02</v>
      </c>
    </row>
    <row r="4629" spans="1:19" x14ac:dyDescent="0.3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e">
        <f>VLOOKUP('Customer Info'!B4621,'Customer Info'!B4621:B5120,1,0)</f>
        <v>#N/A</v>
      </c>
      <c r="H4629" s="6" t="e">
        <f>VLOOKUP('Customer Info'!C4621,'Customer Info'!C4621:C5120,1)</f>
        <v>#N/A</v>
      </c>
      <c r="I4629" s="6" t="e">
        <f>VLOOKUP('Customer Info'!E4621,'Customer Info'!E4621:E5120,1,0)</f>
        <v>#N/A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240</v>
      </c>
      <c r="R4629" s="2" t="s">
        <v>28</v>
      </c>
      <c r="S4629" s="9">
        <f t="shared" si="364"/>
        <v>0.05</v>
      </c>
    </row>
    <row r="4630" spans="1:19" x14ac:dyDescent="0.3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e">
        <f>VLOOKUP('Customer Info'!B4622,'Customer Info'!B4622:B5121,1,0)</f>
        <v>#N/A</v>
      </c>
      <c r="H4630" s="6" t="e">
        <f>VLOOKUP('Customer Info'!C4622,'Customer Info'!C4622:C5121,1)</f>
        <v>#N/A</v>
      </c>
      <c r="I4630" s="6" t="e">
        <f>VLOOKUP('Customer Info'!E4622,'Customer Info'!E4622:E5121,1,0)</f>
        <v>#N/A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668</v>
      </c>
      <c r="R4630" s="2" t="s">
        <v>26</v>
      </c>
      <c r="S4630" s="9">
        <f t="shared" si="364"/>
        <v>0.05</v>
      </c>
    </row>
    <row r="4631" spans="1:19" x14ac:dyDescent="0.3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e">
        <f>VLOOKUP('Customer Info'!B4623,'Customer Info'!B4623:B5122,1,0)</f>
        <v>#N/A</v>
      </c>
      <c r="H4631" s="6" t="e">
        <f>VLOOKUP('Customer Info'!C4623,'Customer Info'!C4623:C5122,1)</f>
        <v>#N/A</v>
      </c>
      <c r="I4631" s="6" t="e">
        <f>VLOOKUP('Customer Info'!E4623,'Customer Info'!E4623:E5122,1,0)</f>
        <v>#N/A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2345</v>
      </c>
      <c r="R4631" s="2" t="s">
        <v>50</v>
      </c>
      <c r="S4631" s="9">
        <f t="shared" si="364"/>
        <v>7.0000000000000007E-2</v>
      </c>
    </row>
    <row r="4632" spans="1:19" x14ac:dyDescent="0.3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e">
        <f>VLOOKUP('Customer Info'!B4624,'Customer Info'!B4624:B5123,1,0)</f>
        <v>#N/A</v>
      </c>
      <c r="H4632" s="6" t="e">
        <f>VLOOKUP('Customer Info'!C4624,'Customer Info'!C4624:C5123,1)</f>
        <v>#N/A</v>
      </c>
      <c r="I4632" s="6" t="e">
        <f>VLOOKUP('Customer Info'!E4624,'Customer Info'!E4624:E5123,1,0)</f>
        <v>#N/A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77</v>
      </c>
      <c r="R4632" s="2" t="s">
        <v>28</v>
      </c>
      <c r="S4632" s="9">
        <f t="shared" si="364"/>
        <v>0.02</v>
      </c>
    </row>
    <row r="4633" spans="1:19" x14ac:dyDescent="0.3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e">
        <f>VLOOKUP('Customer Info'!B4625,'Customer Info'!B4625:B5124,1,0)</f>
        <v>#N/A</v>
      </c>
      <c r="H4633" s="6" t="e">
        <f>VLOOKUP('Customer Info'!C4625,'Customer Info'!C4625:C5124,1)</f>
        <v>#N/A</v>
      </c>
      <c r="I4633" s="6" t="e">
        <f>VLOOKUP('Customer Info'!E4625,'Customer Info'!E4625:E5124,1,0)</f>
        <v>#N/A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30</v>
      </c>
      <c r="R4633" s="2" t="s">
        <v>50</v>
      </c>
      <c r="S4633" s="9">
        <f t="shared" si="364"/>
        <v>0.02</v>
      </c>
    </row>
    <row r="4634" spans="1:19" x14ac:dyDescent="0.3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e">
        <f>VLOOKUP('Customer Info'!B4626,'Customer Info'!B4626:B5125,1,0)</f>
        <v>#N/A</v>
      </c>
      <c r="H4634" s="6" t="e">
        <f>VLOOKUP('Customer Info'!C4626,'Customer Info'!C4626:C5125,1)</f>
        <v>#N/A</v>
      </c>
      <c r="I4634" s="6" t="e">
        <f>VLOOKUP('Customer Info'!E4626,'Customer Info'!E4626:E5125,1,0)</f>
        <v>#N/A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206</v>
      </c>
      <c r="R4634" s="2" t="s">
        <v>50</v>
      </c>
      <c r="S4634" s="9">
        <f t="shared" si="364"/>
        <v>0.02</v>
      </c>
    </row>
    <row r="4635" spans="1:19" x14ac:dyDescent="0.3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e">
        <f>VLOOKUP('Customer Info'!B4627,'Customer Info'!B4627:B5126,1,0)</f>
        <v>#N/A</v>
      </c>
      <c r="H4635" s="6" t="e">
        <f>VLOOKUP('Customer Info'!C4627,'Customer Info'!C4627:C5126,1)</f>
        <v>#N/A</v>
      </c>
      <c r="I4635" s="6" t="e">
        <f>VLOOKUP('Customer Info'!E4627,'Customer Info'!E4627:E5126,1,0)</f>
        <v>#N/A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97</v>
      </c>
      <c r="R4635" s="2" t="s">
        <v>50</v>
      </c>
      <c r="S4635" s="9">
        <f t="shared" si="364"/>
        <v>0.02</v>
      </c>
    </row>
    <row r="4636" spans="1:19" x14ac:dyDescent="0.3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e">
        <f>VLOOKUP('Customer Info'!B4628,'Customer Info'!B4628:B5127,1,0)</f>
        <v>#N/A</v>
      </c>
      <c r="H4636" s="6" t="e">
        <f>VLOOKUP('Customer Info'!C4628,'Customer Info'!C4628:C5127,1)</f>
        <v>#N/A</v>
      </c>
      <c r="I4636" s="6" t="e">
        <f>VLOOKUP('Customer Info'!E4628,'Customer Info'!E4628:E5127,1,0)</f>
        <v>#N/A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60</v>
      </c>
      <c r="R4636" s="2" t="s">
        <v>28</v>
      </c>
      <c r="S4636" s="9">
        <f t="shared" si="364"/>
        <v>0.02</v>
      </c>
    </row>
    <row r="4637" spans="1:19" x14ac:dyDescent="0.3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e">
        <f>VLOOKUP('Customer Info'!B4629,'Customer Info'!B4629:B5128,1,0)</f>
        <v>#N/A</v>
      </c>
      <c r="H4637" s="6" t="e">
        <f>VLOOKUP('Customer Info'!C4629,'Customer Info'!C4629:C5128,1)</f>
        <v>#N/A</v>
      </c>
      <c r="I4637" s="6" t="e">
        <f>VLOOKUP('Customer Info'!E4629,'Customer Info'!E4629:E5128,1,0)</f>
        <v>#N/A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590</v>
      </c>
      <c r="R4637" s="2" t="s">
        <v>50</v>
      </c>
      <c r="S4637" s="9">
        <f t="shared" si="364"/>
        <v>0.05</v>
      </c>
    </row>
    <row r="4638" spans="1:19" x14ac:dyDescent="0.3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e">
        <f>VLOOKUP('Customer Info'!B4630,'Customer Info'!B4630:B5129,1,0)</f>
        <v>#N/A</v>
      </c>
      <c r="H4638" s="6" t="e">
        <f>VLOOKUP('Customer Info'!C4630,'Customer Info'!C4630:C5129,1)</f>
        <v>#N/A</v>
      </c>
      <c r="I4638" s="6" t="e">
        <f>VLOOKUP('Customer Info'!E4630,'Customer Info'!E4630:E5129,1,0)</f>
        <v>#N/A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236</v>
      </c>
      <c r="R4638" s="2" t="s">
        <v>50</v>
      </c>
      <c r="S4638" s="9">
        <f t="shared" si="364"/>
        <v>0.02</v>
      </c>
    </row>
    <row r="4639" spans="1:19" x14ac:dyDescent="0.3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e">
        <f>VLOOKUP('Customer Info'!B4631,'Customer Info'!B4631:B5130,1,0)</f>
        <v>#N/A</v>
      </c>
      <c r="H4639" s="6" t="e">
        <f>VLOOKUP('Customer Info'!C4631,'Customer Info'!C4631:C5130,1)</f>
        <v>#N/A</v>
      </c>
      <c r="I4639" s="6" t="e">
        <f>VLOOKUP('Customer Info'!E4631,'Customer Info'!E4631:E5130,1,0)</f>
        <v>#N/A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958</v>
      </c>
      <c r="R4639" s="2" t="s">
        <v>50</v>
      </c>
      <c r="S4639" s="9">
        <f t="shared" si="364"/>
        <v>0.05</v>
      </c>
    </row>
    <row r="4640" spans="1:19" x14ac:dyDescent="0.3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e">
        <f>VLOOKUP('Customer Info'!B4632,'Customer Info'!B4632:B5131,1,0)</f>
        <v>#N/A</v>
      </c>
      <c r="H4640" s="6" t="e">
        <f>VLOOKUP('Customer Info'!C4632,'Customer Info'!C4632:C5131,1)</f>
        <v>#N/A</v>
      </c>
      <c r="I4640" s="6" t="e">
        <f>VLOOKUP('Customer Info'!E4632,'Customer Info'!E4632:E5131,1,0)</f>
        <v>#N/A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384</v>
      </c>
      <c r="R4640" s="2" t="s">
        <v>28</v>
      </c>
      <c r="S4640" s="9">
        <f t="shared" si="364"/>
        <v>0.02</v>
      </c>
    </row>
    <row r="4641" spans="1:19" x14ac:dyDescent="0.3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e">
        <f>VLOOKUP('Customer Info'!B4633,'Customer Info'!B4633:B5132,1,0)</f>
        <v>#N/A</v>
      </c>
      <c r="H4641" s="6" t="e">
        <f>VLOOKUP('Customer Info'!C4633,'Customer Info'!C4633:C5132,1)</f>
        <v>#N/A</v>
      </c>
      <c r="I4641" s="6" t="e">
        <f>VLOOKUP('Customer Info'!E4633,'Customer Info'!E4633:E5132,1,0)</f>
        <v>#N/A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4138</v>
      </c>
      <c r="R4641" s="2" t="s">
        <v>28</v>
      </c>
      <c r="S4641" s="9">
        <f t="shared" si="364"/>
        <v>0.09</v>
      </c>
    </row>
    <row r="4642" spans="1:19" x14ac:dyDescent="0.3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e">
        <f>VLOOKUP('Customer Info'!B4634,'Customer Info'!B4634:B5133,1,0)</f>
        <v>#N/A</v>
      </c>
      <c r="H4642" s="6" t="e">
        <f>VLOOKUP('Customer Info'!C4634,'Customer Info'!C4634:C5133,1)</f>
        <v>#N/A</v>
      </c>
      <c r="I4642" s="6" t="e">
        <f>VLOOKUP('Customer Info'!E4634,'Customer Info'!E4634:E5133,1,0)</f>
        <v>#N/A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11207</v>
      </c>
      <c r="R4642" s="2" t="s">
        <v>28</v>
      </c>
      <c r="S4642" s="9">
        <f t="shared" si="364"/>
        <v>0.12</v>
      </c>
    </row>
    <row r="4643" spans="1:19" x14ac:dyDescent="0.3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e">
        <f>VLOOKUP('Customer Info'!B4635,'Customer Info'!B4635:B5134,1,0)</f>
        <v>#N/A</v>
      </c>
      <c r="H4643" s="6" t="e">
        <f>VLOOKUP('Customer Info'!C4635,'Customer Info'!C4635:C5134,1)</f>
        <v>#N/A</v>
      </c>
      <c r="I4643" s="6" t="e">
        <f>VLOOKUP('Customer Info'!E4635,'Customer Info'!E4635:E5134,1,0)</f>
        <v>#N/A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12</v>
      </c>
      <c r="R4643" s="2" t="s">
        <v>28</v>
      </c>
      <c r="S4643" s="9">
        <f t="shared" si="364"/>
        <v>0.02</v>
      </c>
    </row>
    <row r="4644" spans="1:19" x14ac:dyDescent="0.3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e">
        <f>VLOOKUP('Customer Info'!B4636,'Customer Info'!B4636:B5135,1,0)</f>
        <v>#N/A</v>
      </c>
      <c r="H4644" s="6" t="e">
        <f>VLOOKUP('Customer Info'!C4636,'Customer Info'!C4636:C5135,1)</f>
        <v>#N/A</v>
      </c>
      <c r="I4644" s="6" t="e">
        <f>VLOOKUP('Customer Info'!E4636,'Customer Info'!E4636:E5135,1,0)</f>
        <v>#N/A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363</v>
      </c>
      <c r="R4644" s="2" t="s">
        <v>28</v>
      </c>
      <c r="S4644" s="9">
        <f t="shared" si="364"/>
        <v>0.02</v>
      </c>
    </row>
    <row r="4645" spans="1:19" x14ac:dyDescent="0.3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e">
        <f>VLOOKUP('Customer Info'!B4637,'Customer Info'!B4637:B5136,1,0)</f>
        <v>#N/A</v>
      </c>
      <c r="H4645" s="6" t="e">
        <f>VLOOKUP('Customer Info'!C4637,'Customer Info'!C4637:C5136,1)</f>
        <v>#N/A</v>
      </c>
      <c r="I4645" s="6" t="e">
        <f>VLOOKUP('Customer Info'!E4637,'Customer Info'!E4637:E5136,1,0)</f>
        <v>#N/A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1120</v>
      </c>
      <c r="R4645" s="2" t="s">
        <v>28</v>
      </c>
      <c r="S4645" s="9">
        <f t="shared" si="364"/>
        <v>0.05</v>
      </c>
    </row>
    <row r="4646" spans="1:19" x14ac:dyDescent="0.3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e">
        <f>VLOOKUP('Customer Info'!B4638,'Customer Info'!B4638:B5137,1,0)</f>
        <v>#N/A</v>
      </c>
      <c r="H4646" s="6" t="e">
        <f>VLOOKUP('Customer Info'!C4638,'Customer Info'!C4638:C5137,1)</f>
        <v>#N/A</v>
      </c>
      <c r="I4646" s="6" t="e">
        <f>VLOOKUP('Customer Info'!E4638,'Customer Info'!E4638:E5137,1,0)</f>
        <v>#N/A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1716</v>
      </c>
      <c r="R4646" s="2" t="s">
        <v>28</v>
      </c>
      <c r="S4646" s="9">
        <f t="shared" si="364"/>
        <v>7.0000000000000007E-2</v>
      </c>
    </row>
    <row r="4647" spans="1:19" x14ac:dyDescent="0.3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e">
        <f>VLOOKUP('Customer Info'!B4639,'Customer Info'!B4639:B5138,1,0)</f>
        <v>#N/A</v>
      </c>
      <c r="H4647" s="6" t="e">
        <f>VLOOKUP('Customer Info'!C4639,'Customer Info'!C4639:C5138,1)</f>
        <v>#N/A</v>
      </c>
      <c r="I4647" s="6" t="e">
        <f>VLOOKUP('Customer Info'!E4639,'Customer Info'!E4639:E5138,1,0)</f>
        <v>#N/A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1392</v>
      </c>
      <c r="R4647" s="2" t="s">
        <v>56</v>
      </c>
      <c r="S4647" s="9">
        <f t="shared" si="364"/>
        <v>0.05</v>
      </c>
    </row>
    <row r="4648" spans="1:19" x14ac:dyDescent="0.3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e">
        <f>VLOOKUP('Customer Info'!B4640,'Customer Info'!B4640:B5139,1,0)</f>
        <v>#N/A</v>
      </c>
      <c r="H4648" s="6" t="e">
        <f>VLOOKUP('Customer Info'!C4640,'Customer Info'!C4640:C5139,1)</f>
        <v>#N/A</v>
      </c>
      <c r="I4648" s="6" t="e">
        <f>VLOOKUP('Customer Info'!E4640,'Customer Info'!E4640:E5139,1,0)</f>
        <v>#N/A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45</v>
      </c>
      <c r="R4648" s="2" t="s">
        <v>28</v>
      </c>
      <c r="S4648" s="9">
        <f t="shared" si="364"/>
        <v>0.02</v>
      </c>
    </row>
    <row r="4649" spans="1:19" x14ac:dyDescent="0.3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e">
        <f>VLOOKUP('Customer Info'!B4641,'Customer Info'!B4641:B5140,1,0)</f>
        <v>#N/A</v>
      </c>
      <c r="H4649" s="6" t="e">
        <f>VLOOKUP('Customer Info'!C4641,'Customer Info'!C4641:C5140,1)</f>
        <v>#N/A</v>
      </c>
      <c r="I4649" s="6" t="e">
        <f>VLOOKUP('Customer Info'!E4641,'Customer Info'!E4641:E5140,1,0)</f>
        <v>#N/A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612</v>
      </c>
      <c r="R4649" s="2" t="s">
        <v>28</v>
      </c>
      <c r="S4649" s="9">
        <f t="shared" si="364"/>
        <v>0.05</v>
      </c>
    </row>
    <row r="4650" spans="1:19" x14ac:dyDescent="0.3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e">
        <f>VLOOKUP('Customer Info'!B4642,'Customer Info'!B4642:B5141,1,0)</f>
        <v>#N/A</v>
      </c>
      <c r="H4650" s="6" t="e">
        <f>VLOOKUP('Customer Info'!C4642,'Customer Info'!C4642:C5141,1)</f>
        <v>#N/A</v>
      </c>
      <c r="I4650" s="6" t="e">
        <f>VLOOKUP('Customer Info'!E4642,'Customer Info'!E4642:E5141,1,0)</f>
        <v>#N/A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1173</v>
      </c>
      <c r="R4650" s="2" t="s">
        <v>28</v>
      </c>
      <c r="S4650" s="9">
        <f t="shared" si="364"/>
        <v>0.05</v>
      </c>
    </row>
    <row r="4651" spans="1:19" x14ac:dyDescent="0.3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e">
        <f>VLOOKUP('Customer Info'!B4643,'Customer Info'!B4643:B5142,1,0)</f>
        <v>#N/A</v>
      </c>
      <c r="H4651" s="6" t="e">
        <f>VLOOKUP('Customer Info'!C4643,'Customer Info'!C4643:C5142,1)</f>
        <v>#N/A</v>
      </c>
      <c r="I4651" s="6" t="e">
        <f>VLOOKUP('Customer Info'!E4643,'Customer Info'!E4643:E5142,1,0)</f>
        <v>#N/A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336</v>
      </c>
      <c r="R4651" s="2" t="s">
        <v>28</v>
      </c>
      <c r="S4651" s="9">
        <f t="shared" si="364"/>
        <v>0.05</v>
      </c>
    </row>
    <row r="4652" spans="1:19" x14ac:dyDescent="0.3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e">
        <f>VLOOKUP('Customer Info'!B4644,'Customer Info'!B4644:B5143,1,0)</f>
        <v>#N/A</v>
      </c>
      <c r="H4652" s="6" t="e">
        <f>VLOOKUP('Customer Info'!C4644,'Customer Info'!C4644:C5143,1)</f>
        <v>#N/A</v>
      </c>
      <c r="I4652" s="6" t="e">
        <f>VLOOKUP('Customer Info'!E4644,'Customer Info'!E4644:E5143,1,0)</f>
        <v>#N/A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524</v>
      </c>
      <c r="R4652" s="2" t="s">
        <v>50</v>
      </c>
      <c r="S4652" s="9">
        <f t="shared" si="364"/>
        <v>0.05</v>
      </c>
    </row>
    <row r="4653" spans="1:19" x14ac:dyDescent="0.3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e">
        <f>VLOOKUP('Customer Info'!B4645,'Customer Info'!B4645:B5144,1,0)</f>
        <v>#N/A</v>
      </c>
      <c r="H4653" s="6" t="e">
        <f>VLOOKUP('Customer Info'!C4645,'Customer Info'!C4645:C5144,1)</f>
        <v>#N/A</v>
      </c>
      <c r="I4653" s="6" t="e">
        <f>VLOOKUP('Customer Info'!E4645,'Customer Info'!E4645:E5144,1,0)</f>
        <v>#N/A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100</v>
      </c>
      <c r="R4653" s="2" t="s">
        <v>28</v>
      </c>
      <c r="S4653" s="9">
        <f t="shared" si="364"/>
        <v>0.02</v>
      </c>
    </row>
    <row r="4654" spans="1:19" x14ac:dyDescent="0.3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e">
        <f>VLOOKUP('Customer Info'!B4646,'Customer Info'!B4646:B5145,1,0)</f>
        <v>#N/A</v>
      </c>
      <c r="H4654" s="6" t="e">
        <f>VLOOKUP('Customer Info'!C4646,'Customer Info'!C4646:C5145,1)</f>
        <v>#N/A</v>
      </c>
      <c r="I4654" s="6" t="e">
        <f>VLOOKUP('Customer Info'!E4646,'Customer Info'!E4646:E5145,1,0)</f>
        <v>#N/A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36</v>
      </c>
      <c r="R4654" s="2" t="s">
        <v>50</v>
      </c>
      <c r="S4654" s="9">
        <f t="shared" si="364"/>
        <v>0.02</v>
      </c>
    </row>
    <row r="4655" spans="1:19" x14ac:dyDescent="0.3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e">
        <f>VLOOKUP('Customer Info'!B4647,'Customer Info'!B4647:B5146,1,0)</f>
        <v>#N/A</v>
      </c>
      <c r="H4655" s="6" t="e">
        <f>VLOOKUP('Customer Info'!C4647,'Customer Info'!C4647:C5146,1)</f>
        <v>#N/A</v>
      </c>
      <c r="I4655" s="6" t="e">
        <f>VLOOKUP('Customer Info'!E4647,'Customer Info'!E4647:E5146,1,0)</f>
        <v>#N/A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1704</v>
      </c>
      <c r="R4655" s="2" t="s">
        <v>28</v>
      </c>
      <c r="S4655" s="9">
        <f t="shared" si="364"/>
        <v>0.05</v>
      </c>
    </row>
    <row r="4656" spans="1:19" x14ac:dyDescent="0.3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e">
        <f>VLOOKUP('Customer Info'!B4648,'Customer Info'!B4648:B5147,1,0)</f>
        <v>#N/A</v>
      </c>
      <c r="H4656" s="6" t="e">
        <f>VLOOKUP('Customer Info'!C4648,'Customer Info'!C4648:C5147,1)</f>
        <v>#N/A</v>
      </c>
      <c r="I4656" s="6" t="e">
        <f>VLOOKUP('Customer Info'!E4648,'Customer Info'!E4648:E5147,1,0)</f>
        <v>#N/A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545</v>
      </c>
      <c r="R4656" s="2" t="s">
        <v>50</v>
      </c>
      <c r="S4656" s="9">
        <f t="shared" si="364"/>
        <v>0.05</v>
      </c>
    </row>
    <row r="4657" spans="1:19" x14ac:dyDescent="0.3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e">
        <f>VLOOKUP('Customer Info'!B4649,'Customer Info'!B4649:B5148,1,0)</f>
        <v>#N/A</v>
      </c>
      <c r="H4657" s="6" t="e">
        <f>VLOOKUP('Customer Info'!C4649,'Customer Info'!C4649:C5148,1)</f>
        <v>#N/A</v>
      </c>
      <c r="I4657" s="6" t="e">
        <f>VLOOKUP('Customer Info'!E4649,'Customer Info'!E4649:E5148,1,0)</f>
        <v>#N/A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183</v>
      </c>
      <c r="R4657" s="2" t="s">
        <v>28</v>
      </c>
      <c r="S4657" s="9">
        <f t="shared" si="364"/>
        <v>0.02</v>
      </c>
    </row>
    <row r="4658" spans="1:19" x14ac:dyDescent="0.3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e">
        <f>VLOOKUP('Customer Info'!B4650,'Customer Info'!B4650:B5149,1,0)</f>
        <v>#N/A</v>
      </c>
      <c r="H4658" s="6" t="e">
        <f>VLOOKUP('Customer Info'!C4650,'Customer Info'!C4650:C5149,1)</f>
        <v>#N/A</v>
      </c>
      <c r="I4658" s="6" t="e">
        <f>VLOOKUP('Customer Info'!E4650,'Customer Info'!E4650:E5149,1,0)</f>
        <v>#N/A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2723</v>
      </c>
      <c r="R4658" s="2" t="s">
        <v>28</v>
      </c>
      <c r="S4658" s="9">
        <f t="shared" si="364"/>
        <v>7.0000000000000007E-2</v>
      </c>
    </row>
    <row r="4659" spans="1:19" x14ac:dyDescent="0.3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e">
        <f>VLOOKUP('Customer Info'!B4651,'Customer Info'!B4651:B5150,1,0)</f>
        <v>#N/A</v>
      </c>
      <c r="H4659" s="6" t="e">
        <f>VLOOKUP('Customer Info'!C4651,'Customer Info'!C4651:C5150,1)</f>
        <v>#N/A</v>
      </c>
      <c r="I4659" s="6" t="e">
        <f>VLOOKUP('Customer Info'!E4651,'Customer Info'!E4651:E5150,1,0)</f>
        <v>#N/A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978</v>
      </c>
      <c r="R4659" s="2" t="s">
        <v>28</v>
      </c>
      <c r="S4659" s="9">
        <f t="shared" si="364"/>
        <v>0.05</v>
      </c>
    </row>
    <row r="4660" spans="1:19" x14ac:dyDescent="0.3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e">
        <f>VLOOKUP('Customer Info'!B4652,'Customer Info'!B4652:B5151,1,0)</f>
        <v>#N/A</v>
      </c>
      <c r="H4660" s="6" t="e">
        <f>VLOOKUP('Customer Info'!C4652,'Customer Info'!C4652:C5151,1)</f>
        <v>#N/A</v>
      </c>
      <c r="I4660" s="6" t="e">
        <f>VLOOKUP('Customer Info'!E4652,'Customer Info'!E4652:E5151,1,0)</f>
        <v>#N/A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42</v>
      </c>
      <c r="R4660" s="2" t="s">
        <v>28</v>
      </c>
      <c r="S4660" s="9">
        <f t="shared" si="364"/>
        <v>0.02</v>
      </c>
    </row>
    <row r="4661" spans="1:19" x14ac:dyDescent="0.3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e">
        <f>VLOOKUP('Customer Info'!B4653,'Customer Info'!B4653:B5152,1,0)</f>
        <v>#N/A</v>
      </c>
      <c r="H4661" s="6" t="e">
        <f>VLOOKUP('Customer Info'!C4653,'Customer Info'!C4653:C5152,1)</f>
        <v>#N/A</v>
      </c>
      <c r="I4661" s="6" t="e">
        <f>VLOOKUP('Customer Info'!E4653,'Customer Info'!E4653:E5152,1,0)</f>
        <v>#N/A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33</v>
      </c>
      <c r="R4661" s="2" t="s">
        <v>50</v>
      </c>
      <c r="S4661" s="9">
        <f t="shared" si="364"/>
        <v>0.02</v>
      </c>
    </row>
    <row r="4662" spans="1:19" x14ac:dyDescent="0.3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e">
        <f>VLOOKUP('Customer Info'!B4654,'Customer Info'!B4654:B5153,1,0)</f>
        <v>#N/A</v>
      </c>
      <c r="H4662" s="6" t="e">
        <f>VLOOKUP('Customer Info'!C4654,'Customer Info'!C4654:C5153,1)</f>
        <v>#N/A</v>
      </c>
      <c r="I4662" s="6" t="e">
        <f>VLOOKUP('Customer Info'!E4654,'Customer Info'!E4654:E5153,1,0)</f>
        <v>#N/A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1080</v>
      </c>
      <c r="R4662" s="2" t="s">
        <v>28</v>
      </c>
      <c r="S4662" s="9">
        <f t="shared" si="364"/>
        <v>0.05</v>
      </c>
    </row>
    <row r="4663" spans="1:19" x14ac:dyDescent="0.3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e">
        <f>VLOOKUP('Customer Info'!B4655,'Customer Info'!B4655:B5154,1,0)</f>
        <v>#N/A</v>
      </c>
      <c r="H4663" s="6" t="e">
        <f>VLOOKUP('Customer Info'!C4655,'Customer Info'!C4655:C5154,1)</f>
        <v>#N/A</v>
      </c>
      <c r="I4663" s="6" t="e">
        <f>VLOOKUP('Customer Info'!E4655,'Customer Info'!E4655:E5154,1,0)</f>
        <v>#N/A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84</v>
      </c>
      <c r="R4663" s="2" t="s">
        <v>28</v>
      </c>
      <c r="S4663" s="9">
        <f t="shared" si="364"/>
        <v>0.02</v>
      </c>
    </row>
    <row r="4664" spans="1:19" x14ac:dyDescent="0.3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e">
        <f>VLOOKUP('Customer Info'!B4656,'Customer Info'!B4656:B5155,1,0)</f>
        <v>#N/A</v>
      </c>
      <c r="H4664" s="6" t="e">
        <f>VLOOKUP('Customer Info'!C4656,'Customer Info'!C4656:C5155,1)</f>
        <v>#N/A</v>
      </c>
      <c r="I4664" s="6" t="e">
        <f>VLOOKUP('Customer Info'!E4656,'Customer Info'!E4656:E5155,1,0)</f>
        <v>#N/A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7344</v>
      </c>
      <c r="R4664" s="2" t="s">
        <v>28</v>
      </c>
      <c r="S4664" s="9">
        <f t="shared" si="364"/>
        <v>0.09</v>
      </c>
    </row>
    <row r="4665" spans="1:19" x14ac:dyDescent="0.3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e">
        <f>VLOOKUP('Customer Info'!B4657,'Customer Info'!B4657:B5156,1,0)</f>
        <v>#N/A</v>
      </c>
      <c r="H4665" s="6" t="e">
        <f>VLOOKUP('Customer Info'!C4657,'Customer Info'!C4657:C5156,1)</f>
        <v>#N/A</v>
      </c>
      <c r="I4665" s="6" t="e">
        <f>VLOOKUP('Customer Info'!E4657,'Customer Info'!E4657:E5156,1,0)</f>
        <v>#N/A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135</v>
      </c>
      <c r="R4665" s="2" t="s">
        <v>50</v>
      </c>
      <c r="S4665" s="9">
        <f t="shared" si="364"/>
        <v>0.02</v>
      </c>
    </row>
    <row r="4666" spans="1:19" x14ac:dyDescent="0.3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e">
        <f>VLOOKUP('Customer Info'!B4658,'Customer Info'!B4658:B5157,1,0)</f>
        <v>#N/A</v>
      </c>
      <c r="H4666" s="6" t="e">
        <f>VLOOKUP('Customer Info'!C4658,'Customer Info'!C4658:C5157,1)</f>
        <v>#N/A</v>
      </c>
      <c r="I4666" s="6" t="e">
        <f>VLOOKUP('Customer Info'!E4658,'Customer Info'!E4658:E5157,1,0)</f>
        <v>#N/A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220</v>
      </c>
      <c r="R4666" s="2" t="s">
        <v>56</v>
      </c>
      <c r="S4666" s="9">
        <f t="shared" si="364"/>
        <v>0.05</v>
      </c>
    </row>
    <row r="4667" spans="1:19" x14ac:dyDescent="0.3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e">
        <f>VLOOKUP('Customer Info'!B4659,'Customer Info'!B4659:B5158,1,0)</f>
        <v>#N/A</v>
      </c>
      <c r="H4667" s="6" t="e">
        <f>VLOOKUP('Customer Info'!C4659,'Customer Info'!C4659:C5158,1)</f>
        <v>#N/A</v>
      </c>
      <c r="I4667" s="6" t="e">
        <f>VLOOKUP('Customer Info'!E4659,'Customer Info'!E4659:E5158,1,0)</f>
        <v>#N/A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90</v>
      </c>
      <c r="R4667" s="2" t="s">
        <v>50</v>
      </c>
      <c r="S4667" s="9">
        <f t="shared" si="364"/>
        <v>0.02</v>
      </c>
    </row>
    <row r="4668" spans="1:19" x14ac:dyDescent="0.3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e">
        <f>VLOOKUP('Customer Info'!B4660,'Customer Info'!B4660:B5159,1,0)</f>
        <v>#N/A</v>
      </c>
      <c r="H4668" s="6" t="e">
        <f>VLOOKUP('Customer Info'!C4660,'Customer Info'!C4660:C5159,1)</f>
        <v>#N/A</v>
      </c>
      <c r="I4668" s="6" t="e">
        <f>VLOOKUP('Customer Info'!E4660,'Customer Info'!E4660:E5159,1,0)</f>
        <v>#N/A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148</v>
      </c>
      <c r="R4668" s="2" t="s">
        <v>50</v>
      </c>
      <c r="S4668" s="9">
        <f t="shared" si="364"/>
        <v>0.02</v>
      </c>
    </row>
    <row r="4669" spans="1:19" x14ac:dyDescent="0.3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e">
        <f>VLOOKUP('Customer Info'!B4661,'Customer Info'!B4661:B5160,1,0)</f>
        <v>#N/A</v>
      </c>
      <c r="H4669" s="6" t="e">
        <f>VLOOKUP('Customer Info'!C4661,'Customer Info'!C4661:C5160,1)</f>
        <v>#N/A</v>
      </c>
      <c r="I4669" s="6" t="e">
        <f>VLOOKUP('Customer Info'!E4661,'Customer Info'!E4661:E5160,1,0)</f>
        <v>#N/A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1071</v>
      </c>
      <c r="R4669" s="2" t="s">
        <v>28</v>
      </c>
      <c r="S4669" s="9">
        <f t="shared" si="364"/>
        <v>0.09</v>
      </c>
    </row>
    <row r="4670" spans="1:19" x14ac:dyDescent="0.3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e">
        <f>VLOOKUP('Customer Info'!B4662,'Customer Info'!B4662:B5161,1,0)</f>
        <v>#N/A</v>
      </c>
      <c r="H4670" s="6" t="e">
        <f>VLOOKUP('Customer Info'!C4662,'Customer Info'!C4662:C5161,1)</f>
        <v>#N/A</v>
      </c>
      <c r="I4670" s="6" t="e">
        <f>VLOOKUP('Customer Info'!E4662,'Customer Info'!E4662:E5161,1,0)</f>
        <v>#N/A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156</v>
      </c>
      <c r="R4670" s="2" t="s">
        <v>26</v>
      </c>
      <c r="S4670" s="9">
        <f t="shared" si="364"/>
        <v>0.02</v>
      </c>
    </row>
    <row r="4671" spans="1:19" x14ac:dyDescent="0.3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e">
        <f>VLOOKUP('Customer Info'!B4663,'Customer Info'!B4663:B5162,1,0)</f>
        <v>#N/A</v>
      </c>
      <c r="H4671" s="6" t="e">
        <f>VLOOKUP('Customer Info'!C4663,'Customer Info'!C4663:C5162,1)</f>
        <v>#N/A</v>
      </c>
      <c r="I4671" s="6" t="e">
        <f>VLOOKUP('Customer Info'!E4663,'Customer Info'!E4663:E5162,1,0)</f>
        <v>#N/A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1141</v>
      </c>
      <c r="R4671" s="2" t="s">
        <v>28</v>
      </c>
      <c r="S4671" s="9">
        <f t="shared" si="364"/>
        <v>0.05</v>
      </c>
    </row>
    <row r="4672" spans="1:19" x14ac:dyDescent="0.3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e">
        <f>VLOOKUP('Customer Info'!B4664,'Customer Info'!B4664:B5163,1,0)</f>
        <v>#N/A</v>
      </c>
      <c r="H4672" s="6" t="e">
        <f>VLOOKUP('Customer Info'!C4664,'Customer Info'!C4664:C5163,1)</f>
        <v>#N/A</v>
      </c>
      <c r="I4672" s="6" t="e">
        <f>VLOOKUP('Customer Info'!E4664,'Customer Info'!E4664:E5163,1,0)</f>
        <v>#N/A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176</v>
      </c>
      <c r="R4672" s="2" t="s">
        <v>50</v>
      </c>
      <c r="S4672" s="9">
        <f t="shared" si="364"/>
        <v>0.02</v>
      </c>
    </row>
    <row r="4673" spans="1:19" x14ac:dyDescent="0.3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e">
        <f>VLOOKUP('Customer Info'!B4665,'Customer Info'!B4665:B5164,1,0)</f>
        <v>#N/A</v>
      </c>
      <c r="H4673" s="6" t="e">
        <f>VLOOKUP('Customer Info'!C4665,'Customer Info'!C4665:C5164,1)</f>
        <v>#N/A</v>
      </c>
      <c r="I4673" s="6" t="e">
        <f>VLOOKUP('Customer Info'!E4665,'Customer Info'!E4665:E5164,1,0)</f>
        <v>#N/A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63</v>
      </c>
      <c r="R4673" s="2" t="s">
        <v>50</v>
      </c>
      <c r="S4673" s="9">
        <f t="shared" si="364"/>
        <v>0.02</v>
      </c>
    </row>
    <row r="4674" spans="1:19" x14ac:dyDescent="0.3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e">
        <f>VLOOKUP('Customer Info'!B4666,'Customer Info'!B4666:B5165,1,0)</f>
        <v>#N/A</v>
      </c>
      <c r="H4674" s="6" t="e">
        <f>VLOOKUP('Customer Info'!C4666,'Customer Info'!C4666:C5165,1)</f>
        <v>#N/A</v>
      </c>
      <c r="I4674" s="6" t="e">
        <f>VLOOKUP('Customer Info'!E4666,'Customer Info'!E4666:E5165,1,0)</f>
        <v>#N/A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685</v>
      </c>
      <c r="R4674" s="2" t="s">
        <v>28</v>
      </c>
      <c r="S4674" s="9">
        <f t="shared" si="364"/>
        <v>0.05</v>
      </c>
    </row>
    <row r="4675" spans="1:19" x14ac:dyDescent="0.3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e">
        <f>VLOOKUP('Customer Info'!B4667,'Customer Info'!B4667:B5166,1,0)</f>
        <v>#N/A</v>
      </c>
      <c r="H4675" s="6" t="e">
        <f>VLOOKUP('Customer Info'!C4667,'Customer Info'!C4667:C5166,1)</f>
        <v>#N/A</v>
      </c>
      <c r="I4675" s="6" t="e">
        <f>VLOOKUP('Customer Info'!E4667,'Customer Info'!E4667:E5166,1,0)</f>
        <v>#N/A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10</v>
      </c>
      <c r="R4675" s="2" t="s">
        <v>28</v>
      </c>
      <c r="S4675" s="9">
        <f t="shared" si="364"/>
        <v>0.02</v>
      </c>
    </row>
    <row r="4676" spans="1:19" x14ac:dyDescent="0.3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e">
        <f>VLOOKUP('Customer Info'!B4668,'Customer Info'!B4668:B5167,1,0)</f>
        <v>#N/A</v>
      </c>
      <c r="H4676" s="6" t="e">
        <f>VLOOKUP('Customer Info'!C4668,'Customer Info'!C4668:C5167,1)</f>
        <v>#N/A</v>
      </c>
      <c r="I4676" s="6" t="e">
        <f>VLOOKUP('Customer Info'!E4668,'Customer Info'!E4668:E5167,1,0)</f>
        <v>#N/A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32</v>
      </c>
      <c r="R4676" s="2" t="s">
        <v>28</v>
      </c>
      <c r="S4676" s="9">
        <f t="shared" si="364"/>
        <v>0.02</v>
      </c>
    </row>
    <row r="4677" spans="1:19" x14ac:dyDescent="0.3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e">
        <f>VLOOKUP('Customer Info'!B4669,'Customer Info'!B4669:B5168,1,0)</f>
        <v>#N/A</v>
      </c>
      <c r="H4677" s="6" t="e">
        <f>VLOOKUP('Customer Info'!C4669,'Customer Info'!C4669:C5168,1)</f>
        <v>#N/A</v>
      </c>
      <c r="I4677" s="6" t="e">
        <f>VLOOKUP('Customer Info'!E4669,'Customer Info'!E4669:E5168,1,0)</f>
        <v>#N/A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323</v>
      </c>
      <c r="R4677" s="2" t="s">
        <v>26</v>
      </c>
      <c r="S4677" s="9">
        <f t="shared" si="364"/>
        <v>0.02</v>
      </c>
    </row>
    <row r="4678" spans="1:19" x14ac:dyDescent="0.3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e">
        <f>VLOOKUP('Customer Info'!B4670,'Customer Info'!B4670:B5169,1,0)</f>
        <v>#N/A</v>
      </c>
      <c r="H4678" s="6" t="e">
        <f>VLOOKUP('Customer Info'!C4670,'Customer Info'!C4670:C5169,1)</f>
        <v>#N/A</v>
      </c>
      <c r="I4678" s="6" t="e">
        <f>VLOOKUP('Customer Info'!E4670,'Customer Info'!E4670:E5169,1,0)</f>
        <v>#N/A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338</v>
      </c>
      <c r="R4678" s="2" t="s">
        <v>50</v>
      </c>
      <c r="S4678" s="9">
        <f t="shared" si="364"/>
        <v>0.05</v>
      </c>
    </row>
    <row r="4679" spans="1:19" x14ac:dyDescent="0.3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e">
        <f>VLOOKUP('Customer Info'!B4671,'Customer Info'!B4671:B5170,1,0)</f>
        <v>#N/A</v>
      </c>
      <c r="H4679" s="6" t="e">
        <f>VLOOKUP('Customer Info'!C4671,'Customer Info'!C4671:C5170,1)</f>
        <v>#N/A</v>
      </c>
      <c r="I4679" s="6" t="e">
        <f>VLOOKUP('Customer Info'!E4671,'Customer Info'!E4671:E5170,1,0)</f>
        <v>#N/A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430</v>
      </c>
      <c r="R4679" s="2" t="s">
        <v>50</v>
      </c>
      <c r="S4679" s="9">
        <f t="shared" si="364"/>
        <v>0.05</v>
      </c>
    </row>
    <row r="4680" spans="1:19" x14ac:dyDescent="0.3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e">
        <f>VLOOKUP('Customer Info'!B4672,'Customer Info'!B4672:B5171,1,0)</f>
        <v>#N/A</v>
      </c>
      <c r="H4680" s="6" t="e">
        <f>VLOOKUP('Customer Info'!C4672,'Customer Info'!C4672:C5171,1)</f>
        <v>#N/A</v>
      </c>
      <c r="I4680" s="6" t="e">
        <f>VLOOKUP('Customer Info'!E4672,'Customer Info'!E4672:E5171,1,0)</f>
        <v>#N/A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64</v>
      </c>
      <c r="R4680" s="2" t="s">
        <v>50</v>
      </c>
      <c r="S4680" s="9">
        <f t="shared" si="364"/>
        <v>0.02</v>
      </c>
    </row>
    <row r="4681" spans="1:19" x14ac:dyDescent="0.3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e">
        <f>VLOOKUP('Customer Info'!B4673,'Customer Info'!B4673:B5172,1,0)</f>
        <v>#N/A</v>
      </c>
      <c r="H4681" s="6" t="e">
        <f>VLOOKUP('Customer Info'!C4673,'Customer Info'!C4673:C5172,1)</f>
        <v>#N/A</v>
      </c>
      <c r="I4681" s="6" t="e">
        <f>VLOOKUP('Customer Info'!E4673,'Customer Info'!E4673:E5172,1,0)</f>
        <v>#N/A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108</v>
      </c>
      <c r="R4681" s="2" t="s">
        <v>28</v>
      </c>
      <c r="S4681" s="9">
        <f t="shared" si="364"/>
        <v>0.02</v>
      </c>
    </row>
    <row r="4682" spans="1:19" x14ac:dyDescent="0.3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e">
        <f>VLOOKUP('Customer Info'!B4674,'Customer Info'!B4674:B5173,1,0)</f>
        <v>#N/A</v>
      </c>
      <c r="H4682" s="6" t="e">
        <f>VLOOKUP('Customer Info'!C4674,'Customer Info'!C4674:C5173,1)</f>
        <v>#N/A</v>
      </c>
      <c r="I4682" s="6" t="e">
        <f>VLOOKUP('Customer Info'!E4674,'Customer Info'!E4674:E5173,1,0)</f>
        <v>#N/A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176</v>
      </c>
      <c r="R4682" s="2" t="s">
        <v>28</v>
      </c>
      <c r="S4682" s="9">
        <f t="shared" si="364"/>
        <v>0.02</v>
      </c>
    </row>
    <row r="4683" spans="1:19" x14ac:dyDescent="0.3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e">
        <f>VLOOKUP('Customer Info'!B4675,'Customer Info'!B4675:B5174,1,0)</f>
        <v>#N/A</v>
      </c>
      <c r="H4683" s="6" t="e">
        <f>VLOOKUP('Customer Info'!C4675,'Customer Info'!C4675:C5174,1)</f>
        <v>#N/A</v>
      </c>
      <c r="I4683" s="6" t="e">
        <f>VLOOKUP('Customer Info'!E4675,'Customer Info'!E4675:E5174,1,0)</f>
        <v>#N/A</v>
      </c>
      <c r="J4683" s="2">
        <v>2273</v>
      </c>
      <c r="K4683" s="2">
        <v>2229</v>
      </c>
      <c r="L4683" s="2">
        <v>1</v>
      </c>
      <c r="M4683" s="7">
        <f t="shared" ref="M4683:M4746" si="365">(K4683*L4683)</f>
        <v>2229</v>
      </c>
      <c r="N4683" s="7">
        <f t="shared" ref="N4683:N4746" si="366">(J4683*L4683)</f>
        <v>2273</v>
      </c>
      <c r="O4683" s="2">
        <v>44</v>
      </c>
      <c r="P4683" s="8">
        <f t="shared" ref="P4683:P4746" si="367">(N4683+O4683)</f>
        <v>2317</v>
      </c>
      <c r="Q4683" s="8">
        <f t="shared" ref="Q4683:Q4746" si="368">(N4683-M4683)</f>
        <v>44</v>
      </c>
      <c r="R4683" s="2" t="s">
        <v>28</v>
      </c>
      <c r="S4683" s="9">
        <f t="shared" ref="S4683:S4746" si="369">_xlfn.IFS(P4683&gt;250000,0.15,P4683&gt;100000,0.12,P4683&gt;50000,0.09,P4683&gt;25000,0.07,P4683&gt;5000,0.05,
 TRUE,0.02)</f>
        <v>0.02</v>
      </c>
    </row>
    <row r="4684" spans="1:19" x14ac:dyDescent="0.3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e">
        <f>VLOOKUP('Customer Info'!B4676,'Customer Info'!B4676:B5175,1,0)</f>
        <v>#N/A</v>
      </c>
      <c r="H4684" s="6" t="e">
        <f>VLOOKUP('Customer Info'!C4676,'Customer Info'!C4676:C5175,1)</f>
        <v>#N/A</v>
      </c>
      <c r="I4684" s="6" t="e">
        <f>VLOOKUP('Customer Info'!E4676,'Customer Info'!E4676:E5175,1,0)</f>
        <v>#N/A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16065</v>
      </c>
      <c r="R4684" s="2" t="s">
        <v>26</v>
      </c>
      <c r="S4684" s="9">
        <f t="shared" si="369"/>
        <v>0.12</v>
      </c>
    </row>
    <row r="4685" spans="1:19" x14ac:dyDescent="0.3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e">
        <f>VLOOKUP('Customer Info'!B4677,'Customer Info'!B4677:B5176,1,0)</f>
        <v>#N/A</v>
      </c>
      <c r="H4685" s="6" t="e">
        <f>VLOOKUP('Customer Info'!C4677,'Customer Info'!C4677:C5176,1)</f>
        <v>#N/A</v>
      </c>
      <c r="I4685" s="6" t="e">
        <f>VLOOKUP('Customer Info'!E4677,'Customer Info'!E4677:E5176,1,0)</f>
        <v>#N/A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159</v>
      </c>
      <c r="R4685" s="2" t="s">
        <v>56</v>
      </c>
      <c r="S4685" s="9">
        <f t="shared" si="369"/>
        <v>0.02</v>
      </c>
    </row>
    <row r="4686" spans="1:19" x14ac:dyDescent="0.3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e">
        <f>VLOOKUP('Customer Info'!B4678,'Customer Info'!B4678:B5177,1,0)</f>
        <v>#N/A</v>
      </c>
      <c r="H4686" s="6" t="e">
        <f>VLOOKUP('Customer Info'!C4678,'Customer Info'!C4678:C5177,1)</f>
        <v>#N/A</v>
      </c>
      <c r="I4686" s="6" t="e">
        <f>VLOOKUP('Customer Info'!E4678,'Customer Info'!E4678:E5177,1,0)</f>
        <v>#N/A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178</v>
      </c>
      <c r="R4686" s="2" t="s">
        <v>50</v>
      </c>
      <c r="S4686" s="9">
        <f t="shared" si="369"/>
        <v>0.02</v>
      </c>
    </row>
    <row r="4687" spans="1:19" x14ac:dyDescent="0.3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e">
        <f>VLOOKUP('Customer Info'!B4679,'Customer Info'!B4679:B5178,1,0)</f>
        <v>#N/A</v>
      </c>
      <c r="H4687" s="6" t="e">
        <f>VLOOKUP('Customer Info'!C4679,'Customer Info'!C4679:C5178,1)</f>
        <v>#N/A</v>
      </c>
      <c r="I4687" s="6" t="e">
        <f>VLOOKUP('Customer Info'!E4679,'Customer Info'!E4679:E5178,1,0)</f>
        <v>#N/A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315</v>
      </c>
      <c r="R4687" s="2" t="s">
        <v>28</v>
      </c>
      <c r="S4687" s="9">
        <f t="shared" si="369"/>
        <v>0.05</v>
      </c>
    </row>
    <row r="4688" spans="1:19" x14ac:dyDescent="0.3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e">
        <f>VLOOKUP('Customer Info'!B4680,'Customer Info'!B4680:B5179,1,0)</f>
        <v>#N/A</v>
      </c>
      <c r="H4688" s="6" t="e">
        <f>VLOOKUP('Customer Info'!C4680,'Customer Info'!C4680:C5179,1)</f>
        <v>#N/A</v>
      </c>
      <c r="I4688" s="6" t="e">
        <f>VLOOKUP('Customer Info'!E4680,'Customer Info'!E4680:E5179,1,0)</f>
        <v>#N/A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184</v>
      </c>
      <c r="R4688" s="2" t="s">
        <v>28</v>
      </c>
      <c r="S4688" s="9">
        <f t="shared" si="369"/>
        <v>0.02</v>
      </c>
    </row>
    <row r="4689" spans="1:19" x14ac:dyDescent="0.3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e">
        <f>VLOOKUP('Customer Info'!B4681,'Customer Info'!B4681:B5180,1,0)</f>
        <v>#N/A</v>
      </c>
      <c r="H4689" s="6" t="e">
        <f>VLOOKUP('Customer Info'!C4681,'Customer Info'!C4681:C5180,1)</f>
        <v>#N/A</v>
      </c>
      <c r="I4689" s="6" t="e">
        <f>VLOOKUP('Customer Info'!E4681,'Customer Info'!E4681:E5180,1,0)</f>
        <v>#N/A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318</v>
      </c>
      <c r="R4689" s="2" t="s">
        <v>50</v>
      </c>
      <c r="S4689" s="9">
        <f t="shared" si="369"/>
        <v>0.05</v>
      </c>
    </row>
    <row r="4690" spans="1:19" x14ac:dyDescent="0.3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e">
        <f>VLOOKUP('Customer Info'!B4682,'Customer Info'!B4682:B5181,1,0)</f>
        <v>#N/A</v>
      </c>
      <c r="H4690" s="6" t="e">
        <f>VLOOKUP('Customer Info'!C4682,'Customer Info'!C4682:C5181,1)</f>
        <v>#N/A</v>
      </c>
      <c r="I4690" s="6" t="e">
        <f>VLOOKUP('Customer Info'!E4682,'Customer Info'!E4682:E5181,1,0)</f>
        <v>#N/A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600</v>
      </c>
      <c r="R4690" s="2" t="s">
        <v>28</v>
      </c>
      <c r="S4690" s="9">
        <f t="shared" si="369"/>
        <v>0.05</v>
      </c>
    </row>
    <row r="4691" spans="1:19" x14ac:dyDescent="0.3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e">
        <f>VLOOKUP('Customer Info'!B4683,'Customer Info'!B4683:B5182,1,0)</f>
        <v>#N/A</v>
      </c>
      <c r="H4691" s="6" t="e">
        <f>VLOOKUP('Customer Info'!C4683,'Customer Info'!C4683:C5182,1)</f>
        <v>#N/A</v>
      </c>
      <c r="I4691" s="6" t="e">
        <f>VLOOKUP('Customer Info'!E4683,'Customer Info'!E4683:E5182,1,0)</f>
        <v>#N/A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180</v>
      </c>
      <c r="R4691" s="2" t="s">
        <v>28</v>
      </c>
      <c r="S4691" s="9">
        <f t="shared" si="369"/>
        <v>0.02</v>
      </c>
    </row>
    <row r="4692" spans="1:19" x14ac:dyDescent="0.3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e">
        <f>VLOOKUP('Customer Info'!B4684,'Customer Info'!B4684:B5183,1,0)</f>
        <v>#N/A</v>
      </c>
      <c r="H4692" s="6" t="e">
        <f>VLOOKUP('Customer Info'!C4684,'Customer Info'!C4684:C5183,1)</f>
        <v>#N/A</v>
      </c>
      <c r="I4692" s="6" t="e">
        <f>VLOOKUP('Customer Info'!E4684,'Customer Info'!E4684:E5183,1,0)</f>
        <v>#N/A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72</v>
      </c>
      <c r="R4692" s="2" t="s">
        <v>28</v>
      </c>
      <c r="S4692" s="9">
        <f t="shared" si="369"/>
        <v>0.02</v>
      </c>
    </row>
    <row r="4693" spans="1:19" x14ac:dyDescent="0.3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e">
        <f>VLOOKUP('Customer Info'!B4685,'Customer Info'!B4685:B5184,1,0)</f>
        <v>#N/A</v>
      </c>
      <c r="H4693" s="6" t="e">
        <f>VLOOKUP('Customer Info'!C4685,'Customer Info'!C4685:C5184,1)</f>
        <v>#N/A</v>
      </c>
      <c r="I4693" s="6" t="e">
        <f>VLOOKUP('Customer Info'!E4685,'Customer Info'!E4685:E5184,1,0)</f>
        <v>#N/A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60</v>
      </c>
      <c r="R4693" s="2" t="s">
        <v>28</v>
      </c>
      <c r="S4693" s="9">
        <f t="shared" si="369"/>
        <v>0.02</v>
      </c>
    </row>
    <row r="4694" spans="1:19" x14ac:dyDescent="0.3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e">
        <f>VLOOKUP('Customer Info'!B4686,'Customer Info'!B4686:B5185,1,0)</f>
        <v>#N/A</v>
      </c>
      <c r="H4694" s="6" t="e">
        <f>VLOOKUP('Customer Info'!C4686,'Customer Info'!C4686:C5185,1)</f>
        <v>#N/A</v>
      </c>
      <c r="I4694" s="6" t="e">
        <f>VLOOKUP('Customer Info'!E4686,'Customer Info'!E4686:E5185,1,0)</f>
        <v>#N/A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720</v>
      </c>
      <c r="R4694" s="2" t="s">
        <v>28</v>
      </c>
      <c r="S4694" s="9">
        <f t="shared" si="369"/>
        <v>0.05</v>
      </c>
    </row>
    <row r="4695" spans="1:19" x14ac:dyDescent="0.3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e">
        <f>VLOOKUP('Customer Info'!B4687,'Customer Info'!B4687:B5186,1,0)</f>
        <v>#N/A</v>
      </c>
      <c r="H4695" s="6" t="e">
        <f>VLOOKUP('Customer Info'!C4687,'Customer Info'!C4687:C5186,1)</f>
        <v>#N/A</v>
      </c>
      <c r="I4695" s="6" t="e">
        <f>VLOOKUP('Customer Info'!E4687,'Customer Info'!E4687:E5186,1,0)</f>
        <v>#N/A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324</v>
      </c>
      <c r="R4695" s="2" t="s">
        <v>28</v>
      </c>
      <c r="S4695" s="9">
        <f t="shared" si="369"/>
        <v>0.02</v>
      </c>
    </row>
    <row r="4696" spans="1:19" x14ac:dyDescent="0.3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e">
        <f>VLOOKUP('Customer Info'!B4688,'Customer Info'!B4688:B5187,1,0)</f>
        <v>#N/A</v>
      </c>
      <c r="H4696" s="6" t="e">
        <f>VLOOKUP('Customer Info'!C4688,'Customer Info'!C4688:C5187,1)</f>
        <v>#N/A</v>
      </c>
      <c r="I4696" s="6" t="e">
        <f>VLOOKUP('Customer Info'!E4688,'Customer Info'!E4688:E5187,1,0)</f>
        <v>#N/A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364</v>
      </c>
      <c r="R4696" s="2" t="s">
        <v>50</v>
      </c>
      <c r="S4696" s="9">
        <f t="shared" si="369"/>
        <v>0.02</v>
      </c>
    </row>
    <row r="4697" spans="1:19" x14ac:dyDescent="0.3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e">
        <f>VLOOKUP('Customer Info'!B4689,'Customer Info'!B4689:B5188,1,0)</f>
        <v>#N/A</v>
      </c>
      <c r="H4697" s="6" t="e">
        <f>VLOOKUP('Customer Info'!C4689,'Customer Info'!C4689:C5188,1)</f>
        <v>#N/A</v>
      </c>
      <c r="I4697" s="6" t="e">
        <f>VLOOKUP('Customer Info'!E4689,'Customer Info'!E4689:E5188,1,0)</f>
        <v>#N/A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340</v>
      </c>
      <c r="R4697" s="2" t="s">
        <v>50</v>
      </c>
      <c r="S4697" s="9">
        <f t="shared" si="369"/>
        <v>0.02</v>
      </c>
    </row>
    <row r="4698" spans="1:19" x14ac:dyDescent="0.3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e">
        <f>VLOOKUP('Customer Info'!B4690,'Customer Info'!B4690:B5189,1,0)</f>
        <v>#N/A</v>
      </c>
      <c r="H4698" s="6" t="e">
        <f>VLOOKUP('Customer Info'!C4690,'Customer Info'!C4690:C5189,1)</f>
        <v>#N/A</v>
      </c>
      <c r="I4698" s="6" t="e">
        <f>VLOOKUP('Customer Info'!E4690,'Customer Info'!E4690:E5189,1,0)</f>
        <v>#N/A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11</v>
      </c>
      <c r="R4698" s="2" t="s">
        <v>56</v>
      </c>
      <c r="S4698" s="9">
        <f t="shared" si="369"/>
        <v>0.02</v>
      </c>
    </row>
    <row r="4699" spans="1:19" x14ac:dyDescent="0.3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e">
        <f>VLOOKUP('Customer Info'!B4691,'Customer Info'!B4691:B5190,1,0)</f>
        <v>#N/A</v>
      </c>
      <c r="H4699" s="6" t="e">
        <f>VLOOKUP('Customer Info'!C4691,'Customer Info'!C4691:C5190,1)</f>
        <v>#N/A</v>
      </c>
      <c r="I4699" s="6" t="e">
        <f>VLOOKUP('Customer Info'!E4691,'Customer Info'!E4691:E5190,1,0)</f>
        <v>#N/A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16</v>
      </c>
      <c r="R4699" s="2" t="s">
        <v>50</v>
      </c>
      <c r="S4699" s="9">
        <f t="shared" si="369"/>
        <v>0.02</v>
      </c>
    </row>
    <row r="4700" spans="1:19" x14ac:dyDescent="0.3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e">
        <f>VLOOKUP('Customer Info'!B4692,'Customer Info'!B4692:B5191,1,0)</f>
        <v>#N/A</v>
      </c>
      <c r="H4700" s="6" t="e">
        <f>VLOOKUP('Customer Info'!C4692,'Customer Info'!C4692:C5191,1)</f>
        <v>#N/A</v>
      </c>
      <c r="I4700" s="6" t="e">
        <f>VLOOKUP('Customer Info'!E4692,'Customer Info'!E4692:E5191,1,0)</f>
        <v>#N/A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45</v>
      </c>
      <c r="R4700" s="2" t="s">
        <v>28</v>
      </c>
      <c r="S4700" s="9">
        <f t="shared" si="369"/>
        <v>0.02</v>
      </c>
    </row>
    <row r="4701" spans="1:19" x14ac:dyDescent="0.3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e">
        <f>VLOOKUP('Customer Info'!B4693,'Customer Info'!B4693:B5192,1,0)</f>
        <v>#N/A</v>
      </c>
      <c r="H4701" s="6" t="e">
        <f>VLOOKUP('Customer Info'!C4693,'Customer Info'!C4693:C5192,1)</f>
        <v>#N/A</v>
      </c>
      <c r="I4701" s="6" t="e">
        <f>VLOOKUP('Customer Info'!E4693,'Customer Info'!E4693:E5192,1,0)</f>
        <v>#N/A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558</v>
      </c>
      <c r="R4701" s="2" t="s">
        <v>28</v>
      </c>
      <c r="S4701" s="9">
        <f t="shared" si="369"/>
        <v>0.05</v>
      </c>
    </row>
    <row r="4702" spans="1:19" x14ac:dyDescent="0.3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e">
        <f>VLOOKUP('Customer Info'!B4694,'Customer Info'!B4694:B5193,1,0)</f>
        <v>#N/A</v>
      </c>
      <c r="H4702" s="6" t="e">
        <f>VLOOKUP('Customer Info'!C4694,'Customer Info'!C4694:C5193,1)</f>
        <v>#N/A</v>
      </c>
      <c r="I4702" s="6" t="e">
        <f>VLOOKUP('Customer Info'!E4694,'Customer Info'!E4694:E5193,1,0)</f>
        <v>#N/A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441</v>
      </c>
      <c r="R4702" s="2" t="s">
        <v>28</v>
      </c>
      <c r="S4702" s="9">
        <f t="shared" si="369"/>
        <v>0.05</v>
      </c>
    </row>
    <row r="4703" spans="1:19" x14ac:dyDescent="0.3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e">
        <f>VLOOKUP('Customer Info'!B4695,'Customer Info'!B4695:B5194,1,0)</f>
        <v>#N/A</v>
      </c>
      <c r="H4703" s="6" t="e">
        <f>VLOOKUP('Customer Info'!C4695,'Customer Info'!C4695:C5194,1)</f>
        <v>#N/A</v>
      </c>
      <c r="I4703" s="6" t="e">
        <f>VLOOKUP('Customer Info'!E4695,'Customer Info'!E4695:E5194,1,0)</f>
        <v>#N/A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248</v>
      </c>
      <c r="R4703" s="2" t="s">
        <v>28</v>
      </c>
      <c r="S4703" s="9">
        <f t="shared" si="369"/>
        <v>0.05</v>
      </c>
    </row>
    <row r="4704" spans="1:19" x14ac:dyDescent="0.3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e">
        <f>VLOOKUP('Customer Info'!B4696,'Customer Info'!B4696:B5195,1,0)</f>
        <v>#N/A</v>
      </c>
      <c r="H4704" s="6" t="e">
        <f>VLOOKUP('Customer Info'!C4696,'Customer Info'!C4696:C5195,1)</f>
        <v>#N/A</v>
      </c>
      <c r="I4704" s="6" t="e">
        <f>VLOOKUP('Customer Info'!E4696,'Customer Info'!E4696:E5195,1,0)</f>
        <v>#N/A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90</v>
      </c>
      <c r="R4704" s="2" t="s">
        <v>28</v>
      </c>
      <c r="S4704" s="9">
        <f t="shared" si="369"/>
        <v>0.02</v>
      </c>
    </row>
    <row r="4705" spans="1:19" x14ac:dyDescent="0.3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e">
        <f>VLOOKUP('Customer Info'!B4697,'Customer Info'!B4697:B5196,1,0)</f>
        <v>#N/A</v>
      </c>
      <c r="H4705" s="6" t="e">
        <f>VLOOKUP('Customer Info'!C4697,'Customer Info'!C4697:C5196,1)</f>
        <v>#N/A</v>
      </c>
      <c r="I4705" s="6" t="e">
        <f>VLOOKUP('Customer Info'!E4697,'Customer Info'!E4697:E5196,1,0)</f>
        <v>#N/A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6720</v>
      </c>
      <c r="R4705" s="2" t="s">
        <v>26</v>
      </c>
      <c r="S4705" s="9">
        <f t="shared" si="369"/>
        <v>0.09</v>
      </c>
    </row>
    <row r="4706" spans="1:19" x14ac:dyDescent="0.3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e">
        <f>VLOOKUP('Customer Info'!B4698,'Customer Info'!B4698:B5197,1,0)</f>
        <v>#N/A</v>
      </c>
      <c r="H4706" s="6" t="e">
        <f>VLOOKUP('Customer Info'!C4698,'Customer Info'!C4698:C5197,1)</f>
        <v>#N/A</v>
      </c>
      <c r="I4706" s="6" t="e">
        <f>VLOOKUP('Customer Info'!E4698,'Customer Info'!E4698:E5197,1,0)</f>
        <v>#N/A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254</v>
      </c>
      <c r="R4706" s="2" t="s">
        <v>26</v>
      </c>
      <c r="S4706" s="9">
        <f t="shared" si="369"/>
        <v>0.02</v>
      </c>
    </row>
    <row r="4707" spans="1:19" x14ac:dyDescent="0.3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e">
        <f>VLOOKUP('Customer Info'!B4699,'Customer Info'!B4699:B5198,1,0)</f>
        <v>#N/A</v>
      </c>
      <c r="H4707" s="6" t="e">
        <f>VLOOKUP('Customer Info'!C4699,'Customer Info'!C4699:C5198,1)</f>
        <v>#N/A</v>
      </c>
      <c r="I4707" s="6" t="e">
        <f>VLOOKUP('Customer Info'!E4699,'Customer Info'!E4699:E5198,1,0)</f>
        <v>#N/A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26</v>
      </c>
      <c r="R4707" s="2" t="s">
        <v>50</v>
      </c>
      <c r="S4707" s="9">
        <f t="shared" si="369"/>
        <v>0.02</v>
      </c>
    </row>
    <row r="4708" spans="1:19" x14ac:dyDescent="0.3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e">
        <f>VLOOKUP('Customer Info'!B4700,'Customer Info'!B4700:B5199,1,0)</f>
        <v>#N/A</v>
      </c>
      <c r="H4708" s="6" t="e">
        <f>VLOOKUP('Customer Info'!C4700,'Customer Info'!C4700:C5199,1)</f>
        <v>#N/A</v>
      </c>
      <c r="I4708" s="6" t="e">
        <f>VLOOKUP('Customer Info'!E4700,'Customer Info'!E4700:E5199,1,0)</f>
        <v>#N/A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920</v>
      </c>
      <c r="R4708" s="2" t="s">
        <v>28</v>
      </c>
      <c r="S4708" s="9">
        <f t="shared" si="369"/>
        <v>0.05</v>
      </c>
    </row>
    <row r="4709" spans="1:19" x14ac:dyDescent="0.3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e">
        <f>VLOOKUP('Customer Info'!B4701,'Customer Info'!B4701:B5200,1,0)</f>
        <v>#N/A</v>
      </c>
      <c r="H4709" s="6" t="e">
        <f>VLOOKUP('Customer Info'!C4701,'Customer Info'!C4701:C5200,1)</f>
        <v>#N/A</v>
      </c>
      <c r="I4709" s="6" t="e">
        <f>VLOOKUP('Customer Info'!E4701,'Customer Info'!E4701:E5200,1,0)</f>
        <v>#N/A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42</v>
      </c>
      <c r="R4709" s="2" t="s">
        <v>50</v>
      </c>
      <c r="S4709" s="9">
        <f t="shared" si="369"/>
        <v>0.02</v>
      </c>
    </row>
    <row r="4710" spans="1:19" x14ac:dyDescent="0.3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e">
        <f>VLOOKUP('Customer Info'!B4702,'Customer Info'!B4702:B5201,1,0)</f>
        <v>#N/A</v>
      </c>
      <c r="H4710" s="6" t="e">
        <f>VLOOKUP('Customer Info'!C4702,'Customer Info'!C4702:C5201,1)</f>
        <v>#N/A</v>
      </c>
      <c r="I4710" s="6" t="e">
        <f>VLOOKUP('Customer Info'!E4702,'Customer Info'!E4702:E5201,1,0)</f>
        <v>#N/A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900</v>
      </c>
      <c r="R4710" s="2" t="s">
        <v>28</v>
      </c>
      <c r="S4710" s="9">
        <f t="shared" si="369"/>
        <v>0.05</v>
      </c>
    </row>
    <row r="4711" spans="1:19" x14ac:dyDescent="0.3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e">
        <f>VLOOKUP('Customer Info'!B4703,'Customer Info'!B4703:B5202,1,0)</f>
        <v>#N/A</v>
      </c>
      <c r="H4711" s="6" t="e">
        <f>VLOOKUP('Customer Info'!C4703,'Customer Info'!C4703:C5202,1)</f>
        <v>#N/A</v>
      </c>
      <c r="I4711" s="6" t="e">
        <f>VLOOKUP('Customer Info'!E4703,'Customer Info'!E4703:E5202,1,0)</f>
        <v>#N/A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88</v>
      </c>
      <c r="R4711" s="2" t="s">
        <v>28</v>
      </c>
      <c r="S4711" s="9">
        <f t="shared" si="369"/>
        <v>0.02</v>
      </c>
    </row>
    <row r="4712" spans="1:19" x14ac:dyDescent="0.3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e">
        <f>VLOOKUP('Customer Info'!B4704,'Customer Info'!B4704:B5203,1,0)</f>
        <v>#N/A</v>
      </c>
      <c r="H4712" s="6" t="e">
        <f>VLOOKUP('Customer Info'!C4704,'Customer Info'!C4704:C5203,1)</f>
        <v>#N/A</v>
      </c>
      <c r="I4712" s="6" t="e">
        <f>VLOOKUP('Customer Info'!E4704,'Customer Info'!E4704:E5203,1,0)</f>
        <v>#N/A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220</v>
      </c>
      <c r="R4712" s="2" t="s">
        <v>50</v>
      </c>
      <c r="S4712" s="9">
        <f t="shared" si="369"/>
        <v>0.02</v>
      </c>
    </row>
    <row r="4713" spans="1:19" x14ac:dyDescent="0.3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e">
        <f>VLOOKUP('Customer Info'!B4705,'Customer Info'!B4705:B5204,1,0)</f>
        <v>#N/A</v>
      </c>
      <c r="H4713" s="6" t="e">
        <f>VLOOKUP('Customer Info'!C4705,'Customer Info'!C4705:C5204,1)</f>
        <v>#N/A</v>
      </c>
      <c r="I4713" s="6" t="e">
        <f>VLOOKUP('Customer Info'!E4705,'Customer Info'!E4705:E5204,1,0)</f>
        <v>#N/A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20</v>
      </c>
      <c r="R4713" s="2" t="s">
        <v>50</v>
      </c>
      <c r="S4713" s="9">
        <f t="shared" si="369"/>
        <v>0.02</v>
      </c>
    </row>
    <row r="4714" spans="1:19" x14ac:dyDescent="0.3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e">
        <f>VLOOKUP('Customer Info'!B4706,'Customer Info'!B4706:B5205,1,0)</f>
        <v>#N/A</v>
      </c>
      <c r="H4714" s="6" t="e">
        <f>VLOOKUP('Customer Info'!C4706,'Customer Info'!C4706:C5205,1)</f>
        <v>#N/A</v>
      </c>
      <c r="I4714" s="6" t="e">
        <f>VLOOKUP('Customer Info'!E4706,'Customer Info'!E4706:E5205,1,0)</f>
        <v>#N/A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20</v>
      </c>
      <c r="R4714" s="2" t="s">
        <v>28</v>
      </c>
      <c r="S4714" s="9">
        <f t="shared" si="369"/>
        <v>0.02</v>
      </c>
    </row>
    <row r="4715" spans="1:19" x14ac:dyDescent="0.3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e">
        <f>VLOOKUP('Customer Info'!B4707,'Customer Info'!B4707:B5206,1,0)</f>
        <v>#N/A</v>
      </c>
      <c r="H4715" s="6" t="e">
        <f>VLOOKUP('Customer Info'!C4707,'Customer Info'!C4707:C5206,1)</f>
        <v>#N/A</v>
      </c>
      <c r="I4715" s="6" t="e">
        <f>VLOOKUP('Customer Info'!E4707,'Customer Info'!E4707:E5206,1,0)</f>
        <v>#N/A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636</v>
      </c>
      <c r="R4715" s="2" t="s">
        <v>50</v>
      </c>
      <c r="S4715" s="9">
        <f t="shared" si="369"/>
        <v>0.05</v>
      </c>
    </row>
    <row r="4716" spans="1:19" x14ac:dyDescent="0.3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e">
        <f>VLOOKUP('Customer Info'!B4708,'Customer Info'!B4708:B5207,1,0)</f>
        <v>#N/A</v>
      </c>
      <c r="H4716" s="6" t="e">
        <f>VLOOKUP('Customer Info'!C4708,'Customer Info'!C4708:C5207,1)</f>
        <v>#N/A</v>
      </c>
      <c r="I4716" s="6" t="e">
        <f>VLOOKUP('Customer Info'!E4708,'Customer Info'!E4708:E5207,1,0)</f>
        <v>#N/A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546</v>
      </c>
      <c r="R4716" s="2" t="s">
        <v>50</v>
      </c>
      <c r="S4716" s="9">
        <f t="shared" si="369"/>
        <v>0.05</v>
      </c>
    </row>
    <row r="4717" spans="1:19" x14ac:dyDescent="0.3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e">
        <f>VLOOKUP('Customer Info'!B4709,'Customer Info'!B4709:B5208,1,0)</f>
        <v>#N/A</v>
      </c>
      <c r="H4717" s="6" t="e">
        <f>VLOOKUP('Customer Info'!C4709,'Customer Info'!C4709:C5208,1)</f>
        <v>#N/A</v>
      </c>
      <c r="I4717" s="6" t="e">
        <f>VLOOKUP('Customer Info'!E4709,'Customer Info'!E4709:E5208,1,0)</f>
        <v>#N/A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5778</v>
      </c>
      <c r="R4717" s="2" t="s">
        <v>28</v>
      </c>
      <c r="S4717" s="9">
        <f t="shared" si="369"/>
        <v>0.09</v>
      </c>
    </row>
    <row r="4718" spans="1:19" x14ac:dyDescent="0.3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e">
        <f>VLOOKUP('Customer Info'!B4710,'Customer Info'!B4710:B5209,1,0)</f>
        <v>#N/A</v>
      </c>
      <c r="H4718" s="6" t="e">
        <f>VLOOKUP('Customer Info'!C4710,'Customer Info'!C4710:C5209,1)</f>
        <v>#N/A</v>
      </c>
      <c r="I4718" s="6" t="e">
        <f>VLOOKUP('Customer Info'!E4710,'Customer Info'!E4710:E5209,1,0)</f>
        <v>#N/A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25</v>
      </c>
      <c r="R4718" s="2" t="s">
        <v>28</v>
      </c>
      <c r="S4718" s="9">
        <f t="shared" si="369"/>
        <v>0.02</v>
      </c>
    </row>
    <row r="4719" spans="1:19" x14ac:dyDescent="0.3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e">
        <f>VLOOKUP('Customer Info'!B4711,'Customer Info'!B4711:B5210,1,0)</f>
        <v>#N/A</v>
      </c>
      <c r="H4719" s="6" t="e">
        <f>VLOOKUP('Customer Info'!C4711,'Customer Info'!C4711:C5210,1)</f>
        <v>#N/A</v>
      </c>
      <c r="I4719" s="6" t="e">
        <f>VLOOKUP('Customer Info'!E4711,'Customer Info'!E4711:E5210,1,0)</f>
        <v>#N/A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86</v>
      </c>
      <c r="R4719" s="2" t="s">
        <v>28</v>
      </c>
      <c r="S4719" s="9">
        <f t="shared" si="369"/>
        <v>0.02</v>
      </c>
    </row>
    <row r="4720" spans="1:19" x14ac:dyDescent="0.3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e">
        <f>VLOOKUP('Customer Info'!B4712,'Customer Info'!B4712:B5211,1,0)</f>
        <v>#N/A</v>
      </c>
      <c r="H4720" s="6" t="e">
        <f>VLOOKUP('Customer Info'!C4712,'Customer Info'!C4712:C5211,1)</f>
        <v>#N/A</v>
      </c>
      <c r="I4720" s="6" t="e">
        <f>VLOOKUP('Customer Info'!E4712,'Customer Info'!E4712:E5211,1,0)</f>
        <v>#N/A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146</v>
      </c>
      <c r="R4720" s="2" t="s">
        <v>50</v>
      </c>
      <c r="S4720" s="9">
        <f t="shared" si="369"/>
        <v>0.02</v>
      </c>
    </row>
    <row r="4721" spans="1:19" x14ac:dyDescent="0.3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e">
        <f>VLOOKUP('Customer Info'!B4713,'Customer Info'!B4713:B5212,1,0)</f>
        <v>#N/A</v>
      </c>
      <c r="H4721" s="6" t="e">
        <f>VLOOKUP('Customer Info'!C4713,'Customer Info'!C4713:C5212,1)</f>
        <v>#N/A</v>
      </c>
      <c r="I4721" s="6" t="e">
        <f>VLOOKUP('Customer Info'!E4713,'Customer Info'!E4713:E5212,1,0)</f>
        <v>#N/A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134</v>
      </c>
      <c r="R4721" s="2" t="s">
        <v>28</v>
      </c>
      <c r="S4721" s="9">
        <f t="shared" si="369"/>
        <v>0.02</v>
      </c>
    </row>
    <row r="4722" spans="1:19" x14ac:dyDescent="0.3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e">
        <f>VLOOKUP('Customer Info'!B4714,'Customer Info'!B4714:B5213,1,0)</f>
        <v>#N/A</v>
      </c>
      <c r="H4722" s="6" t="e">
        <f>VLOOKUP('Customer Info'!C4714,'Customer Info'!C4714:C5213,1)</f>
        <v>#N/A</v>
      </c>
      <c r="I4722" s="6" t="e">
        <f>VLOOKUP('Customer Info'!E4714,'Customer Info'!E4714:E5213,1,0)</f>
        <v>#N/A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682</v>
      </c>
      <c r="R4722" s="2" t="s">
        <v>28</v>
      </c>
      <c r="S4722" s="9">
        <f t="shared" si="369"/>
        <v>0.05</v>
      </c>
    </row>
    <row r="4723" spans="1:19" x14ac:dyDescent="0.3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e">
        <f>VLOOKUP('Customer Info'!B4715,'Customer Info'!B4715:B5214,1,0)</f>
        <v>#N/A</v>
      </c>
      <c r="H4723" s="6" t="e">
        <f>VLOOKUP('Customer Info'!C4715,'Customer Info'!C4715:C5214,1)</f>
        <v>#N/A</v>
      </c>
      <c r="I4723" s="6" t="e">
        <f>VLOOKUP('Customer Info'!E4715,'Customer Info'!E4715:E5214,1,0)</f>
        <v>#N/A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54</v>
      </c>
      <c r="R4723" s="2" t="s">
        <v>50</v>
      </c>
      <c r="S4723" s="9">
        <f t="shared" si="369"/>
        <v>0.02</v>
      </c>
    </row>
    <row r="4724" spans="1:19" x14ac:dyDescent="0.3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e">
        <f>VLOOKUP('Customer Info'!B4716,'Customer Info'!B4716:B5215,1,0)</f>
        <v>#N/A</v>
      </c>
      <c r="H4724" s="6" t="e">
        <f>VLOOKUP('Customer Info'!C4716,'Customer Info'!C4716:C5215,1)</f>
        <v>#N/A</v>
      </c>
      <c r="I4724" s="6" t="e">
        <f>VLOOKUP('Customer Info'!E4716,'Customer Info'!E4716:E5215,1,0)</f>
        <v>#N/A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303</v>
      </c>
      <c r="R4724" s="2" t="s">
        <v>50</v>
      </c>
      <c r="S4724" s="9">
        <f t="shared" si="369"/>
        <v>0.05</v>
      </c>
    </row>
    <row r="4725" spans="1:19" x14ac:dyDescent="0.3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e">
        <f>VLOOKUP('Customer Info'!B4717,'Customer Info'!B4717:B5216,1,0)</f>
        <v>#N/A</v>
      </c>
      <c r="H4725" s="6" t="e">
        <f>VLOOKUP('Customer Info'!C4717,'Customer Info'!C4717:C5216,1)</f>
        <v>#N/A</v>
      </c>
      <c r="I4725" s="6" t="e">
        <f>VLOOKUP('Customer Info'!E4717,'Customer Info'!E4717:E5216,1,0)</f>
        <v>#N/A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348</v>
      </c>
      <c r="R4725" s="2" t="s">
        <v>50</v>
      </c>
      <c r="S4725" s="9">
        <f t="shared" si="369"/>
        <v>0.05</v>
      </c>
    </row>
    <row r="4726" spans="1:19" x14ac:dyDescent="0.3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e">
        <f>VLOOKUP('Customer Info'!B4718,'Customer Info'!B4718:B5217,1,0)</f>
        <v>#N/A</v>
      </c>
      <c r="H4726" s="6" t="e">
        <f>VLOOKUP('Customer Info'!C4718,'Customer Info'!C4718:C5217,1)</f>
        <v>#N/A</v>
      </c>
      <c r="I4726" s="6" t="e">
        <f>VLOOKUP('Customer Info'!E4718,'Customer Info'!E4718:E5217,1,0)</f>
        <v>#N/A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25</v>
      </c>
      <c r="R4726" s="2" t="s">
        <v>26</v>
      </c>
      <c r="S4726" s="9">
        <f t="shared" si="369"/>
        <v>0.02</v>
      </c>
    </row>
    <row r="4727" spans="1:19" x14ac:dyDescent="0.3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e">
        <f>VLOOKUP('Customer Info'!B4719,'Customer Info'!B4719:B5218,1,0)</f>
        <v>#N/A</v>
      </c>
      <c r="H4727" s="6" t="e">
        <f>VLOOKUP('Customer Info'!C4719,'Customer Info'!C4719:C5218,1)</f>
        <v>#N/A</v>
      </c>
      <c r="I4727" s="6" t="e">
        <f>VLOOKUP('Customer Info'!E4719,'Customer Info'!E4719:E5218,1,0)</f>
        <v>#N/A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344</v>
      </c>
      <c r="R4727" s="2" t="s">
        <v>50</v>
      </c>
      <c r="S4727" s="9">
        <f t="shared" si="369"/>
        <v>0.05</v>
      </c>
    </row>
    <row r="4728" spans="1:19" x14ac:dyDescent="0.3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e">
        <f>VLOOKUP('Customer Info'!B4720,'Customer Info'!B4720:B5219,1,0)</f>
        <v>#N/A</v>
      </c>
      <c r="H4728" s="6" t="e">
        <f>VLOOKUP('Customer Info'!C4720,'Customer Info'!C4720:C5219,1)</f>
        <v>#N/A</v>
      </c>
      <c r="I4728" s="6" t="e">
        <f>VLOOKUP('Customer Info'!E4720,'Customer Info'!E4720:E5219,1,0)</f>
        <v>#N/A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3745</v>
      </c>
      <c r="R4728" s="2" t="s">
        <v>26</v>
      </c>
      <c r="S4728" s="9">
        <f t="shared" si="369"/>
        <v>7.0000000000000007E-2</v>
      </c>
    </row>
    <row r="4729" spans="1:19" x14ac:dyDescent="0.3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e">
        <f>VLOOKUP('Customer Info'!B4721,'Customer Info'!B4721:B5220,1,0)</f>
        <v>#N/A</v>
      </c>
      <c r="H4729" s="6" t="e">
        <f>VLOOKUP('Customer Info'!C4721,'Customer Info'!C4721:C5220,1)</f>
        <v>#N/A</v>
      </c>
      <c r="I4729" s="6" t="e">
        <f>VLOOKUP('Customer Info'!E4721,'Customer Info'!E4721:E5220,1,0)</f>
        <v>#N/A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244</v>
      </c>
      <c r="R4729" s="2" t="s">
        <v>26</v>
      </c>
      <c r="S4729" s="9">
        <f t="shared" si="369"/>
        <v>0.05</v>
      </c>
    </row>
    <row r="4730" spans="1:19" x14ac:dyDescent="0.3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e">
        <f>VLOOKUP('Customer Info'!B4722,'Customer Info'!B4722:B5221,1,0)</f>
        <v>#N/A</v>
      </c>
      <c r="H4730" s="6" t="e">
        <f>VLOOKUP('Customer Info'!C4722,'Customer Info'!C4722:C5221,1)</f>
        <v>#N/A</v>
      </c>
      <c r="I4730" s="6" t="e">
        <f>VLOOKUP('Customer Info'!E4722,'Customer Info'!E4722:E5221,1,0)</f>
        <v>#N/A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618</v>
      </c>
      <c r="R4730" s="2" t="s">
        <v>50</v>
      </c>
      <c r="S4730" s="9">
        <f t="shared" si="369"/>
        <v>0.05</v>
      </c>
    </row>
    <row r="4731" spans="1:19" x14ac:dyDescent="0.3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e">
        <f>VLOOKUP('Customer Info'!B4723,'Customer Info'!B4723:B5222,1,0)</f>
        <v>#N/A</v>
      </c>
      <c r="H4731" s="6" t="e">
        <f>VLOOKUP('Customer Info'!C4723,'Customer Info'!C4723:C5222,1)</f>
        <v>#N/A</v>
      </c>
      <c r="I4731" s="6" t="e">
        <f>VLOOKUP('Customer Info'!E4723,'Customer Info'!E4723:E5222,1,0)</f>
        <v>#N/A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6</v>
      </c>
      <c r="R4731" s="2" t="s">
        <v>50</v>
      </c>
      <c r="S4731" s="9">
        <f t="shared" si="369"/>
        <v>0.02</v>
      </c>
    </row>
    <row r="4732" spans="1:19" x14ac:dyDescent="0.3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e">
        <f>VLOOKUP('Customer Info'!B4724,'Customer Info'!B4724:B5223,1,0)</f>
        <v>#N/A</v>
      </c>
      <c r="H4732" s="6" t="e">
        <f>VLOOKUP('Customer Info'!C4724,'Customer Info'!C4724:C5223,1)</f>
        <v>#N/A</v>
      </c>
      <c r="I4732" s="6" t="e">
        <f>VLOOKUP('Customer Info'!E4724,'Customer Info'!E4724:E5223,1,0)</f>
        <v>#N/A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235</v>
      </c>
      <c r="R4732" s="2" t="s">
        <v>28</v>
      </c>
      <c r="S4732" s="9">
        <f t="shared" si="369"/>
        <v>0.02</v>
      </c>
    </row>
    <row r="4733" spans="1:19" x14ac:dyDescent="0.3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e">
        <f>VLOOKUP('Customer Info'!B4725,'Customer Info'!B4725:B5224,1,0)</f>
        <v>#N/A</v>
      </c>
      <c r="H4733" s="6" t="e">
        <f>VLOOKUP('Customer Info'!C4725,'Customer Info'!C4725:C5224,1)</f>
        <v>#N/A</v>
      </c>
      <c r="I4733" s="6" t="e">
        <f>VLOOKUP('Customer Info'!E4725,'Customer Info'!E4725:E5224,1,0)</f>
        <v>#N/A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1167</v>
      </c>
      <c r="R4733" s="2" t="s">
        <v>50</v>
      </c>
      <c r="S4733" s="9">
        <f t="shared" si="369"/>
        <v>0.05</v>
      </c>
    </row>
    <row r="4734" spans="1:19" x14ac:dyDescent="0.3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e">
        <f>VLOOKUP('Customer Info'!B4726,'Customer Info'!B4726:B5225,1,0)</f>
        <v>#N/A</v>
      </c>
      <c r="H4734" s="6" t="e">
        <f>VLOOKUP('Customer Info'!C4726,'Customer Info'!C4726:C5225,1)</f>
        <v>#N/A</v>
      </c>
      <c r="I4734" s="6" t="e">
        <f>VLOOKUP('Customer Info'!E4726,'Customer Info'!E4726:E5225,1,0)</f>
        <v>#N/A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1928</v>
      </c>
      <c r="R4734" s="2" t="s">
        <v>28</v>
      </c>
      <c r="S4734" s="9">
        <f t="shared" si="369"/>
        <v>0.05</v>
      </c>
    </row>
    <row r="4735" spans="1:19" x14ac:dyDescent="0.3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e">
        <f>VLOOKUP('Customer Info'!B4727,'Customer Info'!B4727:B5226,1,0)</f>
        <v>#N/A</v>
      </c>
      <c r="H4735" s="6" t="e">
        <f>VLOOKUP('Customer Info'!C4727,'Customer Info'!C4727:C5226,1)</f>
        <v>#N/A</v>
      </c>
      <c r="I4735" s="6" t="e">
        <f>VLOOKUP('Customer Info'!E4727,'Customer Info'!E4727:E5226,1,0)</f>
        <v>#N/A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15</v>
      </c>
      <c r="R4735" s="2" t="s">
        <v>50</v>
      </c>
      <c r="S4735" s="9">
        <f t="shared" si="369"/>
        <v>0.02</v>
      </c>
    </row>
    <row r="4736" spans="1:19" x14ac:dyDescent="0.3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e">
        <f>VLOOKUP('Customer Info'!B4728,'Customer Info'!B4728:B5227,1,0)</f>
        <v>#N/A</v>
      </c>
      <c r="H4736" s="6" t="e">
        <f>VLOOKUP('Customer Info'!C4728,'Customer Info'!C4728:C5227,1)</f>
        <v>#N/A</v>
      </c>
      <c r="I4736" s="6" t="e">
        <f>VLOOKUP('Customer Info'!E4728,'Customer Info'!E4728:E5227,1,0)</f>
        <v>#N/A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3696</v>
      </c>
      <c r="R4736" s="2" t="s">
        <v>28</v>
      </c>
      <c r="S4736" s="9">
        <f t="shared" si="369"/>
        <v>7.0000000000000007E-2</v>
      </c>
    </row>
    <row r="4737" spans="1:19" x14ac:dyDescent="0.3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e">
        <f>VLOOKUP('Customer Info'!B4729,'Customer Info'!B4729:B5228,1,0)</f>
        <v>#N/A</v>
      </c>
      <c r="H4737" s="6" t="e">
        <f>VLOOKUP('Customer Info'!C4729,'Customer Info'!C4729:C5228,1)</f>
        <v>#N/A</v>
      </c>
      <c r="I4737" s="6" t="e">
        <f>VLOOKUP('Customer Info'!E4729,'Customer Info'!E4729:E5228,1,0)</f>
        <v>#N/A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79</v>
      </c>
      <c r="R4737" s="2" t="s">
        <v>28</v>
      </c>
      <c r="S4737" s="9">
        <f t="shared" si="369"/>
        <v>0.02</v>
      </c>
    </row>
    <row r="4738" spans="1:19" x14ac:dyDescent="0.3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e">
        <f>VLOOKUP('Customer Info'!B4730,'Customer Info'!B4730:B5229,1,0)</f>
        <v>#N/A</v>
      </c>
      <c r="H4738" s="6" t="e">
        <f>VLOOKUP('Customer Info'!C4730,'Customer Info'!C4730:C5229,1)</f>
        <v>#N/A</v>
      </c>
      <c r="I4738" s="6" t="e">
        <f>VLOOKUP('Customer Info'!E4730,'Customer Info'!E4730:E5229,1,0)</f>
        <v>#N/A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5</v>
      </c>
      <c r="R4738" s="2" t="s">
        <v>28</v>
      </c>
      <c r="S4738" s="9">
        <f t="shared" si="369"/>
        <v>0.02</v>
      </c>
    </row>
    <row r="4739" spans="1:19" x14ac:dyDescent="0.3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e">
        <f>VLOOKUP('Customer Info'!B4731,'Customer Info'!B4731:B5230,1,0)</f>
        <v>#N/A</v>
      </c>
      <c r="H4739" s="6" t="e">
        <f>VLOOKUP('Customer Info'!C4731,'Customer Info'!C4731:C5230,1)</f>
        <v>#N/A</v>
      </c>
      <c r="I4739" s="6" t="e">
        <f>VLOOKUP('Customer Info'!E4731,'Customer Info'!E4731:E5230,1,0)</f>
        <v>#N/A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306</v>
      </c>
      <c r="R4739" s="2" t="s">
        <v>28</v>
      </c>
      <c r="S4739" s="9">
        <f t="shared" si="369"/>
        <v>0.05</v>
      </c>
    </row>
    <row r="4740" spans="1:19" x14ac:dyDescent="0.3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e">
        <f>VLOOKUP('Customer Info'!B4732,'Customer Info'!B4732:B5231,1,0)</f>
        <v>#N/A</v>
      </c>
      <c r="H4740" s="6" t="e">
        <f>VLOOKUP('Customer Info'!C4732,'Customer Info'!C4732:C5231,1)</f>
        <v>#N/A</v>
      </c>
      <c r="I4740" s="6" t="e">
        <f>VLOOKUP('Customer Info'!E4732,'Customer Info'!E4732:E5231,1,0)</f>
        <v>#N/A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582</v>
      </c>
      <c r="R4740" s="2" t="s">
        <v>28</v>
      </c>
      <c r="S4740" s="9">
        <f t="shared" si="369"/>
        <v>0.05</v>
      </c>
    </row>
    <row r="4741" spans="1:19" x14ac:dyDescent="0.3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e">
        <f>VLOOKUP('Customer Info'!B4733,'Customer Info'!B4733:B5232,1,0)</f>
        <v>#N/A</v>
      </c>
      <c r="H4741" s="6" t="e">
        <f>VLOOKUP('Customer Info'!C4733,'Customer Info'!C4733:C5232,1)</f>
        <v>#N/A</v>
      </c>
      <c r="I4741" s="6" t="e">
        <f>VLOOKUP('Customer Info'!E4733,'Customer Info'!E4733:E5232,1,0)</f>
        <v>#N/A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810</v>
      </c>
      <c r="R4741" s="2" t="s">
        <v>28</v>
      </c>
      <c r="S4741" s="9">
        <f t="shared" si="369"/>
        <v>0.05</v>
      </c>
    </row>
    <row r="4742" spans="1:19" x14ac:dyDescent="0.3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e">
        <f>VLOOKUP('Customer Info'!B4734,'Customer Info'!B4734:B5233,1,0)</f>
        <v>#N/A</v>
      </c>
      <c r="H4742" s="6" t="e">
        <f>VLOOKUP('Customer Info'!C4734,'Customer Info'!C4734:C5233,1)</f>
        <v>#N/A</v>
      </c>
      <c r="I4742" s="6" t="e">
        <f>VLOOKUP('Customer Info'!E4734,'Customer Info'!E4734:E5233,1,0)</f>
        <v>#N/A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270</v>
      </c>
      <c r="R4742" s="2" t="s">
        <v>50</v>
      </c>
      <c r="S4742" s="9">
        <f t="shared" si="369"/>
        <v>0.05</v>
      </c>
    </row>
    <row r="4743" spans="1:19" x14ac:dyDescent="0.3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e">
        <f>VLOOKUP('Customer Info'!B4735,'Customer Info'!B4735:B5234,1,0)</f>
        <v>#N/A</v>
      </c>
      <c r="H4743" s="6" t="e">
        <f>VLOOKUP('Customer Info'!C4735,'Customer Info'!C4735:C5234,1)</f>
        <v>#N/A</v>
      </c>
      <c r="I4743" s="6" t="e">
        <f>VLOOKUP('Customer Info'!E4735,'Customer Info'!E4735:E5234,1,0)</f>
        <v>#N/A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6</v>
      </c>
      <c r="R4743" s="2" t="s">
        <v>50</v>
      </c>
      <c r="S4743" s="9">
        <f t="shared" si="369"/>
        <v>0.02</v>
      </c>
    </row>
    <row r="4744" spans="1:19" x14ac:dyDescent="0.3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e">
        <f>VLOOKUP('Customer Info'!B4736,'Customer Info'!B4736:B5235,1,0)</f>
        <v>#N/A</v>
      </c>
      <c r="H4744" s="6" t="e">
        <f>VLOOKUP('Customer Info'!C4736,'Customer Info'!C4736:C5235,1)</f>
        <v>#N/A</v>
      </c>
      <c r="I4744" s="6" t="e">
        <f>VLOOKUP('Customer Info'!E4736,'Customer Info'!E4736:E5235,1,0)</f>
        <v>#N/A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2535</v>
      </c>
      <c r="R4744" s="2" t="s">
        <v>50</v>
      </c>
      <c r="S4744" s="9">
        <f t="shared" si="369"/>
        <v>7.0000000000000007E-2</v>
      </c>
    </row>
    <row r="4745" spans="1:19" x14ac:dyDescent="0.3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e">
        <f>VLOOKUP('Customer Info'!B4737,'Customer Info'!B4737:B5236,1,0)</f>
        <v>#N/A</v>
      </c>
      <c r="H4745" s="6" t="e">
        <f>VLOOKUP('Customer Info'!C4737,'Customer Info'!C4737:C5236,1)</f>
        <v>#N/A</v>
      </c>
      <c r="I4745" s="6" t="e">
        <f>VLOOKUP('Customer Info'!E4737,'Customer Info'!E4737:E5236,1,0)</f>
        <v>#N/A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360</v>
      </c>
      <c r="R4745" s="2" t="s">
        <v>56</v>
      </c>
      <c r="S4745" s="9">
        <f t="shared" si="369"/>
        <v>0.05</v>
      </c>
    </row>
    <row r="4746" spans="1:19" x14ac:dyDescent="0.3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e">
        <f>VLOOKUP('Customer Info'!B4738,'Customer Info'!B4738:B5237,1,0)</f>
        <v>#N/A</v>
      </c>
      <c r="H4746" s="6" t="e">
        <f>VLOOKUP('Customer Info'!C4738,'Customer Info'!C4738:C5237,1)</f>
        <v>#N/A</v>
      </c>
      <c r="I4746" s="6" t="e">
        <f>VLOOKUP('Customer Info'!E4738,'Customer Info'!E4738:E5237,1,0)</f>
        <v>#N/A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4</v>
      </c>
      <c r="R4746" s="2" t="s">
        <v>28</v>
      </c>
      <c r="S4746" s="9">
        <f t="shared" si="369"/>
        <v>0.02</v>
      </c>
    </row>
    <row r="4747" spans="1:19" x14ac:dyDescent="0.3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e">
        <f>VLOOKUP('Customer Info'!B4739,'Customer Info'!B4739:B5238,1,0)</f>
        <v>#N/A</v>
      </c>
      <c r="H4747" s="6" t="e">
        <f>VLOOKUP('Customer Info'!C4739,'Customer Info'!C4739:C5238,1)</f>
        <v>#N/A</v>
      </c>
      <c r="I4747" s="6" t="e">
        <f>VLOOKUP('Customer Info'!E4739,'Customer Info'!E4739:E5238,1,0)</f>
        <v>#N/A</v>
      </c>
      <c r="J4747" s="2">
        <v>1081</v>
      </c>
      <c r="K4747" s="2">
        <v>983</v>
      </c>
      <c r="L4747" s="2">
        <v>3</v>
      </c>
      <c r="M4747" s="7">
        <f t="shared" ref="M4747:M4810" si="370">(K4747*L4747)</f>
        <v>2949</v>
      </c>
      <c r="N4747" s="7">
        <f t="shared" ref="N4747:N4810" si="371">(J4747*L4747)</f>
        <v>3243</v>
      </c>
      <c r="O4747" s="2">
        <v>44</v>
      </c>
      <c r="P4747" s="8">
        <f t="shared" ref="P4747:P4810" si="372">(N4747+O4747)</f>
        <v>3287</v>
      </c>
      <c r="Q4747" s="8">
        <f t="shared" ref="Q4747:Q4810" si="373">(N4747-M4747)</f>
        <v>294</v>
      </c>
      <c r="R4747" s="2" t="s">
        <v>28</v>
      </c>
      <c r="S4747" s="9">
        <f t="shared" ref="S4747:S4810" si="374">_xlfn.IFS(P4747&gt;250000,0.15,P4747&gt;100000,0.12,P4747&gt;50000,0.09,P4747&gt;25000,0.07,P4747&gt;5000,0.05,
 TRUE,0.02)</f>
        <v>0.02</v>
      </c>
    </row>
    <row r="4748" spans="1:19" x14ac:dyDescent="0.3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e">
        <f>VLOOKUP('Customer Info'!B4740,'Customer Info'!B4740:B5239,1,0)</f>
        <v>#N/A</v>
      </c>
      <c r="H4748" s="6" t="e">
        <f>VLOOKUP('Customer Info'!C4740,'Customer Info'!C4740:C5239,1)</f>
        <v>#N/A</v>
      </c>
      <c r="I4748" s="6" t="e">
        <f>VLOOKUP('Customer Info'!E4740,'Customer Info'!E4740:E5239,1,0)</f>
        <v>#N/A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60</v>
      </c>
      <c r="R4748" s="2" t="s">
        <v>28</v>
      </c>
      <c r="S4748" s="9">
        <f t="shared" si="374"/>
        <v>0.02</v>
      </c>
    </row>
    <row r="4749" spans="1:19" x14ac:dyDescent="0.3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e">
        <f>VLOOKUP('Customer Info'!B4741,'Customer Info'!B4741:B5240,1,0)</f>
        <v>#N/A</v>
      </c>
      <c r="H4749" s="6" t="e">
        <f>VLOOKUP('Customer Info'!C4741,'Customer Info'!C4741:C5240,1)</f>
        <v>#N/A</v>
      </c>
      <c r="I4749" s="6" t="e">
        <f>VLOOKUP('Customer Info'!E4741,'Customer Info'!E4741:E5240,1,0)</f>
        <v>#N/A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1800</v>
      </c>
      <c r="R4749" s="2" t="s">
        <v>26</v>
      </c>
      <c r="S4749" s="9">
        <f t="shared" si="374"/>
        <v>0.05</v>
      </c>
    </row>
    <row r="4750" spans="1:19" x14ac:dyDescent="0.3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e">
        <f>VLOOKUP('Customer Info'!B4742,'Customer Info'!B4742:B5241,1,0)</f>
        <v>#N/A</v>
      </c>
      <c r="H4750" s="6" t="e">
        <f>VLOOKUP('Customer Info'!C4742,'Customer Info'!C4742:C5241,1)</f>
        <v>#N/A</v>
      </c>
      <c r="I4750" s="6" t="e">
        <f>VLOOKUP('Customer Info'!E4742,'Customer Info'!E4742:E5241,1,0)</f>
        <v>#N/A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590</v>
      </c>
      <c r="R4750" s="2" t="s">
        <v>28</v>
      </c>
      <c r="S4750" s="9">
        <f t="shared" si="374"/>
        <v>0.05</v>
      </c>
    </row>
    <row r="4751" spans="1:19" x14ac:dyDescent="0.3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e">
        <f>VLOOKUP('Customer Info'!B4743,'Customer Info'!B4743:B5242,1,0)</f>
        <v>#N/A</v>
      </c>
      <c r="H4751" s="6" t="e">
        <f>VLOOKUP('Customer Info'!C4743,'Customer Info'!C4743:C5242,1)</f>
        <v>#N/A</v>
      </c>
      <c r="I4751" s="6" t="e">
        <f>VLOOKUP('Customer Info'!E4743,'Customer Info'!E4743:E5242,1,0)</f>
        <v>#N/A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1616</v>
      </c>
      <c r="R4751" s="2" t="s">
        <v>28</v>
      </c>
      <c r="S4751" s="9">
        <f t="shared" si="374"/>
        <v>0.05</v>
      </c>
    </row>
    <row r="4752" spans="1:19" x14ac:dyDescent="0.3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e">
        <f>VLOOKUP('Customer Info'!B4744,'Customer Info'!B4744:B5243,1,0)</f>
        <v>#N/A</v>
      </c>
      <c r="H4752" s="6" t="e">
        <f>VLOOKUP('Customer Info'!C4744,'Customer Info'!C4744:C5243,1)</f>
        <v>#N/A</v>
      </c>
      <c r="I4752" s="6" t="e">
        <f>VLOOKUP('Customer Info'!E4744,'Customer Info'!E4744:E5243,1,0)</f>
        <v>#N/A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538</v>
      </c>
      <c r="R4752" s="2" t="s">
        <v>28</v>
      </c>
      <c r="S4752" s="9">
        <f t="shared" si="374"/>
        <v>0.05</v>
      </c>
    </row>
    <row r="4753" spans="1:19" x14ac:dyDescent="0.3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e">
        <f>VLOOKUP('Customer Info'!B4745,'Customer Info'!B4745:B5244,1,0)</f>
        <v>#N/A</v>
      </c>
      <c r="H4753" s="6" t="e">
        <f>VLOOKUP('Customer Info'!C4745,'Customer Info'!C4745:C5244,1)</f>
        <v>#N/A</v>
      </c>
      <c r="I4753" s="6" t="e">
        <f>VLOOKUP('Customer Info'!E4745,'Customer Info'!E4745:E5244,1,0)</f>
        <v>#N/A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10</v>
      </c>
      <c r="R4753" s="2" t="s">
        <v>50</v>
      </c>
      <c r="S4753" s="9">
        <f t="shared" si="374"/>
        <v>0.02</v>
      </c>
    </row>
    <row r="4754" spans="1:19" x14ac:dyDescent="0.3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e">
        <f>VLOOKUP('Customer Info'!B4746,'Customer Info'!B4746:B5245,1,0)</f>
        <v>#N/A</v>
      </c>
      <c r="H4754" s="6" t="e">
        <f>VLOOKUP('Customer Info'!C4746,'Customer Info'!C4746:C5245,1)</f>
        <v>#N/A</v>
      </c>
      <c r="I4754" s="6" t="e">
        <f>VLOOKUP('Customer Info'!E4746,'Customer Info'!E4746:E5245,1,0)</f>
        <v>#N/A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205</v>
      </c>
      <c r="R4754" s="2" t="s">
        <v>28</v>
      </c>
      <c r="S4754" s="9">
        <f t="shared" si="374"/>
        <v>0.02</v>
      </c>
    </row>
    <row r="4755" spans="1:19" x14ac:dyDescent="0.3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e">
        <f>VLOOKUP('Customer Info'!B4747,'Customer Info'!B4747:B5246,1,0)</f>
        <v>#N/A</v>
      </c>
      <c r="H4755" s="6" t="e">
        <f>VLOOKUP('Customer Info'!C4747,'Customer Info'!C4747:C5246,1)</f>
        <v>#N/A</v>
      </c>
      <c r="I4755" s="6" t="e">
        <f>VLOOKUP('Customer Info'!E4747,'Customer Info'!E4747:E5246,1,0)</f>
        <v>#N/A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958</v>
      </c>
      <c r="R4755" s="2" t="s">
        <v>50</v>
      </c>
      <c r="S4755" s="9">
        <f t="shared" si="374"/>
        <v>0.05</v>
      </c>
    </row>
    <row r="4756" spans="1:19" x14ac:dyDescent="0.3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e">
        <f>VLOOKUP('Customer Info'!B4748,'Customer Info'!B4748:B5247,1,0)</f>
        <v>#N/A</v>
      </c>
      <c r="H4756" s="6" t="e">
        <f>VLOOKUP('Customer Info'!C4748,'Customer Info'!C4748:C5247,1)</f>
        <v>#N/A</v>
      </c>
      <c r="I4756" s="6" t="e">
        <f>VLOOKUP('Customer Info'!E4748,'Customer Info'!E4748:E5247,1,0)</f>
        <v>#N/A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616</v>
      </c>
      <c r="R4756" s="2" t="s">
        <v>28</v>
      </c>
      <c r="S4756" s="9">
        <f t="shared" si="374"/>
        <v>0.02</v>
      </c>
    </row>
    <row r="4757" spans="1:19" x14ac:dyDescent="0.3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e">
        <f>VLOOKUP('Customer Info'!B4749,'Customer Info'!B4749:B5248,1,0)</f>
        <v>#N/A</v>
      </c>
      <c r="H4757" s="6" t="e">
        <f>VLOOKUP('Customer Info'!C4749,'Customer Info'!C4749:C5248,1)</f>
        <v>#N/A</v>
      </c>
      <c r="I4757" s="6" t="e">
        <f>VLOOKUP('Customer Info'!E4749,'Customer Info'!E4749:E5248,1,0)</f>
        <v>#N/A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954</v>
      </c>
      <c r="R4757" s="2" t="s">
        <v>50</v>
      </c>
      <c r="S4757" s="9">
        <f t="shared" si="374"/>
        <v>7.0000000000000007E-2</v>
      </c>
    </row>
    <row r="4758" spans="1:19" x14ac:dyDescent="0.3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e">
        <f>VLOOKUP('Customer Info'!B4750,'Customer Info'!B4750:B5249,1,0)</f>
        <v>#N/A</v>
      </c>
      <c r="H4758" s="6" t="e">
        <f>VLOOKUP('Customer Info'!C4750,'Customer Info'!C4750:C5249,1)</f>
        <v>#N/A</v>
      </c>
      <c r="I4758" s="6" t="e">
        <f>VLOOKUP('Customer Info'!E4750,'Customer Info'!E4750:E5249,1,0)</f>
        <v>#N/A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174</v>
      </c>
      <c r="R4758" s="2" t="s">
        <v>50</v>
      </c>
      <c r="S4758" s="9">
        <f t="shared" si="374"/>
        <v>0.05</v>
      </c>
    </row>
    <row r="4759" spans="1:19" x14ac:dyDescent="0.3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e">
        <f>VLOOKUP('Customer Info'!B4751,'Customer Info'!B4751:B5250,1,0)</f>
        <v>#N/A</v>
      </c>
      <c r="H4759" s="6" t="e">
        <f>VLOOKUP('Customer Info'!C4751,'Customer Info'!C4751:C5250,1)</f>
        <v>#N/A</v>
      </c>
      <c r="I4759" s="6" t="e">
        <f>VLOOKUP('Customer Info'!E4751,'Customer Info'!E4751:E5250,1,0)</f>
        <v>#N/A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118</v>
      </c>
      <c r="R4759" s="2" t="s">
        <v>28</v>
      </c>
      <c r="S4759" s="9">
        <f t="shared" si="374"/>
        <v>0.02</v>
      </c>
    </row>
    <row r="4760" spans="1:19" x14ac:dyDescent="0.3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e">
        <f>VLOOKUP('Customer Info'!B4752,'Customer Info'!B4752:B5251,1,0)</f>
        <v>#N/A</v>
      </c>
      <c r="H4760" s="6" t="e">
        <f>VLOOKUP('Customer Info'!C4752,'Customer Info'!C4752:C5251,1)</f>
        <v>#N/A</v>
      </c>
      <c r="I4760" s="6" t="e">
        <f>VLOOKUP('Customer Info'!E4752,'Customer Info'!E4752:E5251,1,0)</f>
        <v>#N/A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120</v>
      </c>
      <c r="R4760" s="2" t="s">
        <v>50</v>
      </c>
      <c r="S4760" s="9">
        <f t="shared" si="374"/>
        <v>0.05</v>
      </c>
    </row>
    <row r="4761" spans="1:19" x14ac:dyDescent="0.3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e">
        <f>VLOOKUP('Customer Info'!B4753,'Customer Info'!B4753:B5252,1,0)</f>
        <v>#N/A</v>
      </c>
      <c r="H4761" s="6" t="e">
        <f>VLOOKUP('Customer Info'!C4753,'Customer Info'!C4753:C5252,1)</f>
        <v>#N/A</v>
      </c>
      <c r="I4761" s="6" t="e">
        <f>VLOOKUP('Customer Info'!E4753,'Customer Info'!E4753:E5252,1,0)</f>
        <v>#N/A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22</v>
      </c>
      <c r="R4761" s="2" t="s">
        <v>28</v>
      </c>
      <c r="S4761" s="9">
        <f t="shared" si="374"/>
        <v>0.02</v>
      </c>
    </row>
    <row r="4762" spans="1:19" x14ac:dyDescent="0.3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e">
        <f>VLOOKUP('Customer Info'!B4754,'Customer Info'!B4754:B5253,1,0)</f>
        <v>#N/A</v>
      </c>
      <c r="H4762" s="6" t="e">
        <f>VLOOKUP('Customer Info'!C4754,'Customer Info'!C4754:C5253,1)</f>
        <v>#N/A</v>
      </c>
      <c r="I4762" s="6" t="e">
        <f>VLOOKUP('Customer Info'!E4754,'Customer Info'!E4754:E5253,1,0)</f>
        <v>#N/A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84</v>
      </c>
      <c r="R4762" s="2" t="s">
        <v>50</v>
      </c>
      <c r="S4762" s="9">
        <f t="shared" si="374"/>
        <v>0.02</v>
      </c>
    </row>
    <row r="4763" spans="1:19" x14ac:dyDescent="0.3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e">
        <f>VLOOKUP('Customer Info'!B4755,'Customer Info'!B4755:B5254,1,0)</f>
        <v>#N/A</v>
      </c>
      <c r="H4763" s="6" t="e">
        <f>VLOOKUP('Customer Info'!C4755,'Customer Info'!C4755:C5254,1)</f>
        <v>#N/A</v>
      </c>
      <c r="I4763" s="6" t="e">
        <f>VLOOKUP('Customer Info'!E4755,'Customer Info'!E4755:E5254,1,0)</f>
        <v>#N/A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146</v>
      </c>
      <c r="R4763" s="2" t="s">
        <v>28</v>
      </c>
      <c r="S4763" s="9">
        <f t="shared" si="374"/>
        <v>0.02</v>
      </c>
    </row>
    <row r="4764" spans="1:19" x14ac:dyDescent="0.3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e">
        <f>VLOOKUP('Customer Info'!B4756,'Customer Info'!B4756:B5255,1,0)</f>
        <v>#N/A</v>
      </c>
      <c r="H4764" s="6" t="e">
        <f>VLOOKUP('Customer Info'!C4756,'Customer Info'!C4756:C5255,1)</f>
        <v>#N/A</v>
      </c>
      <c r="I4764" s="6" t="e">
        <f>VLOOKUP('Customer Info'!E4756,'Customer Info'!E4756:E5255,1,0)</f>
        <v>#N/A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2985</v>
      </c>
      <c r="R4764" s="2" t="s">
        <v>56</v>
      </c>
      <c r="S4764" s="9">
        <f t="shared" si="374"/>
        <v>7.0000000000000007E-2</v>
      </c>
    </row>
    <row r="4765" spans="1:19" x14ac:dyDescent="0.3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e">
        <f>VLOOKUP('Customer Info'!B4757,'Customer Info'!B4757:B5256,1,0)</f>
        <v>#N/A</v>
      </c>
      <c r="H4765" s="6" t="e">
        <f>VLOOKUP('Customer Info'!C4757,'Customer Info'!C4757:C5256,1)</f>
        <v>#N/A</v>
      </c>
      <c r="I4765" s="6" t="e">
        <f>VLOOKUP('Customer Info'!E4757,'Customer Info'!E4757:E5256,1,0)</f>
        <v>#N/A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20</v>
      </c>
      <c r="R4765" s="2" t="s">
        <v>28</v>
      </c>
      <c r="S4765" s="9">
        <f t="shared" si="374"/>
        <v>0.02</v>
      </c>
    </row>
    <row r="4766" spans="1:19" x14ac:dyDescent="0.3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e">
        <f>VLOOKUP('Customer Info'!B4758,'Customer Info'!B4758:B5257,1,0)</f>
        <v>#N/A</v>
      </c>
      <c r="H4766" s="6" t="e">
        <f>VLOOKUP('Customer Info'!C4758,'Customer Info'!C4758:C5257,1)</f>
        <v>#N/A</v>
      </c>
      <c r="I4766" s="6" t="e">
        <f>VLOOKUP('Customer Info'!E4758,'Customer Info'!E4758:E5257,1,0)</f>
        <v>#N/A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55</v>
      </c>
      <c r="R4766" s="2" t="s">
        <v>28</v>
      </c>
      <c r="S4766" s="9">
        <f t="shared" si="374"/>
        <v>0.02</v>
      </c>
    </row>
    <row r="4767" spans="1:19" x14ac:dyDescent="0.3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e">
        <f>VLOOKUP('Customer Info'!B4759,'Customer Info'!B4759:B5258,1,0)</f>
        <v>#N/A</v>
      </c>
      <c r="H4767" s="6" t="e">
        <f>VLOOKUP('Customer Info'!C4759,'Customer Info'!C4759:C5258,1)</f>
        <v>#N/A</v>
      </c>
      <c r="I4767" s="6" t="e">
        <f>VLOOKUP('Customer Info'!E4759,'Customer Info'!E4759:E5258,1,0)</f>
        <v>#N/A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388</v>
      </c>
      <c r="R4767" s="2" t="s">
        <v>50</v>
      </c>
      <c r="S4767" s="9">
        <f t="shared" si="374"/>
        <v>0.02</v>
      </c>
    </row>
    <row r="4768" spans="1:19" x14ac:dyDescent="0.3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e">
        <f>VLOOKUP('Customer Info'!B4760,'Customer Info'!B4760:B5259,1,0)</f>
        <v>#N/A</v>
      </c>
      <c r="H4768" s="6" t="e">
        <f>VLOOKUP('Customer Info'!C4760,'Customer Info'!C4760:C5259,1)</f>
        <v>#N/A</v>
      </c>
      <c r="I4768" s="6" t="e">
        <f>VLOOKUP('Customer Info'!E4760,'Customer Info'!E4760:E5259,1,0)</f>
        <v>#N/A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54</v>
      </c>
      <c r="R4768" s="2" t="s">
        <v>50</v>
      </c>
      <c r="S4768" s="9">
        <f t="shared" si="374"/>
        <v>0.02</v>
      </c>
    </row>
    <row r="4769" spans="1:19" x14ac:dyDescent="0.3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e">
        <f>VLOOKUP('Customer Info'!B4761,'Customer Info'!B4761:B5260,1,0)</f>
        <v>#N/A</v>
      </c>
      <c r="H4769" s="6" t="e">
        <f>VLOOKUP('Customer Info'!C4761,'Customer Info'!C4761:C5260,1)</f>
        <v>#N/A</v>
      </c>
      <c r="I4769" s="6" t="e">
        <f>VLOOKUP('Customer Info'!E4761,'Customer Info'!E4761:E5260,1,0)</f>
        <v>#N/A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469</v>
      </c>
      <c r="R4769" s="2" t="s">
        <v>50</v>
      </c>
      <c r="S4769" s="9">
        <f t="shared" si="374"/>
        <v>0.05</v>
      </c>
    </row>
    <row r="4770" spans="1:19" x14ac:dyDescent="0.3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e">
        <f>VLOOKUP('Customer Info'!B4762,'Customer Info'!B4762:B5261,1,0)</f>
        <v>#N/A</v>
      </c>
      <c r="H4770" s="6" t="e">
        <f>VLOOKUP('Customer Info'!C4762,'Customer Info'!C4762:C5261,1)</f>
        <v>#N/A</v>
      </c>
      <c r="I4770" s="6" t="e">
        <f>VLOOKUP('Customer Info'!E4762,'Customer Info'!E4762:E5261,1,0)</f>
        <v>#N/A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34</v>
      </c>
      <c r="R4770" s="2" t="s">
        <v>50</v>
      </c>
      <c r="S4770" s="9">
        <f t="shared" si="374"/>
        <v>0.02</v>
      </c>
    </row>
    <row r="4771" spans="1:19" x14ac:dyDescent="0.3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e">
        <f>VLOOKUP('Customer Info'!B4763,'Customer Info'!B4763:B5262,1,0)</f>
        <v>#N/A</v>
      </c>
      <c r="H4771" s="6" t="e">
        <f>VLOOKUP('Customer Info'!C4763,'Customer Info'!C4763:C5262,1)</f>
        <v>#N/A</v>
      </c>
      <c r="I4771" s="6" t="e">
        <f>VLOOKUP('Customer Info'!E4763,'Customer Info'!E4763:E5262,1,0)</f>
        <v>#N/A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9</v>
      </c>
      <c r="R4771" s="2" t="s">
        <v>50</v>
      </c>
      <c r="S4771" s="9">
        <f t="shared" si="374"/>
        <v>0.02</v>
      </c>
    </row>
    <row r="4772" spans="1:19" x14ac:dyDescent="0.3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e">
        <f>VLOOKUP('Customer Info'!B4764,'Customer Info'!B4764:B5263,1,0)</f>
        <v>#N/A</v>
      </c>
      <c r="H4772" s="6" t="e">
        <f>VLOOKUP('Customer Info'!C4764,'Customer Info'!C4764:C5263,1)</f>
        <v>#N/A</v>
      </c>
      <c r="I4772" s="6" t="e">
        <f>VLOOKUP('Customer Info'!E4764,'Customer Info'!E4764:E5263,1,0)</f>
        <v>#N/A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1362</v>
      </c>
      <c r="R4772" s="2" t="s">
        <v>56</v>
      </c>
      <c r="S4772" s="9">
        <f t="shared" si="374"/>
        <v>0.05</v>
      </c>
    </row>
    <row r="4773" spans="1:19" x14ac:dyDescent="0.3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e">
        <f>VLOOKUP('Customer Info'!B4765,'Customer Info'!B4765:B5264,1,0)</f>
        <v>#N/A</v>
      </c>
      <c r="H4773" s="6" t="e">
        <f>VLOOKUP('Customer Info'!C4765,'Customer Info'!C4765:C5264,1)</f>
        <v>#N/A</v>
      </c>
      <c r="I4773" s="6" t="e">
        <f>VLOOKUP('Customer Info'!E4765,'Customer Info'!E4765:E5264,1,0)</f>
        <v>#N/A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4</v>
      </c>
      <c r="R4773" s="2" t="s">
        <v>50</v>
      </c>
      <c r="S4773" s="9">
        <f t="shared" si="374"/>
        <v>0.02</v>
      </c>
    </row>
    <row r="4774" spans="1:19" x14ac:dyDescent="0.3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e">
        <f>VLOOKUP('Customer Info'!B4766,'Customer Info'!B4766:B5265,1,0)</f>
        <v>#N/A</v>
      </c>
      <c r="H4774" s="6" t="e">
        <f>VLOOKUP('Customer Info'!C4766,'Customer Info'!C4766:C5265,1)</f>
        <v>#N/A</v>
      </c>
      <c r="I4774" s="6" t="e">
        <f>VLOOKUP('Customer Info'!E4766,'Customer Info'!E4766:E5265,1,0)</f>
        <v>#N/A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480</v>
      </c>
      <c r="R4774" s="2" t="s">
        <v>50</v>
      </c>
      <c r="S4774" s="9">
        <f t="shared" si="374"/>
        <v>0.05</v>
      </c>
    </row>
    <row r="4775" spans="1:19" x14ac:dyDescent="0.3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e">
        <f>VLOOKUP('Customer Info'!B4767,'Customer Info'!B4767:B5266,1,0)</f>
        <v>#N/A</v>
      </c>
      <c r="H4775" s="6" t="e">
        <f>VLOOKUP('Customer Info'!C4767,'Customer Info'!C4767:C5266,1)</f>
        <v>#N/A</v>
      </c>
      <c r="I4775" s="6" t="e">
        <f>VLOOKUP('Customer Info'!E4767,'Customer Info'!E4767:E5266,1,0)</f>
        <v>#N/A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444</v>
      </c>
      <c r="R4775" s="2" t="s">
        <v>28</v>
      </c>
      <c r="S4775" s="9">
        <f t="shared" si="374"/>
        <v>0.05</v>
      </c>
    </row>
    <row r="4776" spans="1:19" x14ac:dyDescent="0.3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e">
        <f>VLOOKUP('Customer Info'!B4768,'Customer Info'!B4768:B5267,1,0)</f>
        <v>#N/A</v>
      </c>
      <c r="H4776" s="6" t="e">
        <f>VLOOKUP('Customer Info'!C4768,'Customer Info'!C4768:C5267,1)</f>
        <v>#N/A</v>
      </c>
      <c r="I4776" s="6" t="e">
        <f>VLOOKUP('Customer Info'!E4768,'Customer Info'!E4768:E5267,1,0)</f>
        <v>#N/A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50</v>
      </c>
      <c r="R4776" s="2" t="s">
        <v>28</v>
      </c>
      <c r="S4776" s="9">
        <f t="shared" si="374"/>
        <v>0.02</v>
      </c>
    </row>
    <row r="4777" spans="1:19" x14ac:dyDescent="0.3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e">
        <f>VLOOKUP('Customer Info'!B4769,'Customer Info'!B4769:B5268,1,0)</f>
        <v>#N/A</v>
      </c>
      <c r="H4777" s="6" t="e">
        <f>VLOOKUP('Customer Info'!C4769,'Customer Info'!C4769:C5268,1)</f>
        <v>#N/A</v>
      </c>
      <c r="I4777" s="6" t="e">
        <f>VLOOKUP('Customer Info'!E4769,'Customer Info'!E4769:E5268,1,0)</f>
        <v>#N/A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792</v>
      </c>
      <c r="R4777" s="2" t="s">
        <v>28</v>
      </c>
      <c r="S4777" s="9">
        <f t="shared" si="374"/>
        <v>0.05</v>
      </c>
    </row>
    <row r="4778" spans="1:19" x14ac:dyDescent="0.3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e">
        <f>VLOOKUP('Customer Info'!B4770,'Customer Info'!B4770:B5269,1,0)</f>
        <v>#N/A</v>
      </c>
      <c r="H4778" s="6" t="e">
        <f>VLOOKUP('Customer Info'!C4770,'Customer Info'!C4770:C5269,1)</f>
        <v>#N/A</v>
      </c>
      <c r="I4778" s="6" t="e">
        <f>VLOOKUP('Customer Info'!E4770,'Customer Info'!E4770:E5269,1,0)</f>
        <v>#N/A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80</v>
      </c>
      <c r="R4778" s="2" t="s">
        <v>50</v>
      </c>
      <c r="S4778" s="9">
        <f t="shared" si="374"/>
        <v>0.02</v>
      </c>
    </row>
    <row r="4779" spans="1:19" x14ac:dyDescent="0.3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e">
        <f>VLOOKUP('Customer Info'!B4771,'Customer Info'!B4771:B5270,1,0)</f>
        <v>#N/A</v>
      </c>
      <c r="H4779" s="6" t="e">
        <f>VLOOKUP('Customer Info'!C4771,'Customer Info'!C4771:C5270,1)</f>
        <v>#N/A</v>
      </c>
      <c r="I4779" s="6" t="e">
        <f>VLOOKUP('Customer Info'!E4771,'Customer Info'!E4771:E5270,1,0)</f>
        <v>#N/A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2016</v>
      </c>
      <c r="R4779" s="2" t="s">
        <v>50</v>
      </c>
      <c r="S4779" s="9">
        <f t="shared" si="374"/>
        <v>7.0000000000000007E-2</v>
      </c>
    </row>
    <row r="4780" spans="1:19" x14ac:dyDescent="0.3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e">
        <f>VLOOKUP('Customer Info'!B4772,'Customer Info'!B4772:B5271,1,0)</f>
        <v>#N/A</v>
      </c>
      <c r="H4780" s="6" t="e">
        <f>VLOOKUP('Customer Info'!C4772,'Customer Info'!C4772:C5271,1)</f>
        <v>#N/A</v>
      </c>
      <c r="I4780" s="6" t="e">
        <f>VLOOKUP('Customer Info'!E4772,'Customer Info'!E4772:E5271,1,0)</f>
        <v>#N/A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999</v>
      </c>
      <c r="R4780" s="2" t="s">
        <v>28</v>
      </c>
      <c r="S4780" s="9">
        <f t="shared" si="374"/>
        <v>0.05</v>
      </c>
    </row>
    <row r="4781" spans="1:19" x14ac:dyDescent="0.3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e">
        <f>VLOOKUP('Customer Info'!B4773,'Customer Info'!B4773:B5272,1,0)</f>
        <v>#N/A</v>
      </c>
      <c r="H4781" s="6" t="e">
        <f>VLOOKUP('Customer Info'!C4773,'Customer Info'!C4773:C5272,1)</f>
        <v>#N/A</v>
      </c>
      <c r="I4781" s="6" t="e">
        <f>VLOOKUP('Customer Info'!E4773,'Customer Info'!E4773:E5272,1,0)</f>
        <v>#N/A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45</v>
      </c>
      <c r="R4781" s="2" t="s">
        <v>50</v>
      </c>
      <c r="S4781" s="9">
        <f t="shared" si="374"/>
        <v>0.02</v>
      </c>
    </row>
    <row r="4782" spans="1:19" x14ac:dyDescent="0.3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e">
        <f>VLOOKUP('Customer Info'!B4774,'Customer Info'!B4774:B5273,1,0)</f>
        <v>#N/A</v>
      </c>
      <c r="H4782" s="6" t="e">
        <f>VLOOKUP('Customer Info'!C4774,'Customer Info'!C4774:C5273,1)</f>
        <v>#N/A</v>
      </c>
      <c r="I4782" s="6" t="e">
        <f>VLOOKUP('Customer Info'!E4774,'Customer Info'!E4774:E5273,1,0)</f>
        <v>#N/A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77</v>
      </c>
      <c r="R4782" s="2" t="s">
        <v>50</v>
      </c>
      <c r="S4782" s="9">
        <f t="shared" si="374"/>
        <v>0.02</v>
      </c>
    </row>
    <row r="4783" spans="1:19" x14ac:dyDescent="0.3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e">
        <f>VLOOKUP('Customer Info'!B4775,'Customer Info'!B4775:B5274,1,0)</f>
        <v>#N/A</v>
      </c>
      <c r="H4783" s="6" t="e">
        <f>VLOOKUP('Customer Info'!C4775,'Customer Info'!C4775:C5274,1)</f>
        <v>#N/A</v>
      </c>
      <c r="I4783" s="6" t="e">
        <f>VLOOKUP('Customer Info'!E4775,'Customer Info'!E4775:E5274,1,0)</f>
        <v>#N/A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2055</v>
      </c>
      <c r="R4783" s="2" t="s">
        <v>28</v>
      </c>
      <c r="S4783" s="9">
        <f t="shared" si="374"/>
        <v>0.05</v>
      </c>
    </row>
    <row r="4784" spans="1:19" x14ac:dyDescent="0.3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e">
        <f>VLOOKUP('Customer Info'!B4776,'Customer Info'!B4776:B5275,1,0)</f>
        <v>#N/A</v>
      </c>
      <c r="H4784" s="6" t="e">
        <f>VLOOKUP('Customer Info'!C4776,'Customer Info'!C4776:C5275,1)</f>
        <v>#N/A</v>
      </c>
      <c r="I4784" s="6" t="e">
        <f>VLOOKUP('Customer Info'!E4776,'Customer Info'!E4776:E5275,1,0)</f>
        <v>#N/A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490</v>
      </c>
      <c r="R4784" s="2" t="s">
        <v>28</v>
      </c>
      <c r="S4784" s="9">
        <f t="shared" si="374"/>
        <v>0.05</v>
      </c>
    </row>
    <row r="4785" spans="1:19" x14ac:dyDescent="0.3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e">
        <f>VLOOKUP('Customer Info'!B4777,'Customer Info'!B4777:B5276,1,0)</f>
        <v>#N/A</v>
      </c>
      <c r="H4785" s="6" t="e">
        <f>VLOOKUP('Customer Info'!C4777,'Customer Info'!C4777:C5276,1)</f>
        <v>#N/A</v>
      </c>
      <c r="I4785" s="6" t="e">
        <f>VLOOKUP('Customer Info'!E4777,'Customer Info'!E4777:E5276,1,0)</f>
        <v>#N/A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132</v>
      </c>
      <c r="R4785" s="2" t="s">
        <v>50</v>
      </c>
      <c r="S4785" s="9">
        <f t="shared" si="374"/>
        <v>0.02</v>
      </c>
    </row>
    <row r="4786" spans="1:19" x14ac:dyDescent="0.3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e">
        <f>VLOOKUP('Customer Info'!B4778,'Customer Info'!B4778:B5277,1,0)</f>
        <v>#N/A</v>
      </c>
      <c r="H4786" s="6" t="e">
        <f>VLOOKUP('Customer Info'!C4778,'Customer Info'!C4778:C5277,1)</f>
        <v>#N/A</v>
      </c>
      <c r="I4786" s="6" t="e">
        <f>VLOOKUP('Customer Info'!E4778,'Customer Info'!E4778:E5277,1,0)</f>
        <v>#N/A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48</v>
      </c>
      <c r="R4786" s="2" t="s">
        <v>28</v>
      </c>
      <c r="S4786" s="9">
        <f t="shared" si="374"/>
        <v>0.02</v>
      </c>
    </row>
    <row r="4787" spans="1:19" x14ac:dyDescent="0.3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e">
        <f>VLOOKUP('Customer Info'!B4779,'Customer Info'!B4779:B5278,1,0)</f>
        <v>#N/A</v>
      </c>
      <c r="H4787" s="6" t="e">
        <f>VLOOKUP('Customer Info'!C4779,'Customer Info'!C4779:C5278,1)</f>
        <v>#N/A</v>
      </c>
      <c r="I4787" s="6" t="e">
        <f>VLOOKUP('Customer Info'!E4779,'Customer Info'!E4779:E5278,1,0)</f>
        <v>#N/A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66</v>
      </c>
      <c r="R4787" s="2" t="s">
        <v>50</v>
      </c>
      <c r="S4787" s="9">
        <f t="shared" si="374"/>
        <v>0.02</v>
      </c>
    </row>
    <row r="4788" spans="1:19" x14ac:dyDescent="0.3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e">
        <f>VLOOKUP('Customer Info'!B4780,'Customer Info'!B4780:B5279,1,0)</f>
        <v>#N/A</v>
      </c>
      <c r="H4788" s="6" t="e">
        <f>VLOOKUP('Customer Info'!C4780,'Customer Info'!C4780:C5279,1)</f>
        <v>#N/A</v>
      </c>
      <c r="I4788" s="6" t="e">
        <f>VLOOKUP('Customer Info'!E4780,'Customer Info'!E4780:E5279,1,0)</f>
        <v>#N/A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1272</v>
      </c>
      <c r="R4788" s="2" t="s">
        <v>50</v>
      </c>
      <c r="S4788" s="9">
        <f t="shared" si="374"/>
        <v>7.0000000000000007E-2</v>
      </c>
    </row>
    <row r="4789" spans="1:19" x14ac:dyDescent="0.3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e">
        <f>VLOOKUP('Customer Info'!B4781,'Customer Info'!B4781:B5280,1,0)</f>
        <v>#N/A</v>
      </c>
      <c r="H4789" s="6" t="e">
        <f>VLOOKUP('Customer Info'!C4781,'Customer Info'!C4781:C5280,1)</f>
        <v>#N/A</v>
      </c>
      <c r="I4789" s="6" t="e">
        <f>VLOOKUP('Customer Info'!E4781,'Customer Info'!E4781:E5280,1,0)</f>
        <v>#N/A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552</v>
      </c>
      <c r="R4789" s="2" t="s">
        <v>28</v>
      </c>
      <c r="S4789" s="9">
        <f t="shared" si="374"/>
        <v>0.05</v>
      </c>
    </row>
    <row r="4790" spans="1:19" x14ac:dyDescent="0.3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e">
        <f>VLOOKUP('Customer Info'!B4782,'Customer Info'!B4782:B5281,1,0)</f>
        <v>#N/A</v>
      </c>
      <c r="H4790" s="6" t="e">
        <f>VLOOKUP('Customer Info'!C4782,'Customer Info'!C4782:C5281,1)</f>
        <v>#N/A</v>
      </c>
      <c r="I4790" s="6" t="e">
        <f>VLOOKUP('Customer Info'!E4782,'Customer Info'!E4782:E5281,1,0)</f>
        <v>#N/A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39</v>
      </c>
      <c r="R4790" s="2" t="s">
        <v>26</v>
      </c>
      <c r="S4790" s="9">
        <f t="shared" si="374"/>
        <v>0.02</v>
      </c>
    </row>
    <row r="4791" spans="1:19" x14ac:dyDescent="0.3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e">
        <f>VLOOKUP('Customer Info'!B4783,'Customer Info'!B4783:B5282,1,0)</f>
        <v>#N/A</v>
      </c>
      <c r="H4791" s="6" t="e">
        <f>VLOOKUP('Customer Info'!C4783,'Customer Info'!C4783:C5282,1)</f>
        <v>#N/A</v>
      </c>
      <c r="I4791" s="6" t="e">
        <f>VLOOKUP('Customer Info'!E4783,'Customer Info'!E4783:E5282,1,0)</f>
        <v>#N/A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264</v>
      </c>
      <c r="R4791" s="2" t="s">
        <v>26</v>
      </c>
      <c r="S4791" s="9">
        <f t="shared" si="374"/>
        <v>0.05</v>
      </c>
    </row>
    <row r="4792" spans="1:19" x14ac:dyDescent="0.3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e">
        <f>VLOOKUP('Customer Info'!B4784,'Customer Info'!B4784:B5283,1,0)</f>
        <v>#N/A</v>
      </c>
      <c r="H4792" s="6" t="e">
        <f>VLOOKUP('Customer Info'!C4784,'Customer Info'!C4784:C5283,1)</f>
        <v>#N/A</v>
      </c>
      <c r="I4792" s="6" t="e">
        <f>VLOOKUP('Customer Info'!E4784,'Customer Info'!E4784:E5283,1,0)</f>
        <v>#N/A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45</v>
      </c>
      <c r="R4792" s="2" t="s">
        <v>28</v>
      </c>
      <c r="S4792" s="9">
        <f t="shared" si="374"/>
        <v>0.02</v>
      </c>
    </row>
    <row r="4793" spans="1:19" x14ac:dyDescent="0.3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e">
        <f>VLOOKUP('Customer Info'!B4785,'Customer Info'!B4785:B5284,1,0)</f>
        <v>#N/A</v>
      </c>
      <c r="H4793" s="6" t="e">
        <f>VLOOKUP('Customer Info'!C4785,'Customer Info'!C4785:C5284,1)</f>
        <v>#N/A</v>
      </c>
      <c r="I4793" s="6" t="e">
        <f>VLOOKUP('Customer Info'!E4785,'Customer Info'!E4785:E5284,1,0)</f>
        <v>#N/A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190</v>
      </c>
      <c r="R4793" s="2" t="s">
        <v>28</v>
      </c>
      <c r="S4793" s="9">
        <f t="shared" si="374"/>
        <v>0.02</v>
      </c>
    </row>
    <row r="4794" spans="1:19" x14ac:dyDescent="0.3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e">
        <f>VLOOKUP('Customer Info'!B4786,'Customer Info'!B4786:B5285,1,0)</f>
        <v>#N/A</v>
      </c>
      <c r="H4794" s="6" t="e">
        <f>VLOOKUP('Customer Info'!C4786,'Customer Info'!C4786:C5285,1)</f>
        <v>#N/A</v>
      </c>
      <c r="I4794" s="6" t="e">
        <f>VLOOKUP('Customer Info'!E4786,'Customer Info'!E4786:E5285,1,0)</f>
        <v>#N/A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1928</v>
      </c>
      <c r="R4794" s="2" t="s">
        <v>50</v>
      </c>
      <c r="S4794" s="9">
        <f t="shared" si="374"/>
        <v>0.05</v>
      </c>
    </row>
    <row r="4795" spans="1:19" x14ac:dyDescent="0.3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e">
        <f>VLOOKUP('Customer Info'!B4787,'Customer Info'!B4787:B5286,1,0)</f>
        <v>#N/A</v>
      </c>
      <c r="H4795" s="6" t="e">
        <f>VLOOKUP('Customer Info'!C4787,'Customer Info'!C4787:C5286,1)</f>
        <v>#N/A</v>
      </c>
      <c r="I4795" s="6" t="e">
        <f>VLOOKUP('Customer Info'!E4787,'Customer Info'!E4787:E5286,1,0)</f>
        <v>#N/A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650</v>
      </c>
      <c r="R4795" s="2" t="s">
        <v>28</v>
      </c>
      <c r="S4795" s="9">
        <f t="shared" si="374"/>
        <v>0.05</v>
      </c>
    </row>
    <row r="4796" spans="1:19" x14ac:dyDescent="0.3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e">
        <f>VLOOKUP('Customer Info'!B4788,'Customer Info'!B4788:B5287,1,0)</f>
        <v>#N/A</v>
      </c>
      <c r="H4796" s="6" t="e">
        <f>VLOOKUP('Customer Info'!C4788,'Customer Info'!C4788:C5287,1)</f>
        <v>#N/A</v>
      </c>
      <c r="I4796" s="6" t="e">
        <f>VLOOKUP('Customer Info'!E4788,'Customer Info'!E4788:E5287,1,0)</f>
        <v>#N/A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1632</v>
      </c>
      <c r="R4796" s="2" t="s">
        <v>50</v>
      </c>
      <c r="S4796" s="9">
        <f t="shared" si="374"/>
        <v>0.05</v>
      </c>
    </row>
    <row r="4797" spans="1:19" x14ac:dyDescent="0.3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e">
        <f>VLOOKUP('Customer Info'!B4789,'Customer Info'!B4789:B5288,1,0)</f>
        <v>#N/A</v>
      </c>
      <c r="H4797" s="6" t="e">
        <f>VLOOKUP('Customer Info'!C4789,'Customer Info'!C4789:C5288,1)</f>
        <v>#N/A</v>
      </c>
      <c r="I4797" s="6" t="e">
        <f>VLOOKUP('Customer Info'!E4789,'Customer Info'!E4789:E5288,1,0)</f>
        <v>#N/A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393</v>
      </c>
      <c r="R4797" s="2" t="s">
        <v>28</v>
      </c>
      <c r="S4797" s="9">
        <f t="shared" si="374"/>
        <v>0.02</v>
      </c>
    </row>
    <row r="4798" spans="1:19" x14ac:dyDescent="0.3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e">
        <f>VLOOKUP('Customer Info'!B4790,'Customer Info'!B4790:B5289,1,0)</f>
        <v>#N/A</v>
      </c>
      <c r="H4798" s="6" t="e">
        <f>VLOOKUP('Customer Info'!C4790,'Customer Info'!C4790:C5289,1)</f>
        <v>#N/A</v>
      </c>
      <c r="I4798" s="6" t="e">
        <f>VLOOKUP('Customer Info'!E4790,'Customer Info'!E4790:E5289,1,0)</f>
        <v>#N/A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672</v>
      </c>
      <c r="R4798" s="2" t="s">
        <v>28</v>
      </c>
      <c r="S4798" s="9">
        <f t="shared" si="374"/>
        <v>0.05</v>
      </c>
    </row>
    <row r="4799" spans="1:19" x14ac:dyDescent="0.3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e">
        <f>VLOOKUP('Customer Info'!B4791,'Customer Info'!B4791:B5290,1,0)</f>
        <v>#N/A</v>
      </c>
      <c r="H4799" s="6" t="e">
        <f>VLOOKUP('Customer Info'!C4791,'Customer Info'!C4791:C5290,1)</f>
        <v>#N/A</v>
      </c>
      <c r="I4799" s="6" t="e">
        <f>VLOOKUP('Customer Info'!E4791,'Customer Info'!E4791:E5290,1,0)</f>
        <v>#N/A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156</v>
      </c>
      <c r="R4799" s="2" t="s">
        <v>28</v>
      </c>
      <c r="S4799" s="9">
        <f t="shared" si="374"/>
        <v>0.02</v>
      </c>
    </row>
    <row r="4800" spans="1:19" x14ac:dyDescent="0.3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e">
        <f>VLOOKUP('Customer Info'!B4792,'Customer Info'!B4792:B5291,1,0)</f>
        <v>#N/A</v>
      </c>
      <c r="H4800" s="6" t="e">
        <f>VLOOKUP('Customer Info'!C4792,'Customer Info'!C4792:C5291,1)</f>
        <v>#N/A</v>
      </c>
      <c r="I4800" s="6" t="e">
        <f>VLOOKUP('Customer Info'!E4792,'Customer Info'!E4792:E5291,1,0)</f>
        <v>#N/A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1216</v>
      </c>
      <c r="R4800" s="2" t="s">
        <v>28</v>
      </c>
      <c r="S4800" s="9">
        <f t="shared" si="374"/>
        <v>0.05</v>
      </c>
    </row>
    <row r="4801" spans="1:19" x14ac:dyDescent="0.3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e">
        <f>VLOOKUP('Customer Info'!B4793,'Customer Info'!B4793:B5292,1,0)</f>
        <v>#N/A</v>
      </c>
      <c r="H4801" s="6" t="e">
        <f>VLOOKUP('Customer Info'!C4793,'Customer Info'!C4793:C5292,1)</f>
        <v>#N/A</v>
      </c>
      <c r="I4801" s="6" t="e">
        <f>VLOOKUP('Customer Info'!E4793,'Customer Info'!E4793:E5292,1,0)</f>
        <v>#N/A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462</v>
      </c>
      <c r="R4801" s="2" t="s">
        <v>28</v>
      </c>
      <c r="S4801" s="9">
        <f t="shared" si="374"/>
        <v>0.05</v>
      </c>
    </row>
    <row r="4802" spans="1:19" x14ac:dyDescent="0.3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e">
        <f>VLOOKUP('Customer Info'!B4794,'Customer Info'!B4794:B5293,1,0)</f>
        <v>#N/A</v>
      </c>
      <c r="H4802" s="6" t="e">
        <f>VLOOKUP('Customer Info'!C4794,'Customer Info'!C4794:C5293,1)</f>
        <v>#N/A</v>
      </c>
      <c r="I4802" s="6" t="e">
        <f>VLOOKUP('Customer Info'!E4794,'Customer Info'!E4794:E5293,1,0)</f>
        <v>#N/A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462</v>
      </c>
      <c r="R4802" s="2" t="s">
        <v>28</v>
      </c>
      <c r="S4802" s="9">
        <f t="shared" si="374"/>
        <v>0.05</v>
      </c>
    </row>
    <row r="4803" spans="1:19" x14ac:dyDescent="0.3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e">
        <f>VLOOKUP('Customer Info'!B4795,'Customer Info'!B4795:B5294,1,0)</f>
        <v>#N/A</v>
      </c>
      <c r="H4803" s="6" t="e">
        <f>VLOOKUP('Customer Info'!C4795,'Customer Info'!C4795:C5294,1)</f>
        <v>#N/A</v>
      </c>
      <c r="I4803" s="6" t="e">
        <f>VLOOKUP('Customer Info'!E4795,'Customer Info'!E4795:E5294,1,0)</f>
        <v>#N/A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2075</v>
      </c>
      <c r="R4803" s="2" t="s">
        <v>28</v>
      </c>
      <c r="S4803" s="9">
        <f t="shared" si="374"/>
        <v>7.0000000000000007E-2</v>
      </c>
    </row>
    <row r="4804" spans="1:19" x14ac:dyDescent="0.3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e">
        <f>VLOOKUP('Customer Info'!B4796,'Customer Info'!B4796:B5295,1,0)</f>
        <v>#N/A</v>
      </c>
      <c r="H4804" s="6" t="e">
        <f>VLOOKUP('Customer Info'!C4796,'Customer Info'!C4796:C5295,1)</f>
        <v>#N/A</v>
      </c>
      <c r="I4804" s="6" t="e">
        <f>VLOOKUP('Customer Info'!E4796,'Customer Info'!E4796:E5295,1,0)</f>
        <v>#N/A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141</v>
      </c>
      <c r="R4804" s="2" t="s">
        <v>28</v>
      </c>
      <c r="S4804" s="9">
        <f t="shared" si="374"/>
        <v>0.02</v>
      </c>
    </row>
    <row r="4805" spans="1:19" x14ac:dyDescent="0.3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e">
        <f>VLOOKUP('Customer Info'!B4797,'Customer Info'!B4797:B5296,1,0)</f>
        <v>#N/A</v>
      </c>
      <c r="H4805" s="6" t="e">
        <f>VLOOKUP('Customer Info'!C4797,'Customer Info'!C4797:C5296,1)</f>
        <v>#N/A</v>
      </c>
      <c r="I4805" s="6" t="e">
        <f>VLOOKUP('Customer Info'!E4797,'Customer Info'!E4797:E5296,1,0)</f>
        <v>#N/A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645</v>
      </c>
      <c r="R4805" s="2" t="s">
        <v>28</v>
      </c>
      <c r="S4805" s="9">
        <f t="shared" si="374"/>
        <v>0.05</v>
      </c>
    </row>
    <row r="4806" spans="1:19" x14ac:dyDescent="0.3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e">
        <f>VLOOKUP('Customer Info'!B4798,'Customer Info'!B4798:B5297,1,0)</f>
        <v>#N/A</v>
      </c>
      <c r="H4806" s="6" t="e">
        <f>VLOOKUP('Customer Info'!C4798,'Customer Info'!C4798:C5297,1)</f>
        <v>#N/A</v>
      </c>
      <c r="I4806" s="6" t="e">
        <f>VLOOKUP('Customer Info'!E4798,'Customer Info'!E4798:E5297,1,0)</f>
        <v>#N/A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690</v>
      </c>
      <c r="R4806" s="2" t="s">
        <v>50</v>
      </c>
      <c r="S4806" s="9">
        <f t="shared" si="374"/>
        <v>0.05</v>
      </c>
    </row>
    <row r="4807" spans="1:19" x14ac:dyDescent="0.3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e">
        <f>VLOOKUP('Customer Info'!B4799,'Customer Info'!B4799:B5298,1,0)</f>
        <v>#N/A</v>
      </c>
      <c r="H4807" s="6" t="e">
        <f>VLOOKUP('Customer Info'!C4799,'Customer Info'!C4799:C5298,1)</f>
        <v>#N/A</v>
      </c>
      <c r="I4807" s="6" t="e">
        <f>VLOOKUP('Customer Info'!E4799,'Customer Info'!E4799:E5298,1,0)</f>
        <v>#N/A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256</v>
      </c>
      <c r="R4807" s="2" t="s">
        <v>50</v>
      </c>
      <c r="S4807" s="9">
        <f t="shared" si="374"/>
        <v>0.05</v>
      </c>
    </row>
    <row r="4808" spans="1:19" x14ac:dyDescent="0.3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e">
        <f>VLOOKUP('Customer Info'!B4800,'Customer Info'!B4800:B5299,1,0)</f>
        <v>#N/A</v>
      </c>
      <c r="H4808" s="6" t="e">
        <f>VLOOKUP('Customer Info'!C4800,'Customer Info'!C4800:C5299,1)</f>
        <v>#N/A</v>
      </c>
      <c r="I4808" s="6" t="e">
        <f>VLOOKUP('Customer Info'!E4800,'Customer Info'!E4800:E5299,1,0)</f>
        <v>#N/A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45</v>
      </c>
      <c r="R4808" s="2" t="s">
        <v>50</v>
      </c>
      <c r="S4808" s="9">
        <f t="shared" si="374"/>
        <v>0.02</v>
      </c>
    </row>
    <row r="4809" spans="1:19" x14ac:dyDescent="0.3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e">
        <f>VLOOKUP('Customer Info'!B4801,'Customer Info'!B4801:B5300,1,0)</f>
        <v>#N/A</v>
      </c>
      <c r="H4809" s="6" t="e">
        <f>VLOOKUP('Customer Info'!C4801,'Customer Info'!C4801:C5300,1)</f>
        <v>#N/A</v>
      </c>
      <c r="I4809" s="6" t="e">
        <f>VLOOKUP('Customer Info'!E4801,'Customer Info'!E4801:E5300,1,0)</f>
        <v>#N/A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576</v>
      </c>
      <c r="R4809" s="2" t="s">
        <v>26</v>
      </c>
      <c r="S4809" s="9">
        <f t="shared" si="374"/>
        <v>0.05</v>
      </c>
    </row>
    <row r="4810" spans="1:19" x14ac:dyDescent="0.3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e">
        <f>VLOOKUP('Customer Info'!B4802,'Customer Info'!B4802:B5301,1,0)</f>
        <v>#N/A</v>
      </c>
      <c r="H4810" s="6" t="e">
        <f>VLOOKUP('Customer Info'!C4802,'Customer Info'!C4802:C5301,1)</f>
        <v>#N/A</v>
      </c>
      <c r="I4810" s="6" t="e">
        <f>VLOOKUP('Customer Info'!E4802,'Customer Info'!E4802:E5301,1,0)</f>
        <v>#N/A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954</v>
      </c>
      <c r="R4810" s="2" t="s">
        <v>28</v>
      </c>
      <c r="S4810" s="9">
        <f t="shared" si="374"/>
        <v>7.0000000000000007E-2</v>
      </c>
    </row>
    <row r="4811" spans="1:19" x14ac:dyDescent="0.3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e">
        <f>VLOOKUP('Customer Info'!B4803,'Customer Info'!B4803:B5302,1,0)</f>
        <v>#N/A</v>
      </c>
      <c r="H4811" s="6" t="e">
        <f>VLOOKUP('Customer Info'!C4803,'Customer Info'!C4803:C5302,1)</f>
        <v>#N/A</v>
      </c>
      <c r="I4811" s="6" t="e">
        <f>VLOOKUP('Customer Info'!E4803,'Customer Info'!E4803:E5302,1,0)</f>
        <v>#N/A</v>
      </c>
      <c r="J4811" s="2">
        <v>63</v>
      </c>
      <c r="K4811" s="2">
        <v>59</v>
      </c>
      <c r="L4811" s="2">
        <v>9</v>
      </c>
      <c r="M4811" s="7">
        <f t="shared" ref="M4811:M4815" si="375">(K4811*L4811)</f>
        <v>531</v>
      </c>
      <c r="N4811" s="7">
        <f t="shared" ref="N4811:N4815" si="376">(J4811*L4811)</f>
        <v>567</v>
      </c>
      <c r="O4811" s="2">
        <v>10</v>
      </c>
      <c r="P4811" s="8">
        <f t="shared" ref="P4811:P4815" si="377">(N4811+O4811)</f>
        <v>577</v>
      </c>
      <c r="Q4811" s="8">
        <f t="shared" ref="Q4811:Q4815" si="378">(N4811-M4811)</f>
        <v>36</v>
      </c>
      <c r="R4811" s="2" t="s">
        <v>28</v>
      </c>
      <c r="S4811" s="9">
        <f t="shared" ref="S4811:S4815" si="379">_xlfn.IFS(P4811&gt;250000,0.15,P4811&gt;100000,0.12,P4811&gt;50000,0.09,P4811&gt;25000,0.07,P4811&gt;5000,0.05,
 TRUE,0.02)</f>
        <v>0.02</v>
      </c>
    </row>
    <row r="4812" spans="1:19" x14ac:dyDescent="0.3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e">
        <f>VLOOKUP('Customer Info'!B4804,'Customer Info'!B4804:B5303,1,0)</f>
        <v>#N/A</v>
      </c>
      <c r="H4812" s="6" t="e">
        <f>VLOOKUP('Customer Info'!C4804,'Customer Info'!C4804:C5303,1)</f>
        <v>#N/A</v>
      </c>
      <c r="I4812" s="6" t="e">
        <f>VLOOKUP('Customer Info'!E4804,'Customer Info'!E4804:E5303,1,0)</f>
        <v>#N/A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3345</v>
      </c>
      <c r="R4812" s="2" t="s">
        <v>50</v>
      </c>
      <c r="S4812" s="9">
        <f t="shared" si="379"/>
        <v>7.0000000000000007E-2</v>
      </c>
    </row>
    <row r="4813" spans="1:19" x14ac:dyDescent="0.3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e">
        <f>VLOOKUP('Customer Info'!B4805,'Customer Info'!B4805:B5304,1,0)</f>
        <v>#N/A</v>
      </c>
      <c r="H4813" s="6" t="e">
        <f>VLOOKUP('Customer Info'!C4805,'Customer Info'!C4805:C5304,1)</f>
        <v>#N/A</v>
      </c>
      <c r="I4813" s="6" t="e">
        <f>VLOOKUP('Customer Info'!E4805,'Customer Info'!E4805:E5304,1,0)</f>
        <v>#N/A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4</v>
      </c>
      <c r="R4813" s="2" t="s">
        <v>28</v>
      </c>
      <c r="S4813" s="9">
        <f t="shared" si="379"/>
        <v>0.02</v>
      </c>
    </row>
    <row r="4814" spans="1:19" x14ac:dyDescent="0.3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e">
        <f>VLOOKUP('Customer Info'!B4806,'Customer Info'!B4806:B5305,1,0)</f>
        <v>#N/A</v>
      </c>
      <c r="H4814" s="6" t="e">
        <f>VLOOKUP('Customer Info'!C4806,'Customer Info'!C4806:C5305,1)</f>
        <v>#N/A</v>
      </c>
      <c r="I4814" s="6" t="e">
        <f>VLOOKUP('Customer Info'!E4806,'Customer Info'!E4806:E5305,1,0)</f>
        <v>#N/A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8</v>
      </c>
      <c r="R4814" s="2" t="s">
        <v>28</v>
      </c>
      <c r="S4814" s="9">
        <f t="shared" si="379"/>
        <v>0.02</v>
      </c>
    </row>
    <row r="4815" spans="1:19" x14ac:dyDescent="0.3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e">
        <f>VLOOKUP('Customer Info'!B4807,'Customer Info'!B4807:B5306,1,0)</f>
        <v>#N/A</v>
      </c>
      <c r="H4815" s="6" t="e">
        <f>VLOOKUP('Customer Info'!C4807,'Customer Info'!C4807:C5306,1)</f>
        <v>#N/A</v>
      </c>
      <c r="I4815" s="6" t="e">
        <f>VLOOKUP('Customer Info'!E4807,'Customer Info'!E4807:E5306,1,0)</f>
        <v>#N/A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156</v>
      </c>
      <c r="R4815" s="2" t="s">
        <v>26</v>
      </c>
      <c r="S4815" s="9">
        <f t="shared" si="379"/>
        <v>0.02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A481" workbookViewId="0">
      <selection activeCell="B9" sqref="B9"/>
    </sheetView>
  </sheetViews>
  <sheetFormatPr defaultRowHeight="14.5" x14ac:dyDescent="0.35"/>
  <cols>
    <col min="1" max="1" width="14.1796875" bestFit="1" customWidth="1"/>
    <col min="2" max="2" width="22.1796875" bestFit="1" customWidth="1"/>
    <col min="3" max="3" width="21" bestFit="1" customWidth="1"/>
    <col min="4" max="4" width="12.1796875" bestFit="1" customWidth="1"/>
    <col min="5" max="5" width="24.26953125" bestFit="1" customWidth="1"/>
    <col min="6" max="6" width="25.1796875" bestFit="1" customWidth="1"/>
    <col min="7" max="7" width="10.26953125" bestFit="1" customWidth="1"/>
    <col min="8" max="8" width="14.1796875" bestFit="1" customWidth="1"/>
    <col min="9" max="9" width="6.7265625" bestFit="1" customWidth="1"/>
  </cols>
  <sheetData>
    <row r="1" spans="1:18" x14ac:dyDescent="0.35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x14ac:dyDescent="0.35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x14ac:dyDescent="0.35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x14ac:dyDescent="0.35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x14ac:dyDescent="0.35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x14ac:dyDescent="0.35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x14ac:dyDescent="0.35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x14ac:dyDescent="0.35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x14ac:dyDescent="0.35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x14ac:dyDescent="0.35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x14ac:dyDescent="0.35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x14ac:dyDescent="0.35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35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x14ac:dyDescent="0.35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x14ac:dyDescent="0.35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x14ac:dyDescent="0.35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x14ac:dyDescent="0.35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x14ac:dyDescent="0.35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x14ac:dyDescent="0.35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35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35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35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35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35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35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35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35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35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35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35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35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35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35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35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35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35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35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35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35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35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35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35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35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35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35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35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35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35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35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35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35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35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35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35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35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35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35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35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35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35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35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35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35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35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35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35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35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35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35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35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35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35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35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35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35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35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35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35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35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35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35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35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35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35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35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35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35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35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35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35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35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35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35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35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35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35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35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35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35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35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35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35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35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35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35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35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35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35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35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35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35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35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35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35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35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35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35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35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35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35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35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35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35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35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35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35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35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35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35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35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35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35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35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35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35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35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35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35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35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35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35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35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35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35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35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35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35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35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35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35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35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35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35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35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35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35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35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35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35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35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35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35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35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35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35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35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35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35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35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35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35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35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35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35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35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35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35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35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35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35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35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35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35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35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35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35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35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35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35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35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35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35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35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35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35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35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35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35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35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35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35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35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35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35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35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35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35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35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35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35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35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35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35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35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35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35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35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35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35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35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35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35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35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35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35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35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35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35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35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35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35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35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35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35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35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35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35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35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35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35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35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35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35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35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35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35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35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35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35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35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35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35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35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35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35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35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35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35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35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35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35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35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35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35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35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35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35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35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35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35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35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35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35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35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35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35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35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35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35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35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35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35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35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35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35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35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35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35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35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35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35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35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35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35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35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35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35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35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35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35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35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35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35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35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35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35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35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35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35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35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35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35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35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35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35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35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35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35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35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35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35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35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35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35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35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35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35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35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35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35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35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35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35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35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35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35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35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35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35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35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35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35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35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35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35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35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35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35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35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35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35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35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35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35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35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35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35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35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35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35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35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35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35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35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35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35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35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35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35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35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35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35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35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35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35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35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35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35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35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35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35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35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35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35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35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35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35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35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35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35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35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35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35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35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35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35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35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35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35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35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35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35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35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35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35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35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35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35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35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35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35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35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35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35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35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35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35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35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35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35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35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35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35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35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35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35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35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35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35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35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35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35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35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35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35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35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35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35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35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35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35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35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35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35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35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35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35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35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35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35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35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35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35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35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35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35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35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35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35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35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35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35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35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35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35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35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35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35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35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35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35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35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35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35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35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35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35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35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35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35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35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35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35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35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35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35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35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35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35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35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35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35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35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35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35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35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35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35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35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35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35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Velcy Jadawala</cp:lastModifiedBy>
  <dcterms:created xsi:type="dcterms:W3CDTF">2022-11-26T08:10:01Z</dcterms:created>
  <dcterms:modified xsi:type="dcterms:W3CDTF">2025-11-02T13:01:03Z</dcterms:modified>
</cp:coreProperties>
</file>